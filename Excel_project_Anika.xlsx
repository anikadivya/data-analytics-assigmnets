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ika\Downloads\"/>
    </mc:Choice>
  </mc:AlternateContent>
  <xr:revisionPtr revIDLastSave="0" documentId="8_{2B48F0A5-49CC-4743-8447-DE92A70C7446}" xr6:coauthVersionLast="47" xr6:coauthVersionMax="47" xr10:uidLastSave="{00000000-0000-0000-0000-000000000000}"/>
  <bookViews>
    <workbookView xWindow="-110" yWindow="-110" windowWidth="19420" windowHeight="10300" tabRatio="500" firstSheet="3" activeTab="7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  <sheet name="PivotHelper" sheetId="12" r:id="rId12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1" i="12" l="1"/>
  <c r="A30" i="12"/>
  <c r="A29" i="12"/>
  <c r="A28" i="12"/>
  <c r="A27" i="12"/>
  <c r="M27" i="12" s="1"/>
  <c r="A26" i="12"/>
  <c r="F26" i="12" s="1"/>
  <c r="A25" i="12"/>
  <c r="M25" i="12" s="1"/>
  <c r="A24" i="12"/>
  <c r="K24" i="12" s="1"/>
  <c r="A23" i="12"/>
  <c r="A22" i="12"/>
  <c r="A21" i="12"/>
  <c r="H21" i="12" s="1"/>
  <c r="A20" i="12"/>
  <c r="B20" i="12" s="1"/>
  <c r="A19" i="12"/>
  <c r="K19" i="12" s="1"/>
  <c r="A18" i="12"/>
  <c r="A17" i="12"/>
  <c r="A16" i="12"/>
  <c r="A15" i="12"/>
  <c r="B15" i="12" s="1"/>
  <c r="A14" i="12"/>
  <c r="K14" i="12" s="1"/>
  <c r="A13" i="12"/>
  <c r="I13" i="12" s="1"/>
  <c r="A12" i="12"/>
  <c r="I12" i="12" s="1"/>
  <c r="A11" i="12"/>
  <c r="L11" i="12" s="1"/>
  <c r="A10" i="12"/>
  <c r="E10" i="12" s="1"/>
  <c r="A9" i="12"/>
  <c r="A8" i="12"/>
  <c r="D8" i="12" s="1"/>
  <c r="A7" i="12"/>
  <c r="I7" i="12" s="1"/>
  <c r="A6" i="12"/>
  <c r="A5" i="12"/>
  <c r="A4" i="12"/>
  <c r="A3" i="12"/>
  <c r="D3" i="12" s="1"/>
  <c r="A2" i="12"/>
  <c r="E6" i="11"/>
  <c r="E8" i="10"/>
  <c r="I9" i="9"/>
  <c r="J9" i="9" s="1"/>
  <c r="H9" i="9"/>
  <c r="E6" i="9"/>
  <c r="E5" i="9"/>
  <c r="E10" i="8"/>
  <c r="H12" i="7"/>
  <c r="E12" i="7" s="1"/>
  <c r="H11" i="7"/>
  <c r="J11" i="7" s="1"/>
  <c r="H10" i="7"/>
  <c r="E10" i="7" s="1"/>
  <c r="H9" i="7"/>
  <c r="E9" i="7" s="1"/>
  <c r="H8" i="7"/>
  <c r="E8" i="7" s="1"/>
  <c r="H7" i="7"/>
  <c r="E7" i="7" s="1"/>
  <c r="H6" i="7"/>
  <c r="E6" i="7" s="1"/>
  <c r="E5" i="7"/>
  <c r="H31" i="5"/>
  <c r="F31" i="5"/>
  <c r="H30" i="5"/>
  <c r="F30" i="5"/>
  <c r="H29" i="5"/>
  <c r="F29" i="5"/>
  <c r="H28" i="5"/>
  <c r="F28" i="5"/>
  <c r="H27" i="5"/>
  <c r="F27" i="5"/>
  <c r="H26" i="5"/>
  <c r="F26" i="5"/>
  <c r="H25" i="5"/>
  <c r="F25" i="5"/>
  <c r="H24" i="5"/>
  <c r="F24" i="5"/>
  <c r="H23" i="5"/>
  <c r="F23" i="5"/>
  <c r="H22" i="5"/>
  <c r="F22" i="5"/>
  <c r="H21" i="5"/>
  <c r="F21" i="5"/>
  <c r="H20" i="5"/>
  <c r="F20" i="5"/>
  <c r="H19" i="5"/>
  <c r="F19" i="5"/>
  <c r="H18" i="5"/>
  <c r="F18" i="5"/>
  <c r="H17" i="5"/>
  <c r="F17" i="5"/>
  <c r="H16" i="5"/>
  <c r="F16" i="5"/>
  <c r="H15" i="5"/>
  <c r="F15" i="5"/>
  <c r="H14" i="5"/>
  <c r="F14" i="5"/>
  <c r="H13" i="5"/>
  <c r="F13" i="5"/>
  <c r="H12" i="5"/>
  <c r="F12" i="5"/>
  <c r="H11" i="5"/>
  <c r="F11" i="5"/>
  <c r="H10" i="5"/>
  <c r="F10" i="5"/>
  <c r="H9" i="5"/>
  <c r="F9" i="5"/>
  <c r="H8" i="5"/>
  <c r="F8" i="5"/>
  <c r="H7" i="5"/>
  <c r="F7" i="5"/>
  <c r="H6" i="5"/>
  <c r="F6" i="5"/>
  <c r="H5" i="5"/>
  <c r="F5" i="5"/>
  <c r="H4" i="5"/>
  <c r="F4" i="5"/>
  <c r="H3" i="5"/>
  <c r="F3" i="5"/>
  <c r="H2" i="5"/>
  <c r="F2" i="5"/>
  <c r="F61" i="4"/>
  <c r="Q1825" i="2" s="1"/>
  <c r="I60" i="4"/>
  <c r="F60" i="4"/>
  <c r="Q1277" i="2" s="1"/>
  <c r="I59" i="4"/>
  <c r="F59" i="4"/>
  <c r="I58" i="4"/>
  <c r="F58" i="4"/>
  <c r="Q1939" i="2" s="1"/>
  <c r="I57" i="4"/>
  <c r="F57" i="4"/>
  <c r="Q1775" i="2" s="1"/>
  <c r="I56" i="4"/>
  <c r="F56" i="4"/>
  <c r="Q1864" i="2" s="1"/>
  <c r="I55" i="4"/>
  <c r="F55" i="4"/>
  <c r="Q1722" i="2" s="1"/>
  <c r="I54" i="4"/>
  <c r="F54" i="4"/>
  <c r="Q1978" i="2" s="1"/>
  <c r="I53" i="4"/>
  <c r="F53" i="4"/>
  <c r="Q2000" i="2" s="1"/>
  <c r="I52" i="4"/>
  <c r="F52" i="4"/>
  <c r="Q1933" i="2" s="1"/>
  <c r="I51" i="4"/>
  <c r="F51" i="4"/>
  <c r="I50" i="4"/>
  <c r="F50" i="4"/>
  <c r="Q1569" i="2" s="1"/>
  <c r="I49" i="4"/>
  <c r="F49" i="4"/>
  <c r="Q1920" i="2" s="1"/>
  <c r="I48" i="4"/>
  <c r="F48" i="4"/>
  <c r="Q1334" i="2" s="1"/>
  <c r="I47" i="4"/>
  <c r="F47" i="4"/>
  <c r="Q1993" i="2" s="1"/>
  <c r="I46" i="4"/>
  <c r="F46" i="4"/>
  <c r="Q1990" i="2" s="1"/>
  <c r="I45" i="4"/>
  <c r="F45" i="4"/>
  <c r="I44" i="4"/>
  <c r="F44" i="4"/>
  <c r="Q1555" i="2" s="1"/>
  <c r="I43" i="4"/>
  <c r="F43" i="4"/>
  <c r="I42" i="4"/>
  <c r="F42" i="4"/>
  <c r="Q1176" i="2" s="1"/>
  <c r="I41" i="4"/>
  <c r="F41" i="4"/>
  <c r="I40" i="4"/>
  <c r="F40" i="4"/>
  <c r="Q1810" i="2" s="1"/>
  <c r="I39" i="4"/>
  <c r="F39" i="4"/>
  <c r="I38" i="4"/>
  <c r="F38" i="4"/>
  <c r="Q1475" i="2" s="1"/>
  <c r="I37" i="4"/>
  <c r="F37" i="4"/>
  <c r="Q1703" i="2" s="1"/>
  <c r="I36" i="4"/>
  <c r="F36" i="4"/>
  <c r="Q1805" i="2" s="1"/>
  <c r="I35" i="4"/>
  <c r="F35" i="4"/>
  <c r="Q2001" i="2" s="1"/>
  <c r="I34" i="4"/>
  <c r="F34" i="4"/>
  <c r="Q1981" i="2" s="1"/>
  <c r="I33" i="4"/>
  <c r="F33" i="4"/>
  <c r="Q1779" i="2" s="1"/>
  <c r="I32" i="4"/>
  <c r="F32" i="4"/>
  <c r="Q1472" i="2" s="1"/>
  <c r="I31" i="4"/>
  <c r="F31" i="4"/>
  <c r="Q1142" i="2" s="1"/>
  <c r="I30" i="4"/>
  <c r="F30" i="4"/>
  <c r="Q1907" i="2" s="1"/>
  <c r="I29" i="4"/>
  <c r="F29" i="4"/>
  <c r="I28" i="4"/>
  <c r="F28" i="4"/>
  <c r="Q1989" i="2" s="1"/>
  <c r="I27" i="4"/>
  <c r="F27" i="4"/>
  <c r="I26" i="4"/>
  <c r="F26" i="4"/>
  <c r="Q100" i="2" s="1"/>
  <c r="I25" i="4"/>
  <c r="F25" i="4"/>
  <c r="Q1668" i="2" s="1"/>
  <c r="I24" i="4"/>
  <c r="F24" i="4"/>
  <c r="Q1499" i="2" s="1"/>
  <c r="I23" i="4"/>
  <c r="F23" i="4"/>
  <c r="I22" i="4"/>
  <c r="F22" i="4"/>
  <c r="Q1898" i="2" s="1"/>
  <c r="I21" i="4"/>
  <c r="F21" i="4"/>
  <c r="I20" i="4"/>
  <c r="F20" i="4"/>
  <c r="Q1813" i="2" s="1"/>
  <c r="I19" i="4"/>
  <c r="F19" i="4"/>
  <c r="Q1506" i="2" s="1"/>
  <c r="I18" i="4"/>
  <c r="F18" i="4"/>
  <c r="Q1111" i="2" s="1"/>
  <c r="I17" i="4"/>
  <c r="F17" i="4"/>
  <c r="I16" i="4"/>
  <c r="F16" i="4"/>
  <c r="Q1865" i="2" s="1"/>
  <c r="I15" i="4"/>
  <c r="F15" i="4"/>
  <c r="Q1946" i="2" s="1"/>
  <c r="I14" i="4"/>
  <c r="F14" i="4"/>
  <c r="Q1829" i="2" s="1"/>
  <c r="I13" i="4"/>
  <c r="F13" i="4"/>
  <c r="I12" i="4"/>
  <c r="F12" i="4"/>
  <c r="Q1560" i="2" s="1"/>
  <c r="I11" i="4"/>
  <c r="F11" i="4"/>
  <c r="Q1951" i="2" s="1"/>
  <c r="I10" i="4"/>
  <c r="F10" i="4"/>
  <c r="Q1969" i="2" s="1"/>
  <c r="I9" i="4"/>
  <c r="F9" i="4"/>
  <c r="I8" i="4"/>
  <c r="F8" i="4"/>
  <c r="Q1492" i="2" s="1"/>
  <c r="I7" i="4"/>
  <c r="F7" i="4"/>
  <c r="Q1998" i="2" s="1"/>
  <c r="I6" i="4"/>
  <c r="F6" i="4"/>
  <c r="Q1159" i="2" s="1"/>
  <c r="I5" i="4"/>
  <c r="F5" i="4"/>
  <c r="I4" i="4"/>
  <c r="F4" i="4"/>
  <c r="Q1910" i="2" s="1"/>
  <c r="I3" i="4"/>
  <c r="F3" i="4"/>
  <c r="Q1889" i="2" s="1"/>
  <c r="I2" i="4"/>
  <c r="F2" i="4"/>
  <c r="Q1248" i="2" s="1"/>
  <c r="J300" i="3"/>
  <c r="I300" i="3"/>
  <c r="G300" i="3"/>
  <c r="J299" i="3"/>
  <c r="I299" i="3"/>
  <c r="G299" i="3"/>
  <c r="J298" i="3"/>
  <c r="I298" i="3"/>
  <c r="G298" i="3"/>
  <c r="J297" i="3"/>
  <c r="I297" i="3"/>
  <c r="G297" i="3"/>
  <c r="J296" i="3"/>
  <c r="I296" i="3"/>
  <c r="G296" i="3"/>
  <c r="J295" i="3"/>
  <c r="I295" i="3"/>
  <c r="G295" i="3"/>
  <c r="J294" i="3"/>
  <c r="I294" i="3"/>
  <c r="G294" i="3"/>
  <c r="J293" i="3"/>
  <c r="I293" i="3"/>
  <c r="G293" i="3"/>
  <c r="J292" i="3"/>
  <c r="I292" i="3"/>
  <c r="G292" i="3"/>
  <c r="J291" i="3"/>
  <c r="I291" i="3"/>
  <c r="G291" i="3"/>
  <c r="J290" i="3"/>
  <c r="I290" i="3"/>
  <c r="G290" i="3"/>
  <c r="J289" i="3"/>
  <c r="I289" i="3"/>
  <c r="K289" i="3" s="1"/>
  <c r="G289" i="3"/>
  <c r="J288" i="3"/>
  <c r="I288" i="3"/>
  <c r="G288" i="3"/>
  <c r="J287" i="3"/>
  <c r="I287" i="3"/>
  <c r="G287" i="3"/>
  <c r="J286" i="3"/>
  <c r="I286" i="3"/>
  <c r="G286" i="3"/>
  <c r="J285" i="3"/>
  <c r="I285" i="3"/>
  <c r="G285" i="3"/>
  <c r="J284" i="3"/>
  <c r="I284" i="3"/>
  <c r="G284" i="3"/>
  <c r="J283" i="3"/>
  <c r="I283" i="3"/>
  <c r="G283" i="3"/>
  <c r="J282" i="3"/>
  <c r="I282" i="3"/>
  <c r="G282" i="3"/>
  <c r="J281" i="3"/>
  <c r="I281" i="3"/>
  <c r="G281" i="3"/>
  <c r="J280" i="3"/>
  <c r="I280" i="3"/>
  <c r="G280" i="3"/>
  <c r="J279" i="3"/>
  <c r="I279" i="3"/>
  <c r="G279" i="3"/>
  <c r="J278" i="3"/>
  <c r="I278" i="3"/>
  <c r="G278" i="3"/>
  <c r="J277" i="3"/>
  <c r="I277" i="3"/>
  <c r="G277" i="3"/>
  <c r="J276" i="3"/>
  <c r="I276" i="3"/>
  <c r="G276" i="3"/>
  <c r="J275" i="3"/>
  <c r="I275" i="3"/>
  <c r="G275" i="3"/>
  <c r="J274" i="3"/>
  <c r="I274" i="3"/>
  <c r="G274" i="3"/>
  <c r="J273" i="3"/>
  <c r="I273" i="3"/>
  <c r="G273" i="3"/>
  <c r="J272" i="3"/>
  <c r="I272" i="3"/>
  <c r="G272" i="3"/>
  <c r="J271" i="3"/>
  <c r="I271" i="3"/>
  <c r="G271" i="3"/>
  <c r="J270" i="3"/>
  <c r="I270" i="3"/>
  <c r="G270" i="3"/>
  <c r="J269" i="3"/>
  <c r="I269" i="3"/>
  <c r="G269" i="3"/>
  <c r="J268" i="3"/>
  <c r="I268" i="3"/>
  <c r="G268" i="3"/>
  <c r="J267" i="3"/>
  <c r="I267" i="3"/>
  <c r="G267" i="3"/>
  <c r="J266" i="3"/>
  <c r="I266" i="3"/>
  <c r="G266" i="3"/>
  <c r="J265" i="3"/>
  <c r="I265" i="3"/>
  <c r="G265" i="3"/>
  <c r="J264" i="3"/>
  <c r="I264" i="3"/>
  <c r="G264" i="3"/>
  <c r="J263" i="3"/>
  <c r="I263" i="3"/>
  <c r="G263" i="3"/>
  <c r="J262" i="3"/>
  <c r="I262" i="3"/>
  <c r="G262" i="3"/>
  <c r="J261" i="3"/>
  <c r="I261" i="3"/>
  <c r="G261" i="3"/>
  <c r="J260" i="3"/>
  <c r="I260" i="3"/>
  <c r="G260" i="3"/>
  <c r="J259" i="3"/>
  <c r="I259" i="3"/>
  <c r="G259" i="3"/>
  <c r="J258" i="3"/>
  <c r="I258" i="3"/>
  <c r="G258" i="3"/>
  <c r="J257" i="3"/>
  <c r="I257" i="3"/>
  <c r="K257" i="3" s="1"/>
  <c r="G257" i="3"/>
  <c r="J256" i="3"/>
  <c r="I256" i="3"/>
  <c r="G256" i="3"/>
  <c r="J255" i="3"/>
  <c r="I255" i="3"/>
  <c r="G255" i="3"/>
  <c r="J254" i="3"/>
  <c r="I254" i="3"/>
  <c r="G254" i="3"/>
  <c r="J253" i="3"/>
  <c r="I253" i="3"/>
  <c r="K253" i="3" s="1"/>
  <c r="G253" i="3"/>
  <c r="J252" i="3"/>
  <c r="I252" i="3"/>
  <c r="G252" i="3"/>
  <c r="J251" i="3"/>
  <c r="I251" i="3"/>
  <c r="G251" i="3"/>
  <c r="J250" i="3"/>
  <c r="I250" i="3"/>
  <c r="G250" i="3"/>
  <c r="J249" i="3"/>
  <c r="I249" i="3"/>
  <c r="K249" i="3" s="1"/>
  <c r="G249" i="3"/>
  <c r="J248" i="3"/>
  <c r="I248" i="3"/>
  <c r="G248" i="3"/>
  <c r="J247" i="3"/>
  <c r="I247" i="3"/>
  <c r="G247" i="3"/>
  <c r="J246" i="3"/>
  <c r="I246" i="3"/>
  <c r="G246" i="3"/>
  <c r="J245" i="3"/>
  <c r="I245" i="3"/>
  <c r="G245" i="3"/>
  <c r="J244" i="3"/>
  <c r="I244" i="3"/>
  <c r="G244" i="3"/>
  <c r="J243" i="3"/>
  <c r="I243" i="3"/>
  <c r="G243" i="3"/>
  <c r="J242" i="3"/>
  <c r="I242" i="3"/>
  <c r="G242" i="3"/>
  <c r="J241" i="3"/>
  <c r="I241" i="3"/>
  <c r="G241" i="3"/>
  <c r="J240" i="3"/>
  <c r="I240" i="3"/>
  <c r="G240" i="3"/>
  <c r="J239" i="3"/>
  <c r="I239" i="3"/>
  <c r="G239" i="3"/>
  <c r="J238" i="3"/>
  <c r="I238" i="3"/>
  <c r="G238" i="3"/>
  <c r="J237" i="3"/>
  <c r="I237" i="3"/>
  <c r="G237" i="3"/>
  <c r="J236" i="3"/>
  <c r="I236" i="3"/>
  <c r="G236" i="3"/>
  <c r="J235" i="3"/>
  <c r="I235" i="3"/>
  <c r="G235" i="3"/>
  <c r="J234" i="3"/>
  <c r="I234" i="3"/>
  <c r="G234" i="3"/>
  <c r="J233" i="3"/>
  <c r="I233" i="3"/>
  <c r="G233" i="3"/>
  <c r="J232" i="3"/>
  <c r="I232" i="3"/>
  <c r="G232" i="3"/>
  <c r="J231" i="3"/>
  <c r="I231" i="3"/>
  <c r="G231" i="3"/>
  <c r="J230" i="3"/>
  <c r="I230" i="3"/>
  <c r="G230" i="3"/>
  <c r="J229" i="3"/>
  <c r="I229" i="3"/>
  <c r="G229" i="3"/>
  <c r="J228" i="3"/>
  <c r="I228" i="3"/>
  <c r="G228" i="3"/>
  <c r="J227" i="3"/>
  <c r="I227" i="3"/>
  <c r="G227" i="3"/>
  <c r="J226" i="3"/>
  <c r="I226" i="3"/>
  <c r="G226" i="3"/>
  <c r="J225" i="3"/>
  <c r="I225" i="3"/>
  <c r="G225" i="3"/>
  <c r="J224" i="3"/>
  <c r="I224" i="3"/>
  <c r="G224" i="3"/>
  <c r="J223" i="3"/>
  <c r="I223" i="3"/>
  <c r="G223" i="3"/>
  <c r="J222" i="3"/>
  <c r="I222" i="3"/>
  <c r="G222" i="3"/>
  <c r="J221" i="3"/>
  <c r="I221" i="3"/>
  <c r="K221" i="3" s="1"/>
  <c r="G221" i="3"/>
  <c r="J220" i="3"/>
  <c r="I220" i="3"/>
  <c r="G220" i="3"/>
  <c r="J219" i="3"/>
  <c r="I219" i="3"/>
  <c r="G219" i="3"/>
  <c r="J218" i="3"/>
  <c r="I218" i="3"/>
  <c r="G218" i="3"/>
  <c r="J217" i="3"/>
  <c r="I217" i="3"/>
  <c r="G217" i="3"/>
  <c r="J216" i="3"/>
  <c r="I216" i="3"/>
  <c r="G216" i="3"/>
  <c r="J215" i="3"/>
  <c r="I215" i="3"/>
  <c r="G215" i="3"/>
  <c r="J214" i="3"/>
  <c r="I214" i="3"/>
  <c r="G214" i="3"/>
  <c r="J213" i="3"/>
  <c r="I213" i="3"/>
  <c r="G213" i="3"/>
  <c r="J212" i="3"/>
  <c r="I212" i="3"/>
  <c r="G212" i="3"/>
  <c r="J211" i="3"/>
  <c r="I211" i="3"/>
  <c r="G211" i="3"/>
  <c r="J210" i="3"/>
  <c r="I210" i="3"/>
  <c r="G210" i="3"/>
  <c r="J209" i="3"/>
  <c r="I209" i="3"/>
  <c r="G209" i="3"/>
  <c r="J208" i="3"/>
  <c r="I208" i="3"/>
  <c r="G208" i="3"/>
  <c r="J207" i="3"/>
  <c r="I207" i="3"/>
  <c r="G207" i="3"/>
  <c r="J206" i="3"/>
  <c r="I206" i="3"/>
  <c r="G206" i="3"/>
  <c r="J205" i="3"/>
  <c r="I205" i="3"/>
  <c r="G205" i="3"/>
  <c r="J204" i="3"/>
  <c r="I204" i="3"/>
  <c r="G204" i="3"/>
  <c r="J203" i="3"/>
  <c r="I203" i="3"/>
  <c r="G203" i="3"/>
  <c r="J202" i="3"/>
  <c r="I202" i="3"/>
  <c r="G202" i="3"/>
  <c r="J201" i="3"/>
  <c r="I201" i="3"/>
  <c r="G201" i="3"/>
  <c r="J200" i="3"/>
  <c r="I200" i="3"/>
  <c r="G200" i="3"/>
  <c r="J199" i="3"/>
  <c r="I199" i="3"/>
  <c r="G199" i="3"/>
  <c r="J198" i="3"/>
  <c r="I198" i="3"/>
  <c r="G198" i="3"/>
  <c r="J197" i="3"/>
  <c r="I197" i="3"/>
  <c r="G197" i="3"/>
  <c r="J196" i="3"/>
  <c r="I196" i="3"/>
  <c r="G196" i="3"/>
  <c r="J195" i="3"/>
  <c r="I195" i="3"/>
  <c r="G195" i="3"/>
  <c r="J194" i="3"/>
  <c r="I194" i="3"/>
  <c r="G194" i="3"/>
  <c r="J193" i="3"/>
  <c r="I193" i="3"/>
  <c r="G193" i="3"/>
  <c r="J192" i="3"/>
  <c r="I192" i="3"/>
  <c r="G192" i="3"/>
  <c r="J191" i="3"/>
  <c r="I191" i="3"/>
  <c r="G191" i="3"/>
  <c r="J190" i="3"/>
  <c r="I190" i="3"/>
  <c r="G190" i="3"/>
  <c r="J189" i="3"/>
  <c r="I189" i="3"/>
  <c r="G189" i="3"/>
  <c r="J188" i="3"/>
  <c r="I188" i="3"/>
  <c r="G188" i="3"/>
  <c r="J187" i="3"/>
  <c r="I187" i="3"/>
  <c r="G187" i="3"/>
  <c r="J186" i="3"/>
  <c r="I186" i="3"/>
  <c r="G186" i="3"/>
  <c r="J185" i="3"/>
  <c r="I185" i="3"/>
  <c r="G185" i="3"/>
  <c r="J184" i="3"/>
  <c r="I184" i="3"/>
  <c r="G184" i="3"/>
  <c r="J183" i="3"/>
  <c r="I183" i="3"/>
  <c r="G183" i="3"/>
  <c r="J182" i="3"/>
  <c r="I182" i="3"/>
  <c r="G182" i="3"/>
  <c r="J181" i="3"/>
  <c r="I181" i="3"/>
  <c r="G181" i="3"/>
  <c r="J180" i="3"/>
  <c r="I180" i="3"/>
  <c r="G180" i="3"/>
  <c r="J179" i="3"/>
  <c r="I179" i="3"/>
  <c r="G179" i="3"/>
  <c r="J178" i="3"/>
  <c r="I178" i="3"/>
  <c r="G178" i="3"/>
  <c r="J177" i="3"/>
  <c r="I177" i="3"/>
  <c r="G177" i="3"/>
  <c r="J176" i="3"/>
  <c r="I176" i="3"/>
  <c r="G176" i="3"/>
  <c r="J175" i="3"/>
  <c r="I175" i="3"/>
  <c r="G175" i="3"/>
  <c r="J174" i="3"/>
  <c r="I174" i="3"/>
  <c r="G174" i="3"/>
  <c r="J173" i="3"/>
  <c r="I173" i="3"/>
  <c r="G173" i="3"/>
  <c r="J172" i="3"/>
  <c r="I172" i="3"/>
  <c r="G172" i="3"/>
  <c r="J171" i="3"/>
  <c r="I171" i="3"/>
  <c r="G171" i="3"/>
  <c r="J170" i="3"/>
  <c r="I170" i="3"/>
  <c r="G170" i="3"/>
  <c r="J169" i="3"/>
  <c r="I169" i="3"/>
  <c r="G169" i="3"/>
  <c r="J168" i="3"/>
  <c r="I168" i="3"/>
  <c r="G168" i="3"/>
  <c r="J167" i="3"/>
  <c r="I167" i="3"/>
  <c r="G167" i="3"/>
  <c r="J166" i="3"/>
  <c r="I166" i="3"/>
  <c r="G166" i="3"/>
  <c r="J165" i="3"/>
  <c r="I165" i="3"/>
  <c r="G165" i="3"/>
  <c r="J164" i="3"/>
  <c r="I164" i="3"/>
  <c r="G164" i="3"/>
  <c r="J163" i="3"/>
  <c r="I163" i="3"/>
  <c r="G163" i="3"/>
  <c r="J162" i="3"/>
  <c r="I162" i="3"/>
  <c r="G162" i="3"/>
  <c r="J161" i="3"/>
  <c r="I161" i="3"/>
  <c r="G161" i="3"/>
  <c r="J160" i="3"/>
  <c r="I160" i="3"/>
  <c r="G160" i="3"/>
  <c r="J159" i="3"/>
  <c r="I159" i="3"/>
  <c r="G159" i="3"/>
  <c r="J158" i="3"/>
  <c r="I158" i="3"/>
  <c r="G158" i="3"/>
  <c r="J157" i="3"/>
  <c r="I157" i="3"/>
  <c r="G157" i="3"/>
  <c r="J156" i="3"/>
  <c r="I156" i="3"/>
  <c r="G156" i="3"/>
  <c r="J155" i="3"/>
  <c r="I155" i="3"/>
  <c r="G155" i="3"/>
  <c r="J154" i="3"/>
  <c r="I154" i="3"/>
  <c r="G154" i="3"/>
  <c r="J153" i="3"/>
  <c r="I153" i="3"/>
  <c r="G153" i="3"/>
  <c r="J152" i="3"/>
  <c r="I152" i="3"/>
  <c r="G152" i="3"/>
  <c r="J151" i="3"/>
  <c r="I151" i="3"/>
  <c r="G151" i="3"/>
  <c r="J150" i="3"/>
  <c r="I150" i="3"/>
  <c r="G150" i="3"/>
  <c r="J149" i="3"/>
  <c r="I149" i="3"/>
  <c r="G149" i="3"/>
  <c r="J148" i="3"/>
  <c r="I148" i="3"/>
  <c r="G148" i="3"/>
  <c r="J147" i="3"/>
  <c r="I147" i="3"/>
  <c r="G147" i="3"/>
  <c r="J146" i="3"/>
  <c r="I146" i="3"/>
  <c r="G146" i="3"/>
  <c r="J145" i="3"/>
  <c r="I145" i="3"/>
  <c r="G145" i="3"/>
  <c r="J144" i="3"/>
  <c r="I144" i="3"/>
  <c r="G144" i="3"/>
  <c r="J143" i="3"/>
  <c r="I143" i="3"/>
  <c r="G143" i="3"/>
  <c r="J142" i="3"/>
  <c r="I142" i="3"/>
  <c r="G142" i="3"/>
  <c r="J141" i="3"/>
  <c r="I141" i="3"/>
  <c r="G141" i="3"/>
  <c r="J140" i="3"/>
  <c r="I140" i="3"/>
  <c r="G140" i="3"/>
  <c r="J139" i="3"/>
  <c r="I139" i="3"/>
  <c r="G139" i="3"/>
  <c r="J138" i="3"/>
  <c r="I138" i="3"/>
  <c r="G138" i="3"/>
  <c r="J137" i="3"/>
  <c r="I137" i="3"/>
  <c r="K137" i="3" s="1"/>
  <c r="G137" i="3"/>
  <c r="J136" i="3"/>
  <c r="I136" i="3"/>
  <c r="G136" i="3"/>
  <c r="J135" i="3"/>
  <c r="I135" i="3"/>
  <c r="G135" i="3"/>
  <c r="J134" i="3"/>
  <c r="I134" i="3"/>
  <c r="G134" i="3"/>
  <c r="J133" i="3"/>
  <c r="I133" i="3"/>
  <c r="K133" i="3" s="1"/>
  <c r="G133" i="3"/>
  <c r="J132" i="3"/>
  <c r="I132" i="3"/>
  <c r="G132" i="3"/>
  <c r="J131" i="3"/>
  <c r="I131" i="3"/>
  <c r="G131" i="3"/>
  <c r="J130" i="3"/>
  <c r="I130" i="3"/>
  <c r="G130" i="3"/>
  <c r="J129" i="3"/>
  <c r="I129" i="3"/>
  <c r="G129" i="3"/>
  <c r="J128" i="3"/>
  <c r="I128" i="3"/>
  <c r="G128" i="3"/>
  <c r="J127" i="3"/>
  <c r="I127" i="3"/>
  <c r="G127" i="3"/>
  <c r="J126" i="3"/>
  <c r="I126" i="3"/>
  <c r="G126" i="3"/>
  <c r="J125" i="3"/>
  <c r="I125" i="3"/>
  <c r="K125" i="3" s="1"/>
  <c r="G125" i="3"/>
  <c r="J124" i="3"/>
  <c r="I124" i="3"/>
  <c r="G124" i="3"/>
  <c r="J123" i="3"/>
  <c r="I123" i="3"/>
  <c r="G123" i="3"/>
  <c r="J122" i="3"/>
  <c r="I122" i="3"/>
  <c r="G122" i="3"/>
  <c r="J121" i="3"/>
  <c r="I121" i="3"/>
  <c r="G121" i="3"/>
  <c r="J120" i="3"/>
  <c r="I120" i="3"/>
  <c r="G120" i="3"/>
  <c r="J119" i="3"/>
  <c r="I119" i="3"/>
  <c r="G119" i="3"/>
  <c r="J118" i="3"/>
  <c r="I118" i="3"/>
  <c r="G118" i="3"/>
  <c r="J117" i="3"/>
  <c r="I117" i="3"/>
  <c r="G117" i="3"/>
  <c r="J116" i="3"/>
  <c r="I116" i="3"/>
  <c r="G116" i="3"/>
  <c r="J115" i="3"/>
  <c r="I115" i="3"/>
  <c r="G115" i="3"/>
  <c r="J114" i="3"/>
  <c r="I114" i="3"/>
  <c r="G114" i="3"/>
  <c r="J113" i="3"/>
  <c r="I113" i="3"/>
  <c r="G113" i="3"/>
  <c r="J112" i="3"/>
  <c r="I112" i="3"/>
  <c r="G112" i="3"/>
  <c r="J111" i="3"/>
  <c r="I111" i="3"/>
  <c r="G111" i="3"/>
  <c r="J110" i="3"/>
  <c r="I110" i="3"/>
  <c r="G110" i="3"/>
  <c r="J109" i="3"/>
  <c r="I109" i="3"/>
  <c r="G109" i="3"/>
  <c r="J108" i="3"/>
  <c r="I108" i="3"/>
  <c r="G108" i="3"/>
  <c r="J107" i="3"/>
  <c r="I107" i="3"/>
  <c r="G107" i="3"/>
  <c r="J106" i="3"/>
  <c r="I106" i="3"/>
  <c r="G106" i="3"/>
  <c r="J105" i="3"/>
  <c r="I105" i="3"/>
  <c r="G105" i="3"/>
  <c r="J104" i="3"/>
  <c r="I104" i="3"/>
  <c r="G104" i="3"/>
  <c r="J103" i="3"/>
  <c r="I103" i="3"/>
  <c r="G103" i="3"/>
  <c r="J102" i="3"/>
  <c r="I102" i="3"/>
  <c r="G102" i="3"/>
  <c r="J101" i="3"/>
  <c r="I101" i="3"/>
  <c r="G101" i="3"/>
  <c r="J100" i="3"/>
  <c r="I100" i="3"/>
  <c r="G100" i="3"/>
  <c r="J99" i="3"/>
  <c r="I99" i="3"/>
  <c r="G99" i="3"/>
  <c r="J98" i="3"/>
  <c r="I98" i="3"/>
  <c r="G98" i="3"/>
  <c r="J97" i="3"/>
  <c r="I97" i="3"/>
  <c r="G97" i="3"/>
  <c r="J96" i="3"/>
  <c r="I96" i="3"/>
  <c r="G96" i="3"/>
  <c r="J95" i="3"/>
  <c r="I95" i="3"/>
  <c r="G95" i="3"/>
  <c r="J94" i="3"/>
  <c r="I94" i="3"/>
  <c r="G94" i="3"/>
  <c r="J93" i="3"/>
  <c r="I93" i="3"/>
  <c r="G93" i="3"/>
  <c r="J92" i="3"/>
  <c r="I92" i="3"/>
  <c r="G92" i="3"/>
  <c r="J91" i="3"/>
  <c r="I91" i="3"/>
  <c r="G91" i="3"/>
  <c r="J90" i="3"/>
  <c r="I90" i="3"/>
  <c r="G90" i="3"/>
  <c r="J89" i="3"/>
  <c r="I89" i="3"/>
  <c r="G89" i="3"/>
  <c r="J88" i="3"/>
  <c r="I88" i="3"/>
  <c r="G88" i="3"/>
  <c r="J87" i="3"/>
  <c r="I87" i="3"/>
  <c r="G87" i="3"/>
  <c r="J86" i="3"/>
  <c r="I86" i="3"/>
  <c r="G86" i="3"/>
  <c r="J85" i="3"/>
  <c r="I85" i="3"/>
  <c r="G85" i="3"/>
  <c r="J84" i="3"/>
  <c r="I84" i="3"/>
  <c r="G84" i="3"/>
  <c r="J83" i="3"/>
  <c r="I83" i="3"/>
  <c r="G83" i="3"/>
  <c r="J82" i="3"/>
  <c r="I82" i="3"/>
  <c r="G82" i="3"/>
  <c r="J81" i="3"/>
  <c r="I81" i="3"/>
  <c r="G81" i="3"/>
  <c r="J80" i="3"/>
  <c r="I80" i="3"/>
  <c r="G80" i="3"/>
  <c r="J79" i="3"/>
  <c r="I79" i="3"/>
  <c r="G79" i="3"/>
  <c r="J78" i="3"/>
  <c r="I78" i="3"/>
  <c r="G78" i="3"/>
  <c r="J77" i="3"/>
  <c r="I77" i="3"/>
  <c r="G77" i="3"/>
  <c r="J76" i="3"/>
  <c r="I76" i="3"/>
  <c r="G76" i="3"/>
  <c r="J75" i="3"/>
  <c r="I75" i="3"/>
  <c r="G75" i="3"/>
  <c r="J74" i="3"/>
  <c r="I74" i="3"/>
  <c r="G74" i="3"/>
  <c r="J73" i="3"/>
  <c r="I73" i="3"/>
  <c r="K73" i="3" s="1"/>
  <c r="G73" i="3"/>
  <c r="J72" i="3"/>
  <c r="I72" i="3"/>
  <c r="G72" i="3"/>
  <c r="J71" i="3"/>
  <c r="I71" i="3"/>
  <c r="G71" i="3"/>
  <c r="J70" i="3"/>
  <c r="I70" i="3"/>
  <c r="G70" i="3"/>
  <c r="J69" i="3"/>
  <c r="I69" i="3"/>
  <c r="G69" i="3"/>
  <c r="J68" i="3"/>
  <c r="I68" i="3"/>
  <c r="G68" i="3"/>
  <c r="J67" i="3"/>
  <c r="I67" i="3"/>
  <c r="G67" i="3"/>
  <c r="J66" i="3"/>
  <c r="I66" i="3"/>
  <c r="G66" i="3"/>
  <c r="J65" i="3"/>
  <c r="I65" i="3"/>
  <c r="K65" i="3" s="1"/>
  <c r="G65" i="3"/>
  <c r="J64" i="3"/>
  <c r="I64" i="3"/>
  <c r="G64" i="3"/>
  <c r="J63" i="3"/>
  <c r="I63" i="3"/>
  <c r="G63" i="3"/>
  <c r="J62" i="3"/>
  <c r="I62" i="3"/>
  <c r="G62" i="3"/>
  <c r="J61" i="3"/>
  <c r="I61" i="3"/>
  <c r="G61" i="3"/>
  <c r="J60" i="3"/>
  <c r="I60" i="3"/>
  <c r="G60" i="3"/>
  <c r="J59" i="3"/>
  <c r="I59" i="3"/>
  <c r="G59" i="3"/>
  <c r="J58" i="3"/>
  <c r="I58" i="3"/>
  <c r="G58" i="3"/>
  <c r="J57" i="3"/>
  <c r="I57" i="3"/>
  <c r="K57" i="3" s="1"/>
  <c r="G57" i="3"/>
  <c r="J56" i="3"/>
  <c r="I56" i="3"/>
  <c r="G56" i="3"/>
  <c r="J55" i="3"/>
  <c r="I55" i="3"/>
  <c r="G55" i="3"/>
  <c r="J54" i="3"/>
  <c r="I54" i="3"/>
  <c r="G54" i="3"/>
  <c r="J53" i="3"/>
  <c r="I53" i="3"/>
  <c r="K53" i="3" s="1"/>
  <c r="G53" i="3"/>
  <c r="J52" i="3"/>
  <c r="I52" i="3"/>
  <c r="G52" i="3"/>
  <c r="J51" i="3"/>
  <c r="I51" i="3"/>
  <c r="G51" i="3"/>
  <c r="J50" i="3"/>
  <c r="I50" i="3"/>
  <c r="G50" i="3"/>
  <c r="J49" i="3"/>
  <c r="I49" i="3"/>
  <c r="K49" i="3" s="1"/>
  <c r="G49" i="3"/>
  <c r="J48" i="3"/>
  <c r="I48" i="3"/>
  <c r="G48" i="3"/>
  <c r="J47" i="3"/>
  <c r="I47" i="3"/>
  <c r="G47" i="3"/>
  <c r="J46" i="3"/>
  <c r="I46" i="3"/>
  <c r="G46" i="3"/>
  <c r="J45" i="3"/>
  <c r="I45" i="3"/>
  <c r="G45" i="3"/>
  <c r="J44" i="3"/>
  <c r="I44" i="3"/>
  <c r="G44" i="3"/>
  <c r="J43" i="3"/>
  <c r="I43" i="3"/>
  <c r="G43" i="3"/>
  <c r="J42" i="3"/>
  <c r="I42" i="3"/>
  <c r="G42" i="3"/>
  <c r="J41" i="3"/>
  <c r="I41" i="3"/>
  <c r="G41" i="3"/>
  <c r="J40" i="3"/>
  <c r="I40" i="3"/>
  <c r="G40" i="3"/>
  <c r="J39" i="3"/>
  <c r="I39" i="3"/>
  <c r="G39" i="3"/>
  <c r="J38" i="3"/>
  <c r="I38" i="3"/>
  <c r="G38" i="3"/>
  <c r="J37" i="3"/>
  <c r="I37" i="3"/>
  <c r="G37" i="3"/>
  <c r="J36" i="3"/>
  <c r="I36" i="3"/>
  <c r="G36" i="3"/>
  <c r="J35" i="3"/>
  <c r="I35" i="3"/>
  <c r="G35" i="3"/>
  <c r="J34" i="3"/>
  <c r="I34" i="3"/>
  <c r="G34" i="3"/>
  <c r="J33" i="3"/>
  <c r="I33" i="3"/>
  <c r="G33" i="3"/>
  <c r="J32" i="3"/>
  <c r="I32" i="3"/>
  <c r="G32" i="3"/>
  <c r="J31" i="3"/>
  <c r="I31" i="3"/>
  <c r="G31" i="3"/>
  <c r="J30" i="3"/>
  <c r="I30" i="3"/>
  <c r="G30" i="3"/>
  <c r="J29" i="3"/>
  <c r="I29" i="3"/>
  <c r="G29" i="3"/>
  <c r="J28" i="3"/>
  <c r="I28" i="3"/>
  <c r="G28" i="3"/>
  <c r="J27" i="3"/>
  <c r="I27" i="3"/>
  <c r="G27" i="3"/>
  <c r="J26" i="3"/>
  <c r="I26" i="3"/>
  <c r="G26" i="3"/>
  <c r="J25" i="3"/>
  <c r="I25" i="3"/>
  <c r="G25" i="3"/>
  <c r="J24" i="3"/>
  <c r="I24" i="3"/>
  <c r="G24" i="3"/>
  <c r="J23" i="3"/>
  <c r="I23" i="3"/>
  <c r="G23" i="3"/>
  <c r="J22" i="3"/>
  <c r="I22" i="3"/>
  <c r="G22" i="3"/>
  <c r="J21" i="3"/>
  <c r="I21" i="3"/>
  <c r="G21" i="3"/>
  <c r="J20" i="3"/>
  <c r="I20" i="3"/>
  <c r="G20" i="3"/>
  <c r="J19" i="3"/>
  <c r="I19" i="3"/>
  <c r="G19" i="3"/>
  <c r="J18" i="3"/>
  <c r="I18" i="3"/>
  <c r="G18" i="3"/>
  <c r="J17" i="3"/>
  <c r="I17" i="3"/>
  <c r="G17" i="3"/>
  <c r="J16" i="3"/>
  <c r="I16" i="3"/>
  <c r="G16" i="3"/>
  <c r="J15" i="3"/>
  <c r="I15" i="3"/>
  <c r="G15" i="3"/>
  <c r="J14" i="3"/>
  <c r="I14" i="3"/>
  <c r="G14" i="3"/>
  <c r="J13" i="3"/>
  <c r="I13" i="3"/>
  <c r="G13" i="3"/>
  <c r="J12" i="3"/>
  <c r="I12" i="3"/>
  <c r="G12" i="3"/>
  <c r="J11" i="3"/>
  <c r="I11" i="3"/>
  <c r="G11" i="3"/>
  <c r="J10" i="3"/>
  <c r="I10" i="3"/>
  <c r="G10" i="3"/>
  <c r="J9" i="3"/>
  <c r="I9" i="3"/>
  <c r="G9" i="3"/>
  <c r="J8" i="3"/>
  <c r="I8" i="3"/>
  <c r="G8" i="3"/>
  <c r="J7" i="3"/>
  <c r="I7" i="3"/>
  <c r="G7" i="3"/>
  <c r="J6" i="3"/>
  <c r="I6" i="3"/>
  <c r="G6" i="3"/>
  <c r="J5" i="3"/>
  <c r="I5" i="3"/>
  <c r="G5" i="3"/>
  <c r="J4" i="3"/>
  <c r="I4" i="3"/>
  <c r="G4" i="3"/>
  <c r="J3" i="3"/>
  <c r="I3" i="3"/>
  <c r="G3" i="3"/>
  <c r="J2" i="3"/>
  <c r="I2" i="3"/>
  <c r="G2" i="3"/>
  <c r="H2" i="3" s="1"/>
  <c r="U2001" i="2"/>
  <c r="S2001" i="2"/>
  <c r="T2001" i="2" s="1"/>
  <c r="P2001" i="2"/>
  <c r="R2001" i="2" s="1"/>
  <c r="O2001" i="2"/>
  <c r="N2001" i="2"/>
  <c r="M2001" i="2"/>
  <c r="L2001" i="2"/>
  <c r="V2001" i="2" s="1"/>
  <c r="U2000" i="2"/>
  <c r="S2000" i="2"/>
  <c r="T2000" i="2" s="1"/>
  <c r="P2000" i="2"/>
  <c r="R2000" i="2" s="1"/>
  <c r="O2000" i="2"/>
  <c r="N2000" i="2"/>
  <c r="M2000" i="2"/>
  <c r="L2000" i="2"/>
  <c r="V2000" i="2" s="1"/>
  <c r="U1999" i="2"/>
  <c r="S1999" i="2"/>
  <c r="T1999" i="2" s="1"/>
  <c r="P1999" i="2"/>
  <c r="R1999" i="2" s="1"/>
  <c r="O1999" i="2"/>
  <c r="N1999" i="2"/>
  <c r="M1999" i="2"/>
  <c r="L1999" i="2"/>
  <c r="V1999" i="2" s="1"/>
  <c r="U1998" i="2"/>
  <c r="S1998" i="2"/>
  <c r="T1998" i="2" s="1"/>
  <c r="P1998" i="2"/>
  <c r="R1998" i="2" s="1"/>
  <c r="O1998" i="2"/>
  <c r="N1998" i="2"/>
  <c r="M1998" i="2"/>
  <c r="L1998" i="2"/>
  <c r="V1998" i="2" s="1"/>
  <c r="U1997" i="2"/>
  <c r="S1997" i="2"/>
  <c r="T1997" i="2" s="1"/>
  <c r="P1997" i="2"/>
  <c r="R1997" i="2" s="1"/>
  <c r="O1997" i="2"/>
  <c r="N1997" i="2"/>
  <c r="M1997" i="2"/>
  <c r="L1997" i="2"/>
  <c r="V1997" i="2" s="1"/>
  <c r="U1996" i="2"/>
  <c r="S1996" i="2"/>
  <c r="T1996" i="2" s="1"/>
  <c r="P1996" i="2"/>
  <c r="R1996" i="2" s="1"/>
  <c r="O1996" i="2"/>
  <c r="N1996" i="2"/>
  <c r="M1996" i="2"/>
  <c r="L1996" i="2"/>
  <c r="V1996" i="2" s="1"/>
  <c r="U1995" i="2"/>
  <c r="S1995" i="2"/>
  <c r="T1995" i="2" s="1"/>
  <c r="P1995" i="2"/>
  <c r="R1995" i="2" s="1"/>
  <c r="O1995" i="2"/>
  <c r="N1995" i="2"/>
  <c r="M1995" i="2"/>
  <c r="L1995" i="2"/>
  <c r="V1995" i="2" s="1"/>
  <c r="U1994" i="2"/>
  <c r="S1994" i="2"/>
  <c r="T1994" i="2" s="1"/>
  <c r="P1994" i="2"/>
  <c r="R1994" i="2" s="1"/>
  <c r="O1994" i="2"/>
  <c r="N1994" i="2"/>
  <c r="M1994" i="2"/>
  <c r="L1994" i="2"/>
  <c r="V1994" i="2" s="1"/>
  <c r="U1993" i="2"/>
  <c r="S1993" i="2"/>
  <c r="T1993" i="2" s="1"/>
  <c r="P1993" i="2"/>
  <c r="R1993" i="2" s="1"/>
  <c r="O1993" i="2"/>
  <c r="N1993" i="2"/>
  <c r="M1993" i="2"/>
  <c r="L1993" i="2"/>
  <c r="V1993" i="2" s="1"/>
  <c r="U1992" i="2"/>
  <c r="S1992" i="2"/>
  <c r="T1992" i="2" s="1"/>
  <c r="P1992" i="2"/>
  <c r="R1992" i="2" s="1"/>
  <c r="O1992" i="2"/>
  <c r="N1992" i="2"/>
  <c r="M1992" i="2"/>
  <c r="L1992" i="2"/>
  <c r="V1992" i="2" s="1"/>
  <c r="U1991" i="2"/>
  <c r="S1991" i="2"/>
  <c r="T1991" i="2" s="1"/>
  <c r="P1991" i="2"/>
  <c r="R1991" i="2" s="1"/>
  <c r="O1991" i="2"/>
  <c r="N1991" i="2"/>
  <c r="M1991" i="2"/>
  <c r="L1991" i="2"/>
  <c r="V1991" i="2" s="1"/>
  <c r="U1990" i="2"/>
  <c r="S1990" i="2"/>
  <c r="T1990" i="2" s="1"/>
  <c r="P1990" i="2"/>
  <c r="R1990" i="2" s="1"/>
  <c r="O1990" i="2"/>
  <c r="N1990" i="2"/>
  <c r="M1990" i="2"/>
  <c r="L1990" i="2"/>
  <c r="V1990" i="2" s="1"/>
  <c r="U1989" i="2"/>
  <c r="S1989" i="2"/>
  <c r="T1989" i="2" s="1"/>
  <c r="P1989" i="2"/>
  <c r="R1989" i="2" s="1"/>
  <c r="O1989" i="2"/>
  <c r="N1989" i="2"/>
  <c r="M1989" i="2"/>
  <c r="L1989" i="2"/>
  <c r="V1989" i="2" s="1"/>
  <c r="U1988" i="2"/>
  <c r="S1988" i="2"/>
  <c r="T1988" i="2" s="1"/>
  <c r="P1988" i="2"/>
  <c r="R1988" i="2" s="1"/>
  <c r="O1988" i="2"/>
  <c r="N1988" i="2"/>
  <c r="M1988" i="2"/>
  <c r="L1988" i="2"/>
  <c r="V1988" i="2" s="1"/>
  <c r="U1987" i="2"/>
  <c r="S1987" i="2"/>
  <c r="T1987" i="2" s="1"/>
  <c r="P1987" i="2"/>
  <c r="R1987" i="2" s="1"/>
  <c r="O1987" i="2"/>
  <c r="N1987" i="2"/>
  <c r="M1987" i="2"/>
  <c r="L1987" i="2"/>
  <c r="V1987" i="2" s="1"/>
  <c r="U1986" i="2"/>
  <c r="S1986" i="2"/>
  <c r="T1986" i="2" s="1"/>
  <c r="P1986" i="2"/>
  <c r="R1986" i="2" s="1"/>
  <c r="O1986" i="2"/>
  <c r="N1986" i="2"/>
  <c r="M1986" i="2"/>
  <c r="L1986" i="2"/>
  <c r="V1986" i="2" s="1"/>
  <c r="U1985" i="2"/>
  <c r="S1985" i="2"/>
  <c r="T1985" i="2" s="1"/>
  <c r="Q1985" i="2"/>
  <c r="P1985" i="2"/>
  <c r="R1985" i="2" s="1"/>
  <c r="O1985" i="2"/>
  <c r="N1985" i="2"/>
  <c r="M1985" i="2"/>
  <c r="L1985" i="2"/>
  <c r="V1985" i="2" s="1"/>
  <c r="U1984" i="2"/>
  <c r="S1984" i="2"/>
  <c r="T1984" i="2" s="1"/>
  <c r="P1984" i="2"/>
  <c r="R1984" i="2" s="1"/>
  <c r="O1984" i="2"/>
  <c r="N1984" i="2"/>
  <c r="M1984" i="2"/>
  <c r="L1984" i="2"/>
  <c r="V1984" i="2" s="1"/>
  <c r="U1983" i="2"/>
  <c r="S1983" i="2"/>
  <c r="T1983" i="2" s="1"/>
  <c r="P1983" i="2"/>
  <c r="R1983" i="2" s="1"/>
  <c r="O1983" i="2"/>
  <c r="N1983" i="2"/>
  <c r="M1983" i="2"/>
  <c r="L1983" i="2"/>
  <c r="V1983" i="2" s="1"/>
  <c r="U1982" i="2"/>
  <c r="S1982" i="2"/>
  <c r="T1982" i="2" s="1"/>
  <c r="P1982" i="2"/>
  <c r="R1982" i="2" s="1"/>
  <c r="O1982" i="2"/>
  <c r="N1982" i="2"/>
  <c r="M1982" i="2"/>
  <c r="L1982" i="2"/>
  <c r="V1982" i="2" s="1"/>
  <c r="U1981" i="2"/>
  <c r="S1981" i="2"/>
  <c r="T1981" i="2" s="1"/>
  <c r="P1981" i="2"/>
  <c r="R1981" i="2" s="1"/>
  <c r="O1981" i="2"/>
  <c r="N1981" i="2"/>
  <c r="M1981" i="2"/>
  <c r="L1981" i="2"/>
  <c r="V1981" i="2" s="1"/>
  <c r="U1980" i="2"/>
  <c r="S1980" i="2"/>
  <c r="T1980" i="2" s="1"/>
  <c r="P1980" i="2"/>
  <c r="R1980" i="2" s="1"/>
  <c r="O1980" i="2"/>
  <c r="N1980" i="2"/>
  <c r="M1980" i="2"/>
  <c r="L1980" i="2"/>
  <c r="V1980" i="2" s="1"/>
  <c r="U1979" i="2"/>
  <c r="S1979" i="2"/>
  <c r="T1979" i="2" s="1"/>
  <c r="P1979" i="2"/>
  <c r="R1979" i="2" s="1"/>
  <c r="O1979" i="2"/>
  <c r="N1979" i="2"/>
  <c r="M1979" i="2"/>
  <c r="L1979" i="2"/>
  <c r="V1979" i="2" s="1"/>
  <c r="U1978" i="2"/>
  <c r="S1978" i="2"/>
  <c r="T1978" i="2" s="1"/>
  <c r="P1978" i="2"/>
  <c r="R1978" i="2" s="1"/>
  <c r="O1978" i="2"/>
  <c r="N1978" i="2"/>
  <c r="M1978" i="2"/>
  <c r="L1978" i="2"/>
  <c r="V1978" i="2" s="1"/>
  <c r="U1977" i="2"/>
  <c r="S1977" i="2"/>
  <c r="T1977" i="2" s="1"/>
  <c r="P1977" i="2"/>
  <c r="R1977" i="2" s="1"/>
  <c r="O1977" i="2"/>
  <c r="N1977" i="2"/>
  <c r="M1977" i="2"/>
  <c r="L1977" i="2"/>
  <c r="V1977" i="2" s="1"/>
  <c r="U1976" i="2"/>
  <c r="S1976" i="2"/>
  <c r="T1976" i="2" s="1"/>
  <c r="P1976" i="2"/>
  <c r="R1976" i="2" s="1"/>
  <c r="O1976" i="2"/>
  <c r="N1976" i="2"/>
  <c r="M1976" i="2"/>
  <c r="L1976" i="2"/>
  <c r="V1976" i="2" s="1"/>
  <c r="U1975" i="2"/>
  <c r="S1975" i="2"/>
  <c r="T1975" i="2" s="1"/>
  <c r="Q1975" i="2"/>
  <c r="P1975" i="2"/>
  <c r="R1975" i="2" s="1"/>
  <c r="O1975" i="2"/>
  <c r="N1975" i="2"/>
  <c r="M1975" i="2"/>
  <c r="L1975" i="2"/>
  <c r="V1975" i="2" s="1"/>
  <c r="U1974" i="2"/>
  <c r="S1974" i="2"/>
  <c r="T1974" i="2" s="1"/>
  <c r="P1974" i="2"/>
  <c r="R1974" i="2" s="1"/>
  <c r="O1974" i="2"/>
  <c r="N1974" i="2"/>
  <c r="M1974" i="2"/>
  <c r="L1974" i="2"/>
  <c r="V1974" i="2" s="1"/>
  <c r="U1973" i="2"/>
  <c r="S1973" i="2"/>
  <c r="T1973" i="2" s="1"/>
  <c r="P1973" i="2"/>
  <c r="R1973" i="2" s="1"/>
  <c r="O1973" i="2"/>
  <c r="N1973" i="2"/>
  <c r="M1973" i="2"/>
  <c r="L1973" i="2"/>
  <c r="V1973" i="2" s="1"/>
  <c r="U1972" i="2"/>
  <c r="S1972" i="2"/>
  <c r="T1972" i="2" s="1"/>
  <c r="P1972" i="2"/>
  <c r="R1972" i="2" s="1"/>
  <c r="O1972" i="2"/>
  <c r="N1972" i="2"/>
  <c r="M1972" i="2"/>
  <c r="L1972" i="2"/>
  <c r="V1972" i="2" s="1"/>
  <c r="U1971" i="2"/>
  <c r="S1971" i="2"/>
  <c r="T1971" i="2" s="1"/>
  <c r="P1971" i="2"/>
  <c r="R1971" i="2" s="1"/>
  <c r="O1971" i="2"/>
  <c r="N1971" i="2"/>
  <c r="M1971" i="2"/>
  <c r="L1971" i="2"/>
  <c r="V1971" i="2" s="1"/>
  <c r="U1970" i="2"/>
  <c r="S1970" i="2"/>
  <c r="T1970" i="2" s="1"/>
  <c r="P1970" i="2"/>
  <c r="R1970" i="2" s="1"/>
  <c r="O1970" i="2"/>
  <c r="N1970" i="2"/>
  <c r="M1970" i="2"/>
  <c r="L1970" i="2"/>
  <c r="V1970" i="2" s="1"/>
  <c r="U1969" i="2"/>
  <c r="S1969" i="2"/>
  <c r="T1969" i="2" s="1"/>
  <c r="P1969" i="2"/>
  <c r="R1969" i="2" s="1"/>
  <c r="O1969" i="2"/>
  <c r="N1969" i="2"/>
  <c r="M1969" i="2"/>
  <c r="L1969" i="2"/>
  <c r="V1969" i="2" s="1"/>
  <c r="U1968" i="2"/>
  <c r="S1968" i="2"/>
  <c r="T1968" i="2" s="1"/>
  <c r="P1968" i="2"/>
  <c r="R1968" i="2" s="1"/>
  <c r="O1968" i="2"/>
  <c r="N1968" i="2"/>
  <c r="M1968" i="2"/>
  <c r="L1968" i="2"/>
  <c r="V1968" i="2" s="1"/>
  <c r="U1967" i="2"/>
  <c r="S1967" i="2"/>
  <c r="T1967" i="2" s="1"/>
  <c r="P1967" i="2"/>
  <c r="R1967" i="2" s="1"/>
  <c r="O1967" i="2"/>
  <c r="N1967" i="2"/>
  <c r="M1967" i="2"/>
  <c r="L1967" i="2"/>
  <c r="V1967" i="2" s="1"/>
  <c r="U1966" i="2"/>
  <c r="S1966" i="2"/>
  <c r="T1966" i="2" s="1"/>
  <c r="P1966" i="2"/>
  <c r="R1966" i="2" s="1"/>
  <c r="O1966" i="2"/>
  <c r="N1966" i="2"/>
  <c r="M1966" i="2"/>
  <c r="L1966" i="2"/>
  <c r="V1966" i="2" s="1"/>
  <c r="U1965" i="2"/>
  <c r="S1965" i="2"/>
  <c r="T1965" i="2" s="1"/>
  <c r="P1965" i="2"/>
  <c r="R1965" i="2" s="1"/>
  <c r="O1965" i="2"/>
  <c r="N1965" i="2"/>
  <c r="M1965" i="2"/>
  <c r="L1965" i="2"/>
  <c r="V1965" i="2" s="1"/>
  <c r="U1964" i="2"/>
  <c r="S1964" i="2"/>
  <c r="T1964" i="2" s="1"/>
  <c r="P1964" i="2"/>
  <c r="R1964" i="2" s="1"/>
  <c r="O1964" i="2"/>
  <c r="N1964" i="2"/>
  <c r="M1964" i="2"/>
  <c r="L1964" i="2"/>
  <c r="V1964" i="2" s="1"/>
  <c r="U1963" i="2"/>
  <c r="S1963" i="2"/>
  <c r="T1963" i="2" s="1"/>
  <c r="P1963" i="2"/>
  <c r="R1963" i="2" s="1"/>
  <c r="O1963" i="2"/>
  <c r="N1963" i="2"/>
  <c r="M1963" i="2"/>
  <c r="L1963" i="2"/>
  <c r="V1963" i="2" s="1"/>
  <c r="U1962" i="2"/>
  <c r="S1962" i="2"/>
  <c r="T1962" i="2" s="1"/>
  <c r="Q1962" i="2"/>
  <c r="P1962" i="2"/>
  <c r="R1962" i="2" s="1"/>
  <c r="O1962" i="2"/>
  <c r="N1962" i="2"/>
  <c r="M1962" i="2"/>
  <c r="L1962" i="2"/>
  <c r="V1962" i="2" s="1"/>
  <c r="U1961" i="2"/>
  <c r="S1961" i="2"/>
  <c r="T1961" i="2" s="1"/>
  <c r="Q1961" i="2"/>
  <c r="P1961" i="2"/>
  <c r="R1961" i="2" s="1"/>
  <c r="O1961" i="2"/>
  <c r="N1961" i="2"/>
  <c r="M1961" i="2"/>
  <c r="L1961" i="2"/>
  <c r="V1961" i="2" s="1"/>
  <c r="U1960" i="2"/>
  <c r="S1960" i="2"/>
  <c r="T1960" i="2" s="1"/>
  <c r="P1960" i="2"/>
  <c r="R1960" i="2" s="1"/>
  <c r="O1960" i="2"/>
  <c r="N1960" i="2"/>
  <c r="M1960" i="2"/>
  <c r="L1960" i="2"/>
  <c r="V1960" i="2" s="1"/>
  <c r="U1959" i="2"/>
  <c r="S1959" i="2"/>
  <c r="T1959" i="2" s="1"/>
  <c r="Q1959" i="2"/>
  <c r="P1959" i="2"/>
  <c r="R1959" i="2" s="1"/>
  <c r="O1959" i="2"/>
  <c r="N1959" i="2"/>
  <c r="M1959" i="2"/>
  <c r="L1959" i="2"/>
  <c r="V1959" i="2" s="1"/>
  <c r="U1958" i="2"/>
  <c r="S1958" i="2"/>
  <c r="T1958" i="2" s="1"/>
  <c r="P1958" i="2"/>
  <c r="R1958" i="2" s="1"/>
  <c r="O1958" i="2"/>
  <c r="N1958" i="2"/>
  <c r="M1958" i="2"/>
  <c r="L1958" i="2"/>
  <c r="V1958" i="2" s="1"/>
  <c r="U1957" i="2"/>
  <c r="S1957" i="2"/>
  <c r="T1957" i="2" s="1"/>
  <c r="P1957" i="2"/>
  <c r="R1957" i="2" s="1"/>
  <c r="O1957" i="2"/>
  <c r="N1957" i="2"/>
  <c r="M1957" i="2"/>
  <c r="L1957" i="2"/>
  <c r="V1957" i="2" s="1"/>
  <c r="U1956" i="2"/>
  <c r="S1956" i="2"/>
  <c r="T1956" i="2" s="1"/>
  <c r="P1956" i="2"/>
  <c r="R1956" i="2" s="1"/>
  <c r="O1956" i="2"/>
  <c r="N1956" i="2"/>
  <c r="M1956" i="2"/>
  <c r="L1956" i="2"/>
  <c r="V1956" i="2" s="1"/>
  <c r="U1955" i="2"/>
  <c r="S1955" i="2"/>
  <c r="T1955" i="2" s="1"/>
  <c r="Q1955" i="2"/>
  <c r="P1955" i="2"/>
  <c r="R1955" i="2" s="1"/>
  <c r="O1955" i="2"/>
  <c r="N1955" i="2"/>
  <c r="M1955" i="2"/>
  <c r="L1955" i="2"/>
  <c r="V1955" i="2" s="1"/>
  <c r="U1954" i="2"/>
  <c r="S1954" i="2"/>
  <c r="T1954" i="2" s="1"/>
  <c r="P1954" i="2"/>
  <c r="R1954" i="2" s="1"/>
  <c r="O1954" i="2"/>
  <c r="N1954" i="2"/>
  <c r="M1954" i="2"/>
  <c r="L1954" i="2"/>
  <c r="V1954" i="2" s="1"/>
  <c r="U1953" i="2"/>
  <c r="S1953" i="2"/>
  <c r="T1953" i="2" s="1"/>
  <c r="P1953" i="2"/>
  <c r="R1953" i="2" s="1"/>
  <c r="O1953" i="2"/>
  <c r="N1953" i="2"/>
  <c r="M1953" i="2"/>
  <c r="L1953" i="2"/>
  <c r="V1953" i="2" s="1"/>
  <c r="U1952" i="2"/>
  <c r="S1952" i="2"/>
  <c r="T1952" i="2" s="1"/>
  <c r="P1952" i="2"/>
  <c r="R1952" i="2" s="1"/>
  <c r="O1952" i="2"/>
  <c r="N1952" i="2"/>
  <c r="M1952" i="2"/>
  <c r="L1952" i="2"/>
  <c r="V1952" i="2" s="1"/>
  <c r="U1951" i="2"/>
  <c r="S1951" i="2"/>
  <c r="T1951" i="2" s="1"/>
  <c r="P1951" i="2"/>
  <c r="R1951" i="2" s="1"/>
  <c r="O1951" i="2"/>
  <c r="N1951" i="2"/>
  <c r="M1951" i="2"/>
  <c r="L1951" i="2"/>
  <c r="V1951" i="2" s="1"/>
  <c r="U1950" i="2"/>
  <c r="S1950" i="2"/>
  <c r="T1950" i="2" s="1"/>
  <c r="Q1950" i="2"/>
  <c r="P1950" i="2"/>
  <c r="R1950" i="2" s="1"/>
  <c r="O1950" i="2"/>
  <c r="N1950" i="2"/>
  <c r="M1950" i="2"/>
  <c r="L1950" i="2"/>
  <c r="V1950" i="2" s="1"/>
  <c r="U1949" i="2"/>
  <c r="S1949" i="2"/>
  <c r="T1949" i="2" s="1"/>
  <c r="P1949" i="2"/>
  <c r="R1949" i="2" s="1"/>
  <c r="O1949" i="2"/>
  <c r="N1949" i="2"/>
  <c r="M1949" i="2"/>
  <c r="L1949" i="2"/>
  <c r="V1949" i="2" s="1"/>
  <c r="U1948" i="2"/>
  <c r="S1948" i="2"/>
  <c r="T1948" i="2" s="1"/>
  <c r="P1948" i="2"/>
  <c r="R1948" i="2" s="1"/>
  <c r="O1948" i="2"/>
  <c r="N1948" i="2"/>
  <c r="M1948" i="2"/>
  <c r="L1948" i="2"/>
  <c r="V1948" i="2" s="1"/>
  <c r="U1947" i="2"/>
  <c r="S1947" i="2"/>
  <c r="T1947" i="2" s="1"/>
  <c r="P1947" i="2"/>
  <c r="R1947" i="2" s="1"/>
  <c r="O1947" i="2"/>
  <c r="N1947" i="2"/>
  <c r="M1947" i="2"/>
  <c r="L1947" i="2"/>
  <c r="V1947" i="2" s="1"/>
  <c r="U1946" i="2"/>
  <c r="S1946" i="2"/>
  <c r="T1946" i="2" s="1"/>
  <c r="P1946" i="2"/>
  <c r="R1946" i="2" s="1"/>
  <c r="O1946" i="2"/>
  <c r="N1946" i="2"/>
  <c r="M1946" i="2"/>
  <c r="L1946" i="2"/>
  <c r="V1946" i="2" s="1"/>
  <c r="U1945" i="2"/>
  <c r="S1945" i="2"/>
  <c r="T1945" i="2" s="1"/>
  <c r="P1945" i="2"/>
  <c r="R1945" i="2" s="1"/>
  <c r="O1945" i="2"/>
  <c r="N1945" i="2"/>
  <c r="M1945" i="2"/>
  <c r="L1945" i="2"/>
  <c r="V1945" i="2" s="1"/>
  <c r="U1944" i="2"/>
  <c r="S1944" i="2"/>
  <c r="T1944" i="2" s="1"/>
  <c r="P1944" i="2"/>
  <c r="R1944" i="2" s="1"/>
  <c r="O1944" i="2"/>
  <c r="N1944" i="2"/>
  <c r="M1944" i="2"/>
  <c r="L1944" i="2"/>
  <c r="V1944" i="2" s="1"/>
  <c r="U1943" i="2"/>
  <c r="S1943" i="2"/>
  <c r="T1943" i="2" s="1"/>
  <c r="P1943" i="2"/>
  <c r="R1943" i="2" s="1"/>
  <c r="O1943" i="2"/>
  <c r="N1943" i="2"/>
  <c r="M1943" i="2"/>
  <c r="L1943" i="2"/>
  <c r="V1943" i="2" s="1"/>
  <c r="U1942" i="2"/>
  <c r="S1942" i="2"/>
  <c r="T1942" i="2" s="1"/>
  <c r="P1942" i="2"/>
  <c r="R1942" i="2" s="1"/>
  <c r="O1942" i="2"/>
  <c r="N1942" i="2"/>
  <c r="M1942" i="2"/>
  <c r="L1942" i="2"/>
  <c r="V1942" i="2" s="1"/>
  <c r="U1941" i="2"/>
  <c r="S1941" i="2"/>
  <c r="T1941" i="2" s="1"/>
  <c r="Q1941" i="2"/>
  <c r="P1941" i="2"/>
  <c r="R1941" i="2" s="1"/>
  <c r="O1941" i="2"/>
  <c r="N1941" i="2"/>
  <c r="M1941" i="2"/>
  <c r="L1941" i="2"/>
  <c r="V1941" i="2" s="1"/>
  <c r="U1940" i="2"/>
  <c r="S1940" i="2"/>
  <c r="T1940" i="2" s="1"/>
  <c r="Q1940" i="2"/>
  <c r="P1940" i="2"/>
  <c r="R1940" i="2" s="1"/>
  <c r="O1940" i="2"/>
  <c r="N1940" i="2"/>
  <c r="M1940" i="2"/>
  <c r="L1940" i="2"/>
  <c r="V1940" i="2" s="1"/>
  <c r="U1939" i="2"/>
  <c r="S1939" i="2"/>
  <c r="T1939" i="2" s="1"/>
  <c r="P1939" i="2"/>
  <c r="R1939" i="2" s="1"/>
  <c r="O1939" i="2"/>
  <c r="N1939" i="2"/>
  <c r="M1939" i="2"/>
  <c r="L1939" i="2"/>
  <c r="V1939" i="2" s="1"/>
  <c r="U1938" i="2"/>
  <c r="S1938" i="2"/>
  <c r="T1938" i="2" s="1"/>
  <c r="P1938" i="2"/>
  <c r="R1938" i="2" s="1"/>
  <c r="O1938" i="2"/>
  <c r="N1938" i="2"/>
  <c r="M1938" i="2"/>
  <c r="L1938" i="2"/>
  <c r="V1938" i="2" s="1"/>
  <c r="U1937" i="2"/>
  <c r="S1937" i="2"/>
  <c r="T1937" i="2" s="1"/>
  <c r="P1937" i="2"/>
  <c r="R1937" i="2" s="1"/>
  <c r="O1937" i="2"/>
  <c r="N1937" i="2"/>
  <c r="M1937" i="2"/>
  <c r="L1937" i="2"/>
  <c r="V1937" i="2" s="1"/>
  <c r="U1936" i="2"/>
  <c r="S1936" i="2"/>
  <c r="T1936" i="2" s="1"/>
  <c r="P1936" i="2"/>
  <c r="R1936" i="2" s="1"/>
  <c r="O1936" i="2"/>
  <c r="N1936" i="2"/>
  <c r="M1936" i="2"/>
  <c r="L1936" i="2"/>
  <c r="V1936" i="2" s="1"/>
  <c r="U1935" i="2"/>
  <c r="S1935" i="2"/>
  <c r="T1935" i="2" s="1"/>
  <c r="P1935" i="2"/>
  <c r="R1935" i="2" s="1"/>
  <c r="O1935" i="2"/>
  <c r="N1935" i="2"/>
  <c r="M1935" i="2"/>
  <c r="L1935" i="2"/>
  <c r="V1935" i="2" s="1"/>
  <c r="U1934" i="2"/>
  <c r="S1934" i="2"/>
  <c r="T1934" i="2" s="1"/>
  <c r="P1934" i="2"/>
  <c r="R1934" i="2" s="1"/>
  <c r="O1934" i="2"/>
  <c r="N1934" i="2"/>
  <c r="M1934" i="2"/>
  <c r="L1934" i="2"/>
  <c r="V1934" i="2" s="1"/>
  <c r="U1933" i="2"/>
  <c r="S1933" i="2"/>
  <c r="T1933" i="2" s="1"/>
  <c r="P1933" i="2"/>
  <c r="R1933" i="2" s="1"/>
  <c r="O1933" i="2"/>
  <c r="N1933" i="2"/>
  <c r="M1933" i="2"/>
  <c r="L1933" i="2"/>
  <c r="V1933" i="2" s="1"/>
  <c r="U1932" i="2"/>
  <c r="S1932" i="2"/>
  <c r="T1932" i="2" s="1"/>
  <c r="P1932" i="2"/>
  <c r="R1932" i="2" s="1"/>
  <c r="O1932" i="2"/>
  <c r="N1932" i="2"/>
  <c r="M1932" i="2"/>
  <c r="L1932" i="2"/>
  <c r="V1932" i="2" s="1"/>
  <c r="U1931" i="2"/>
  <c r="S1931" i="2"/>
  <c r="T1931" i="2" s="1"/>
  <c r="P1931" i="2"/>
  <c r="R1931" i="2" s="1"/>
  <c r="O1931" i="2"/>
  <c r="N1931" i="2"/>
  <c r="M1931" i="2"/>
  <c r="L1931" i="2"/>
  <c r="V1931" i="2" s="1"/>
  <c r="U1930" i="2"/>
  <c r="S1930" i="2"/>
  <c r="T1930" i="2" s="1"/>
  <c r="P1930" i="2"/>
  <c r="R1930" i="2" s="1"/>
  <c r="O1930" i="2"/>
  <c r="N1930" i="2"/>
  <c r="M1930" i="2"/>
  <c r="L1930" i="2"/>
  <c r="V1930" i="2" s="1"/>
  <c r="U1929" i="2"/>
  <c r="S1929" i="2"/>
  <c r="T1929" i="2" s="1"/>
  <c r="P1929" i="2"/>
  <c r="R1929" i="2" s="1"/>
  <c r="O1929" i="2"/>
  <c r="N1929" i="2"/>
  <c r="M1929" i="2"/>
  <c r="L1929" i="2"/>
  <c r="V1929" i="2" s="1"/>
  <c r="U1928" i="2"/>
  <c r="S1928" i="2"/>
  <c r="T1928" i="2" s="1"/>
  <c r="P1928" i="2"/>
  <c r="R1928" i="2" s="1"/>
  <c r="O1928" i="2"/>
  <c r="N1928" i="2"/>
  <c r="M1928" i="2"/>
  <c r="L1928" i="2"/>
  <c r="V1928" i="2" s="1"/>
  <c r="U1927" i="2"/>
  <c r="S1927" i="2"/>
  <c r="T1927" i="2" s="1"/>
  <c r="Q1927" i="2"/>
  <c r="P1927" i="2"/>
  <c r="R1927" i="2" s="1"/>
  <c r="O1927" i="2"/>
  <c r="N1927" i="2"/>
  <c r="M1927" i="2"/>
  <c r="L1927" i="2"/>
  <c r="V1927" i="2" s="1"/>
  <c r="U1926" i="2"/>
  <c r="S1926" i="2"/>
  <c r="T1926" i="2" s="1"/>
  <c r="P1926" i="2"/>
  <c r="R1926" i="2" s="1"/>
  <c r="O1926" i="2"/>
  <c r="N1926" i="2"/>
  <c r="M1926" i="2"/>
  <c r="L1926" i="2"/>
  <c r="V1926" i="2" s="1"/>
  <c r="U1925" i="2"/>
  <c r="S1925" i="2"/>
  <c r="T1925" i="2" s="1"/>
  <c r="P1925" i="2"/>
  <c r="R1925" i="2" s="1"/>
  <c r="O1925" i="2"/>
  <c r="N1925" i="2"/>
  <c r="M1925" i="2"/>
  <c r="L1925" i="2"/>
  <c r="V1925" i="2" s="1"/>
  <c r="U1924" i="2"/>
  <c r="S1924" i="2"/>
  <c r="T1924" i="2" s="1"/>
  <c r="P1924" i="2"/>
  <c r="R1924" i="2" s="1"/>
  <c r="O1924" i="2"/>
  <c r="N1924" i="2"/>
  <c r="M1924" i="2"/>
  <c r="L1924" i="2"/>
  <c r="V1924" i="2" s="1"/>
  <c r="U1923" i="2"/>
  <c r="S1923" i="2"/>
  <c r="T1923" i="2" s="1"/>
  <c r="Q1923" i="2"/>
  <c r="P1923" i="2"/>
  <c r="R1923" i="2" s="1"/>
  <c r="O1923" i="2"/>
  <c r="N1923" i="2"/>
  <c r="M1923" i="2"/>
  <c r="L1923" i="2"/>
  <c r="V1923" i="2" s="1"/>
  <c r="U1922" i="2"/>
  <c r="S1922" i="2"/>
  <c r="T1922" i="2" s="1"/>
  <c r="P1922" i="2"/>
  <c r="R1922" i="2" s="1"/>
  <c r="O1922" i="2"/>
  <c r="N1922" i="2"/>
  <c r="M1922" i="2"/>
  <c r="L1922" i="2"/>
  <c r="V1922" i="2" s="1"/>
  <c r="U1921" i="2"/>
  <c r="S1921" i="2"/>
  <c r="T1921" i="2" s="1"/>
  <c r="Q1921" i="2"/>
  <c r="P1921" i="2"/>
  <c r="R1921" i="2" s="1"/>
  <c r="O1921" i="2"/>
  <c r="N1921" i="2"/>
  <c r="M1921" i="2"/>
  <c r="L1921" i="2"/>
  <c r="V1921" i="2" s="1"/>
  <c r="U1920" i="2"/>
  <c r="S1920" i="2"/>
  <c r="T1920" i="2" s="1"/>
  <c r="P1920" i="2"/>
  <c r="R1920" i="2" s="1"/>
  <c r="O1920" i="2"/>
  <c r="N1920" i="2"/>
  <c r="M1920" i="2"/>
  <c r="L1920" i="2"/>
  <c r="V1920" i="2" s="1"/>
  <c r="U1919" i="2"/>
  <c r="S1919" i="2"/>
  <c r="T1919" i="2" s="1"/>
  <c r="Q1919" i="2"/>
  <c r="P1919" i="2"/>
  <c r="R1919" i="2" s="1"/>
  <c r="O1919" i="2"/>
  <c r="N1919" i="2"/>
  <c r="M1919" i="2"/>
  <c r="L1919" i="2"/>
  <c r="V1919" i="2" s="1"/>
  <c r="U1918" i="2"/>
  <c r="S1918" i="2"/>
  <c r="T1918" i="2" s="1"/>
  <c r="P1918" i="2"/>
  <c r="R1918" i="2" s="1"/>
  <c r="O1918" i="2"/>
  <c r="N1918" i="2"/>
  <c r="M1918" i="2"/>
  <c r="L1918" i="2"/>
  <c r="V1918" i="2" s="1"/>
  <c r="U1917" i="2"/>
  <c r="S1917" i="2"/>
  <c r="T1917" i="2" s="1"/>
  <c r="P1917" i="2"/>
  <c r="R1917" i="2" s="1"/>
  <c r="O1917" i="2"/>
  <c r="N1917" i="2"/>
  <c r="M1917" i="2"/>
  <c r="L1917" i="2"/>
  <c r="V1917" i="2" s="1"/>
  <c r="U1916" i="2"/>
  <c r="S1916" i="2"/>
  <c r="T1916" i="2" s="1"/>
  <c r="Q1916" i="2"/>
  <c r="P1916" i="2"/>
  <c r="R1916" i="2" s="1"/>
  <c r="O1916" i="2"/>
  <c r="N1916" i="2"/>
  <c r="M1916" i="2"/>
  <c r="L1916" i="2"/>
  <c r="V1916" i="2" s="1"/>
  <c r="U1915" i="2"/>
  <c r="S1915" i="2"/>
  <c r="T1915" i="2" s="1"/>
  <c r="P1915" i="2"/>
  <c r="R1915" i="2" s="1"/>
  <c r="O1915" i="2"/>
  <c r="N1915" i="2"/>
  <c r="M1915" i="2"/>
  <c r="L1915" i="2"/>
  <c r="V1915" i="2" s="1"/>
  <c r="U1914" i="2"/>
  <c r="S1914" i="2"/>
  <c r="T1914" i="2" s="1"/>
  <c r="P1914" i="2"/>
  <c r="R1914" i="2" s="1"/>
  <c r="O1914" i="2"/>
  <c r="N1914" i="2"/>
  <c r="M1914" i="2"/>
  <c r="L1914" i="2"/>
  <c r="V1914" i="2" s="1"/>
  <c r="U1913" i="2"/>
  <c r="S1913" i="2"/>
  <c r="T1913" i="2" s="1"/>
  <c r="P1913" i="2"/>
  <c r="R1913" i="2" s="1"/>
  <c r="O1913" i="2"/>
  <c r="N1913" i="2"/>
  <c r="M1913" i="2"/>
  <c r="L1913" i="2"/>
  <c r="V1913" i="2" s="1"/>
  <c r="U1912" i="2"/>
  <c r="S1912" i="2"/>
  <c r="T1912" i="2" s="1"/>
  <c r="P1912" i="2"/>
  <c r="R1912" i="2" s="1"/>
  <c r="O1912" i="2"/>
  <c r="N1912" i="2"/>
  <c r="M1912" i="2"/>
  <c r="L1912" i="2"/>
  <c r="V1912" i="2" s="1"/>
  <c r="U1911" i="2"/>
  <c r="S1911" i="2"/>
  <c r="T1911" i="2" s="1"/>
  <c r="Q1911" i="2"/>
  <c r="P1911" i="2"/>
  <c r="R1911" i="2" s="1"/>
  <c r="O1911" i="2"/>
  <c r="N1911" i="2"/>
  <c r="M1911" i="2"/>
  <c r="L1911" i="2"/>
  <c r="V1911" i="2" s="1"/>
  <c r="U1910" i="2"/>
  <c r="S1910" i="2"/>
  <c r="T1910" i="2" s="1"/>
  <c r="P1910" i="2"/>
  <c r="R1910" i="2" s="1"/>
  <c r="O1910" i="2"/>
  <c r="N1910" i="2"/>
  <c r="M1910" i="2"/>
  <c r="L1910" i="2"/>
  <c r="V1910" i="2" s="1"/>
  <c r="U1909" i="2"/>
  <c r="S1909" i="2"/>
  <c r="T1909" i="2" s="1"/>
  <c r="P1909" i="2"/>
  <c r="R1909" i="2" s="1"/>
  <c r="O1909" i="2"/>
  <c r="N1909" i="2"/>
  <c r="M1909" i="2"/>
  <c r="L1909" i="2"/>
  <c r="V1909" i="2" s="1"/>
  <c r="U1908" i="2"/>
  <c r="S1908" i="2"/>
  <c r="T1908" i="2" s="1"/>
  <c r="P1908" i="2"/>
  <c r="R1908" i="2" s="1"/>
  <c r="O1908" i="2"/>
  <c r="N1908" i="2"/>
  <c r="M1908" i="2"/>
  <c r="L1908" i="2"/>
  <c r="V1908" i="2" s="1"/>
  <c r="U1907" i="2"/>
  <c r="S1907" i="2"/>
  <c r="T1907" i="2" s="1"/>
  <c r="P1907" i="2"/>
  <c r="R1907" i="2" s="1"/>
  <c r="O1907" i="2"/>
  <c r="N1907" i="2"/>
  <c r="M1907" i="2"/>
  <c r="L1907" i="2"/>
  <c r="V1907" i="2" s="1"/>
  <c r="U1906" i="2"/>
  <c r="S1906" i="2"/>
  <c r="T1906" i="2" s="1"/>
  <c r="P1906" i="2"/>
  <c r="R1906" i="2" s="1"/>
  <c r="O1906" i="2"/>
  <c r="N1906" i="2"/>
  <c r="M1906" i="2"/>
  <c r="L1906" i="2"/>
  <c r="V1906" i="2" s="1"/>
  <c r="U1905" i="2"/>
  <c r="S1905" i="2"/>
  <c r="T1905" i="2" s="1"/>
  <c r="P1905" i="2"/>
  <c r="R1905" i="2" s="1"/>
  <c r="O1905" i="2"/>
  <c r="N1905" i="2"/>
  <c r="M1905" i="2"/>
  <c r="L1905" i="2"/>
  <c r="V1905" i="2" s="1"/>
  <c r="U1904" i="2"/>
  <c r="S1904" i="2"/>
  <c r="T1904" i="2" s="1"/>
  <c r="Q1904" i="2"/>
  <c r="P1904" i="2"/>
  <c r="R1904" i="2" s="1"/>
  <c r="O1904" i="2"/>
  <c r="N1904" i="2"/>
  <c r="M1904" i="2"/>
  <c r="L1904" i="2"/>
  <c r="V1904" i="2" s="1"/>
  <c r="U1903" i="2"/>
  <c r="S1903" i="2"/>
  <c r="T1903" i="2" s="1"/>
  <c r="P1903" i="2"/>
  <c r="R1903" i="2" s="1"/>
  <c r="O1903" i="2"/>
  <c r="N1903" i="2"/>
  <c r="M1903" i="2"/>
  <c r="L1903" i="2"/>
  <c r="V1903" i="2" s="1"/>
  <c r="U1902" i="2"/>
  <c r="S1902" i="2"/>
  <c r="T1902" i="2" s="1"/>
  <c r="P1902" i="2"/>
  <c r="R1902" i="2" s="1"/>
  <c r="O1902" i="2"/>
  <c r="N1902" i="2"/>
  <c r="M1902" i="2"/>
  <c r="L1902" i="2"/>
  <c r="V1902" i="2" s="1"/>
  <c r="U1901" i="2"/>
  <c r="S1901" i="2"/>
  <c r="T1901" i="2" s="1"/>
  <c r="R1901" i="2"/>
  <c r="P1901" i="2"/>
  <c r="O1901" i="2"/>
  <c r="N1901" i="2"/>
  <c r="M1901" i="2"/>
  <c r="L1901" i="2"/>
  <c r="V1901" i="2" s="1"/>
  <c r="U1900" i="2"/>
  <c r="S1900" i="2"/>
  <c r="T1900" i="2" s="1"/>
  <c r="P1900" i="2"/>
  <c r="R1900" i="2" s="1"/>
  <c r="O1900" i="2"/>
  <c r="N1900" i="2"/>
  <c r="M1900" i="2"/>
  <c r="L1900" i="2"/>
  <c r="V1900" i="2" s="1"/>
  <c r="U1899" i="2"/>
  <c r="S1899" i="2"/>
  <c r="T1899" i="2" s="1"/>
  <c r="Q1899" i="2"/>
  <c r="P1899" i="2"/>
  <c r="R1899" i="2" s="1"/>
  <c r="O1899" i="2"/>
  <c r="N1899" i="2"/>
  <c r="M1899" i="2"/>
  <c r="L1899" i="2"/>
  <c r="V1899" i="2" s="1"/>
  <c r="U1898" i="2"/>
  <c r="S1898" i="2"/>
  <c r="T1898" i="2" s="1"/>
  <c r="P1898" i="2"/>
  <c r="R1898" i="2" s="1"/>
  <c r="O1898" i="2"/>
  <c r="N1898" i="2"/>
  <c r="M1898" i="2"/>
  <c r="L1898" i="2"/>
  <c r="V1898" i="2" s="1"/>
  <c r="U1897" i="2"/>
  <c r="S1897" i="2"/>
  <c r="T1897" i="2" s="1"/>
  <c r="P1897" i="2"/>
  <c r="R1897" i="2" s="1"/>
  <c r="O1897" i="2"/>
  <c r="N1897" i="2"/>
  <c r="M1897" i="2"/>
  <c r="L1897" i="2"/>
  <c r="V1897" i="2" s="1"/>
  <c r="U1896" i="2"/>
  <c r="S1896" i="2"/>
  <c r="T1896" i="2" s="1"/>
  <c r="P1896" i="2"/>
  <c r="R1896" i="2" s="1"/>
  <c r="O1896" i="2"/>
  <c r="N1896" i="2"/>
  <c r="M1896" i="2"/>
  <c r="L1896" i="2"/>
  <c r="V1896" i="2" s="1"/>
  <c r="U1895" i="2"/>
  <c r="S1895" i="2"/>
  <c r="T1895" i="2" s="1"/>
  <c r="P1895" i="2"/>
  <c r="R1895" i="2" s="1"/>
  <c r="O1895" i="2"/>
  <c r="N1895" i="2"/>
  <c r="M1895" i="2"/>
  <c r="L1895" i="2"/>
  <c r="V1895" i="2" s="1"/>
  <c r="U1894" i="2"/>
  <c r="S1894" i="2"/>
  <c r="T1894" i="2" s="1"/>
  <c r="P1894" i="2"/>
  <c r="R1894" i="2" s="1"/>
  <c r="O1894" i="2"/>
  <c r="N1894" i="2"/>
  <c r="M1894" i="2"/>
  <c r="L1894" i="2"/>
  <c r="V1894" i="2" s="1"/>
  <c r="U1893" i="2"/>
  <c r="S1893" i="2"/>
  <c r="T1893" i="2" s="1"/>
  <c r="Q1893" i="2"/>
  <c r="P1893" i="2"/>
  <c r="R1893" i="2" s="1"/>
  <c r="O1893" i="2"/>
  <c r="N1893" i="2"/>
  <c r="M1893" i="2"/>
  <c r="L1893" i="2"/>
  <c r="V1893" i="2" s="1"/>
  <c r="U1892" i="2"/>
  <c r="S1892" i="2"/>
  <c r="T1892" i="2" s="1"/>
  <c r="P1892" i="2"/>
  <c r="R1892" i="2" s="1"/>
  <c r="O1892" i="2"/>
  <c r="N1892" i="2"/>
  <c r="M1892" i="2"/>
  <c r="L1892" i="2"/>
  <c r="V1892" i="2" s="1"/>
  <c r="U1891" i="2"/>
  <c r="S1891" i="2"/>
  <c r="T1891" i="2" s="1"/>
  <c r="Q1891" i="2"/>
  <c r="P1891" i="2"/>
  <c r="R1891" i="2" s="1"/>
  <c r="O1891" i="2"/>
  <c r="N1891" i="2"/>
  <c r="M1891" i="2"/>
  <c r="L1891" i="2"/>
  <c r="V1891" i="2" s="1"/>
  <c r="U1890" i="2"/>
  <c r="S1890" i="2"/>
  <c r="T1890" i="2" s="1"/>
  <c r="P1890" i="2"/>
  <c r="R1890" i="2" s="1"/>
  <c r="O1890" i="2"/>
  <c r="N1890" i="2"/>
  <c r="M1890" i="2"/>
  <c r="L1890" i="2"/>
  <c r="V1890" i="2" s="1"/>
  <c r="U1889" i="2"/>
  <c r="S1889" i="2"/>
  <c r="T1889" i="2" s="1"/>
  <c r="P1889" i="2"/>
  <c r="R1889" i="2" s="1"/>
  <c r="O1889" i="2"/>
  <c r="N1889" i="2"/>
  <c r="M1889" i="2"/>
  <c r="L1889" i="2"/>
  <c r="V1889" i="2" s="1"/>
  <c r="U1888" i="2"/>
  <c r="S1888" i="2"/>
  <c r="T1888" i="2" s="1"/>
  <c r="P1888" i="2"/>
  <c r="R1888" i="2" s="1"/>
  <c r="O1888" i="2"/>
  <c r="N1888" i="2"/>
  <c r="M1888" i="2"/>
  <c r="L1888" i="2"/>
  <c r="V1888" i="2" s="1"/>
  <c r="U1887" i="2"/>
  <c r="S1887" i="2"/>
  <c r="T1887" i="2" s="1"/>
  <c r="P1887" i="2"/>
  <c r="R1887" i="2" s="1"/>
  <c r="O1887" i="2"/>
  <c r="N1887" i="2"/>
  <c r="M1887" i="2"/>
  <c r="L1887" i="2"/>
  <c r="V1887" i="2" s="1"/>
  <c r="U1886" i="2"/>
  <c r="S1886" i="2"/>
  <c r="T1886" i="2" s="1"/>
  <c r="P1886" i="2"/>
  <c r="R1886" i="2" s="1"/>
  <c r="O1886" i="2"/>
  <c r="N1886" i="2"/>
  <c r="M1886" i="2"/>
  <c r="L1886" i="2"/>
  <c r="V1886" i="2" s="1"/>
  <c r="U1885" i="2"/>
  <c r="S1885" i="2"/>
  <c r="T1885" i="2" s="1"/>
  <c r="P1885" i="2"/>
  <c r="R1885" i="2" s="1"/>
  <c r="O1885" i="2"/>
  <c r="N1885" i="2"/>
  <c r="M1885" i="2"/>
  <c r="L1885" i="2"/>
  <c r="V1885" i="2" s="1"/>
  <c r="U1884" i="2"/>
  <c r="S1884" i="2"/>
  <c r="T1884" i="2" s="1"/>
  <c r="P1884" i="2"/>
  <c r="R1884" i="2" s="1"/>
  <c r="O1884" i="2"/>
  <c r="N1884" i="2"/>
  <c r="M1884" i="2"/>
  <c r="L1884" i="2"/>
  <c r="V1884" i="2" s="1"/>
  <c r="U1883" i="2"/>
  <c r="S1883" i="2"/>
  <c r="T1883" i="2" s="1"/>
  <c r="P1883" i="2"/>
  <c r="R1883" i="2" s="1"/>
  <c r="O1883" i="2"/>
  <c r="N1883" i="2"/>
  <c r="M1883" i="2"/>
  <c r="L1883" i="2"/>
  <c r="V1883" i="2" s="1"/>
  <c r="U1882" i="2"/>
  <c r="S1882" i="2"/>
  <c r="T1882" i="2" s="1"/>
  <c r="Q1882" i="2"/>
  <c r="P1882" i="2"/>
  <c r="R1882" i="2" s="1"/>
  <c r="O1882" i="2"/>
  <c r="N1882" i="2"/>
  <c r="M1882" i="2"/>
  <c r="L1882" i="2"/>
  <c r="V1882" i="2" s="1"/>
  <c r="U1881" i="2"/>
  <c r="S1881" i="2"/>
  <c r="T1881" i="2" s="1"/>
  <c r="P1881" i="2"/>
  <c r="R1881" i="2" s="1"/>
  <c r="O1881" i="2"/>
  <c r="N1881" i="2"/>
  <c r="M1881" i="2"/>
  <c r="L1881" i="2"/>
  <c r="V1881" i="2" s="1"/>
  <c r="U1880" i="2"/>
  <c r="S1880" i="2"/>
  <c r="T1880" i="2" s="1"/>
  <c r="Q1880" i="2"/>
  <c r="P1880" i="2"/>
  <c r="R1880" i="2" s="1"/>
  <c r="O1880" i="2"/>
  <c r="N1880" i="2"/>
  <c r="M1880" i="2"/>
  <c r="L1880" i="2"/>
  <c r="V1880" i="2" s="1"/>
  <c r="U1879" i="2"/>
  <c r="S1879" i="2"/>
  <c r="T1879" i="2" s="1"/>
  <c r="Q1879" i="2"/>
  <c r="P1879" i="2"/>
  <c r="R1879" i="2" s="1"/>
  <c r="O1879" i="2"/>
  <c r="N1879" i="2"/>
  <c r="M1879" i="2"/>
  <c r="L1879" i="2"/>
  <c r="V1879" i="2" s="1"/>
  <c r="U1878" i="2"/>
  <c r="S1878" i="2"/>
  <c r="T1878" i="2" s="1"/>
  <c r="P1878" i="2"/>
  <c r="R1878" i="2" s="1"/>
  <c r="O1878" i="2"/>
  <c r="N1878" i="2"/>
  <c r="M1878" i="2"/>
  <c r="L1878" i="2"/>
  <c r="V1878" i="2" s="1"/>
  <c r="U1877" i="2"/>
  <c r="S1877" i="2"/>
  <c r="T1877" i="2" s="1"/>
  <c r="P1877" i="2"/>
  <c r="R1877" i="2" s="1"/>
  <c r="O1877" i="2"/>
  <c r="N1877" i="2"/>
  <c r="M1877" i="2"/>
  <c r="L1877" i="2"/>
  <c r="V1877" i="2" s="1"/>
  <c r="U1876" i="2"/>
  <c r="S1876" i="2"/>
  <c r="T1876" i="2" s="1"/>
  <c r="P1876" i="2"/>
  <c r="R1876" i="2" s="1"/>
  <c r="O1876" i="2"/>
  <c r="N1876" i="2"/>
  <c r="M1876" i="2"/>
  <c r="L1876" i="2"/>
  <c r="V1876" i="2" s="1"/>
  <c r="U1875" i="2"/>
  <c r="S1875" i="2"/>
  <c r="T1875" i="2" s="1"/>
  <c r="P1875" i="2"/>
  <c r="R1875" i="2" s="1"/>
  <c r="O1875" i="2"/>
  <c r="N1875" i="2"/>
  <c r="M1875" i="2"/>
  <c r="L1875" i="2"/>
  <c r="V1875" i="2" s="1"/>
  <c r="U1874" i="2"/>
  <c r="S1874" i="2"/>
  <c r="T1874" i="2" s="1"/>
  <c r="Q1874" i="2"/>
  <c r="P1874" i="2"/>
  <c r="R1874" i="2" s="1"/>
  <c r="O1874" i="2"/>
  <c r="N1874" i="2"/>
  <c r="M1874" i="2"/>
  <c r="L1874" i="2"/>
  <c r="V1874" i="2" s="1"/>
  <c r="U1873" i="2"/>
  <c r="S1873" i="2"/>
  <c r="T1873" i="2" s="1"/>
  <c r="Q1873" i="2"/>
  <c r="P1873" i="2"/>
  <c r="R1873" i="2" s="1"/>
  <c r="O1873" i="2"/>
  <c r="N1873" i="2"/>
  <c r="M1873" i="2"/>
  <c r="L1873" i="2"/>
  <c r="V1873" i="2" s="1"/>
  <c r="U1872" i="2"/>
  <c r="S1872" i="2"/>
  <c r="T1872" i="2" s="1"/>
  <c r="P1872" i="2"/>
  <c r="R1872" i="2" s="1"/>
  <c r="O1872" i="2"/>
  <c r="N1872" i="2"/>
  <c r="M1872" i="2"/>
  <c r="L1872" i="2"/>
  <c r="V1872" i="2" s="1"/>
  <c r="U1871" i="2"/>
  <c r="S1871" i="2"/>
  <c r="T1871" i="2" s="1"/>
  <c r="P1871" i="2"/>
  <c r="R1871" i="2" s="1"/>
  <c r="O1871" i="2"/>
  <c r="N1871" i="2"/>
  <c r="M1871" i="2"/>
  <c r="L1871" i="2"/>
  <c r="V1871" i="2" s="1"/>
  <c r="U1870" i="2"/>
  <c r="S1870" i="2"/>
  <c r="T1870" i="2" s="1"/>
  <c r="P1870" i="2"/>
  <c r="R1870" i="2" s="1"/>
  <c r="O1870" i="2"/>
  <c r="N1870" i="2"/>
  <c r="M1870" i="2"/>
  <c r="L1870" i="2"/>
  <c r="V1870" i="2" s="1"/>
  <c r="U1869" i="2"/>
  <c r="S1869" i="2"/>
  <c r="T1869" i="2" s="1"/>
  <c r="P1869" i="2"/>
  <c r="R1869" i="2" s="1"/>
  <c r="O1869" i="2"/>
  <c r="N1869" i="2"/>
  <c r="M1869" i="2"/>
  <c r="L1869" i="2"/>
  <c r="V1869" i="2" s="1"/>
  <c r="U1868" i="2"/>
  <c r="S1868" i="2"/>
  <c r="T1868" i="2" s="1"/>
  <c r="P1868" i="2"/>
  <c r="R1868" i="2" s="1"/>
  <c r="O1868" i="2"/>
  <c r="N1868" i="2"/>
  <c r="M1868" i="2"/>
  <c r="L1868" i="2"/>
  <c r="V1868" i="2" s="1"/>
  <c r="U1867" i="2"/>
  <c r="S1867" i="2"/>
  <c r="T1867" i="2" s="1"/>
  <c r="P1867" i="2"/>
  <c r="R1867" i="2" s="1"/>
  <c r="O1867" i="2"/>
  <c r="N1867" i="2"/>
  <c r="M1867" i="2"/>
  <c r="L1867" i="2"/>
  <c r="V1867" i="2" s="1"/>
  <c r="U1866" i="2"/>
  <c r="S1866" i="2"/>
  <c r="T1866" i="2" s="1"/>
  <c r="P1866" i="2"/>
  <c r="R1866" i="2" s="1"/>
  <c r="O1866" i="2"/>
  <c r="N1866" i="2"/>
  <c r="M1866" i="2"/>
  <c r="L1866" i="2"/>
  <c r="V1866" i="2" s="1"/>
  <c r="U1865" i="2"/>
  <c r="S1865" i="2"/>
  <c r="T1865" i="2" s="1"/>
  <c r="P1865" i="2"/>
  <c r="R1865" i="2" s="1"/>
  <c r="O1865" i="2"/>
  <c r="N1865" i="2"/>
  <c r="M1865" i="2"/>
  <c r="L1865" i="2"/>
  <c r="V1865" i="2" s="1"/>
  <c r="U1864" i="2"/>
  <c r="S1864" i="2"/>
  <c r="T1864" i="2" s="1"/>
  <c r="P1864" i="2"/>
  <c r="R1864" i="2" s="1"/>
  <c r="O1864" i="2"/>
  <c r="N1864" i="2"/>
  <c r="M1864" i="2"/>
  <c r="L1864" i="2"/>
  <c r="V1864" i="2" s="1"/>
  <c r="U1863" i="2"/>
  <c r="S1863" i="2"/>
  <c r="T1863" i="2" s="1"/>
  <c r="P1863" i="2"/>
  <c r="R1863" i="2" s="1"/>
  <c r="O1863" i="2"/>
  <c r="N1863" i="2"/>
  <c r="M1863" i="2"/>
  <c r="L1863" i="2"/>
  <c r="V1863" i="2" s="1"/>
  <c r="U1862" i="2"/>
  <c r="S1862" i="2"/>
  <c r="T1862" i="2" s="1"/>
  <c r="P1862" i="2"/>
  <c r="R1862" i="2" s="1"/>
  <c r="O1862" i="2"/>
  <c r="N1862" i="2"/>
  <c r="M1862" i="2"/>
  <c r="L1862" i="2"/>
  <c r="V1862" i="2" s="1"/>
  <c r="U1861" i="2"/>
  <c r="S1861" i="2"/>
  <c r="T1861" i="2" s="1"/>
  <c r="P1861" i="2"/>
  <c r="R1861" i="2" s="1"/>
  <c r="O1861" i="2"/>
  <c r="N1861" i="2"/>
  <c r="M1861" i="2"/>
  <c r="L1861" i="2"/>
  <c r="V1861" i="2" s="1"/>
  <c r="U1860" i="2"/>
  <c r="S1860" i="2"/>
  <c r="T1860" i="2" s="1"/>
  <c r="P1860" i="2"/>
  <c r="R1860" i="2" s="1"/>
  <c r="O1860" i="2"/>
  <c r="N1860" i="2"/>
  <c r="M1860" i="2"/>
  <c r="L1860" i="2"/>
  <c r="V1860" i="2" s="1"/>
  <c r="U1859" i="2"/>
  <c r="S1859" i="2"/>
  <c r="T1859" i="2" s="1"/>
  <c r="Q1859" i="2"/>
  <c r="P1859" i="2"/>
  <c r="R1859" i="2" s="1"/>
  <c r="O1859" i="2"/>
  <c r="N1859" i="2"/>
  <c r="M1859" i="2"/>
  <c r="L1859" i="2"/>
  <c r="V1859" i="2" s="1"/>
  <c r="U1858" i="2"/>
  <c r="S1858" i="2"/>
  <c r="T1858" i="2" s="1"/>
  <c r="P1858" i="2"/>
  <c r="R1858" i="2" s="1"/>
  <c r="O1858" i="2"/>
  <c r="N1858" i="2"/>
  <c r="M1858" i="2"/>
  <c r="L1858" i="2"/>
  <c r="V1858" i="2" s="1"/>
  <c r="U1857" i="2"/>
  <c r="S1857" i="2"/>
  <c r="T1857" i="2" s="1"/>
  <c r="P1857" i="2"/>
  <c r="R1857" i="2" s="1"/>
  <c r="O1857" i="2"/>
  <c r="N1857" i="2"/>
  <c r="M1857" i="2"/>
  <c r="L1857" i="2"/>
  <c r="V1857" i="2" s="1"/>
  <c r="U1856" i="2"/>
  <c r="S1856" i="2"/>
  <c r="T1856" i="2" s="1"/>
  <c r="P1856" i="2"/>
  <c r="R1856" i="2" s="1"/>
  <c r="O1856" i="2"/>
  <c r="N1856" i="2"/>
  <c r="M1856" i="2"/>
  <c r="L1856" i="2"/>
  <c r="V1856" i="2" s="1"/>
  <c r="U1855" i="2"/>
  <c r="S1855" i="2"/>
  <c r="T1855" i="2" s="1"/>
  <c r="P1855" i="2"/>
  <c r="R1855" i="2" s="1"/>
  <c r="O1855" i="2"/>
  <c r="N1855" i="2"/>
  <c r="M1855" i="2"/>
  <c r="L1855" i="2"/>
  <c r="V1855" i="2" s="1"/>
  <c r="U1854" i="2"/>
  <c r="S1854" i="2"/>
  <c r="T1854" i="2" s="1"/>
  <c r="Q1854" i="2"/>
  <c r="P1854" i="2"/>
  <c r="R1854" i="2" s="1"/>
  <c r="O1854" i="2"/>
  <c r="N1854" i="2"/>
  <c r="M1854" i="2"/>
  <c r="L1854" i="2"/>
  <c r="V1854" i="2" s="1"/>
  <c r="U1853" i="2"/>
  <c r="S1853" i="2"/>
  <c r="T1853" i="2" s="1"/>
  <c r="P1853" i="2"/>
  <c r="R1853" i="2" s="1"/>
  <c r="O1853" i="2"/>
  <c r="N1853" i="2"/>
  <c r="M1853" i="2"/>
  <c r="L1853" i="2"/>
  <c r="V1853" i="2" s="1"/>
  <c r="U1852" i="2"/>
  <c r="S1852" i="2"/>
  <c r="T1852" i="2" s="1"/>
  <c r="Q1852" i="2"/>
  <c r="P1852" i="2"/>
  <c r="R1852" i="2" s="1"/>
  <c r="O1852" i="2"/>
  <c r="N1852" i="2"/>
  <c r="M1852" i="2"/>
  <c r="L1852" i="2"/>
  <c r="V1852" i="2" s="1"/>
  <c r="U1851" i="2"/>
  <c r="S1851" i="2"/>
  <c r="T1851" i="2" s="1"/>
  <c r="Q1851" i="2"/>
  <c r="P1851" i="2"/>
  <c r="R1851" i="2" s="1"/>
  <c r="O1851" i="2"/>
  <c r="N1851" i="2"/>
  <c r="M1851" i="2"/>
  <c r="L1851" i="2"/>
  <c r="V1851" i="2" s="1"/>
  <c r="U1850" i="2"/>
  <c r="S1850" i="2"/>
  <c r="T1850" i="2" s="1"/>
  <c r="P1850" i="2"/>
  <c r="R1850" i="2" s="1"/>
  <c r="O1850" i="2"/>
  <c r="N1850" i="2"/>
  <c r="M1850" i="2"/>
  <c r="L1850" i="2"/>
  <c r="V1850" i="2" s="1"/>
  <c r="U1849" i="2"/>
  <c r="S1849" i="2"/>
  <c r="T1849" i="2" s="1"/>
  <c r="Q1849" i="2"/>
  <c r="P1849" i="2"/>
  <c r="R1849" i="2" s="1"/>
  <c r="O1849" i="2"/>
  <c r="N1849" i="2"/>
  <c r="M1849" i="2"/>
  <c r="L1849" i="2"/>
  <c r="V1849" i="2" s="1"/>
  <c r="U1848" i="2"/>
  <c r="S1848" i="2"/>
  <c r="T1848" i="2" s="1"/>
  <c r="P1848" i="2"/>
  <c r="R1848" i="2" s="1"/>
  <c r="O1848" i="2"/>
  <c r="N1848" i="2"/>
  <c r="M1848" i="2"/>
  <c r="L1848" i="2"/>
  <c r="V1848" i="2" s="1"/>
  <c r="U1847" i="2"/>
  <c r="S1847" i="2"/>
  <c r="T1847" i="2" s="1"/>
  <c r="Q1847" i="2"/>
  <c r="P1847" i="2"/>
  <c r="R1847" i="2" s="1"/>
  <c r="O1847" i="2"/>
  <c r="N1847" i="2"/>
  <c r="M1847" i="2"/>
  <c r="L1847" i="2"/>
  <c r="V1847" i="2" s="1"/>
  <c r="U1846" i="2"/>
  <c r="S1846" i="2"/>
  <c r="T1846" i="2" s="1"/>
  <c r="Q1846" i="2"/>
  <c r="P1846" i="2"/>
  <c r="R1846" i="2" s="1"/>
  <c r="O1846" i="2"/>
  <c r="N1846" i="2"/>
  <c r="M1846" i="2"/>
  <c r="L1846" i="2"/>
  <c r="V1846" i="2" s="1"/>
  <c r="U1845" i="2"/>
  <c r="S1845" i="2"/>
  <c r="T1845" i="2" s="1"/>
  <c r="P1845" i="2"/>
  <c r="R1845" i="2" s="1"/>
  <c r="O1845" i="2"/>
  <c r="N1845" i="2"/>
  <c r="M1845" i="2"/>
  <c r="L1845" i="2"/>
  <c r="V1845" i="2" s="1"/>
  <c r="U1844" i="2"/>
  <c r="S1844" i="2"/>
  <c r="T1844" i="2" s="1"/>
  <c r="P1844" i="2"/>
  <c r="R1844" i="2" s="1"/>
  <c r="O1844" i="2"/>
  <c r="N1844" i="2"/>
  <c r="M1844" i="2"/>
  <c r="L1844" i="2"/>
  <c r="V1844" i="2" s="1"/>
  <c r="U1843" i="2"/>
  <c r="S1843" i="2"/>
  <c r="T1843" i="2" s="1"/>
  <c r="P1843" i="2"/>
  <c r="R1843" i="2" s="1"/>
  <c r="O1843" i="2"/>
  <c r="N1843" i="2"/>
  <c r="M1843" i="2"/>
  <c r="L1843" i="2"/>
  <c r="V1843" i="2" s="1"/>
  <c r="U1842" i="2"/>
  <c r="S1842" i="2"/>
  <c r="T1842" i="2" s="1"/>
  <c r="R1842" i="2"/>
  <c r="Q1842" i="2"/>
  <c r="P1842" i="2"/>
  <c r="O1842" i="2"/>
  <c r="N1842" i="2"/>
  <c r="M1842" i="2"/>
  <c r="L1842" i="2"/>
  <c r="V1842" i="2" s="1"/>
  <c r="U1841" i="2"/>
  <c r="S1841" i="2"/>
  <c r="T1841" i="2" s="1"/>
  <c r="P1841" i="2"/>
  <c r="R1841" i="2" s="1"/>
  <c r="O1841" i="2"/>
  <c r="N1841" i="2"/>
  <c r="M1841" i="2"/>
  <c r="L1841" i="2"/>
  <c r="V1841" i="2" s="1"/>
  <c r="U1840" i="2"/>
  <c r="S1840" i="2"/>
  <c r="T1840" i="2" s="1"/>
  <c r="P1840" i="2"/>
  <c r="R1840" i="2" s="1"/>
  <c r="O1840" i="2"/>
  <c r="N1840" i="2"/>
  <c r="M1840" i="2"/>
  <c r="L1840" i="2"/>
  <c r="V1840" i="2" s="1"/>
  <c r="U1839" i="2"/>
  <c r="S1839" i="2"/>
  <c r="T1839" i="2" s="1"/>
  <c r="Q1839" i="2"/>
  <c r="P1839" i="2"/>
  <c r="R1839" i="2" s="1"/>
  <c r="O1839" i="2"/>
  <c r="N1839" i="2"/>
  <c r="M1839" i="2"/>
  <c r="L1839" i="2"/>
  <c r="V1839" i="2" s="1"/>
  <c r="U1838" i="2"/>
  <c r="S1838" i="2"/>
  <c r="T1838" i="2" s="1"/>
  <c r="P1838" i="2"/>
  <c r="R1838" i="2" s="1"/>
  <c r="O1838" i="2"/>
  <c r="N1838" i="2"/>
  <c r="M1838" i="2"/>
  <c r="L1838" i="2"/>
  <c r="V1838" i="2" s="1"/>
  <c r="U1837" i="2"/>
  <c r="S1837" i="2"/>
  <c r="T1837" i="2" s="1"/>
  <c r="P1837" i="2"/>
  <c r="R1837" i="2" s="1"/>
  <c r="O1837" i="2"/>
  <c r="N1837" i="2"/>
  <c r="M1837" i="2"/>
  <c r="L1837" i="2"/>
  <c r="V1837" i="2" s="1"/>
  <c r="U1836" i="2"/>
  <c r="S1836" i="2"/>
  <c r="T1836" i="2" s="1"/>
  <c r="P1836" i="2"/>
  <c r="R1836" i="2" s="1"/>
  <c r="O1836" i="2"/>
  <c r="N1836" i="2"/>
  <c r="M1836" i="2"/>
  <c r="L1836" i="2"/>
  <c r="V1836" i="2" s="1"/>
  <c r="U1835" i="2"/>
  <c r="S1835" i="2"/>
  <c r="T1835" i="2" s="1"/>
  <c r="P1835" i="2"/>
  <c r="R1835" i="2" s="1"/>
  <c r="O1835" i="2"/>
  <c r="N1835" i="2"/>
  <c r="M1835" i="2"/>
  <c r="L1835" i="2"/>
  <c r="V1835" i="2" s="1"/>
  <c r="U1834" i="2"/>
  <c r="S1834" i="2"/>
  <c r="T1834" i="2" s="1"/>
  <c r="P1834" i="2"/>
  <c r="R1834" i="2" s="1"/>
  <c r="O1834" i="2"/>
  <c r="N1834" i="2"/>
  <c r="M1834" i="2"/>
  <c r="L1834" i="2"/>
  <c r="V1834" i="2" s="1"/>
  <c r="U1833" i="2"/>
  <c r="S1833" i="2"/>
  <c r="T1833" i="2" s="1"/>
  <c r="P1833" i="2"/>
  <c r="R1833" i="2" s="1"/>
  <c r="O1833" i="2"/>
  <c r="N1833" i="2"/>
  <c r="M1833" i="2"/>
  <c r="L1833" i="2"/>
  <c r="V1833" i="2" s="1"/>
  <c r="U1832" i="2"/>
  <c r="S1832" i="2"/>
  <c r="T1832" i="2" s="1"/>
  <c r="P1832" i="2"/>
  <c r="R1832" i="2" s="1"/>
  <c r="O1832" i="2"/>
  <c r="N1832" i="2"/>
  <c r="M1832" i="2"/>
  <c r="L1832" i="2"/>
  <c r="V1832" i="2" s="1"/>
  <c r="U1831" i="2"/>
  <c r="S1831" i="2"/>
  <c r="T1831" i="2" s="1"/>
  <c r="P1831" i="2"/>
  <c r="R1831" i="2" s="1"/>
  <c r="O1831" i="2"/>
  <c r="N1831" i="2"/>
  <c r="M1831" i="2"/>
  <c r="L1831" i="2"/>
  <c r="V1831" i="2" s="1"/>
  <c r="U1830" i="2"/>
  <c r="S1830" i="2"/>
  <c r="T1830" i="2" s="1"/>
  <c r="Q1830" i="2"/>
  <c r="P1830" i="2"/>
  <c r="R1830" i="2" s="1"/>
  <c r="O1830" i="2"/>
  <c r="N1830" i="2"/>
  <c r="M1830" i="2"/>
  <c r="L1830" i="2"/>
  <c r="V1830" i="2" s="1"/>
  <c r="U1829" i="2"/>
  <c r="S1829" i="2"/>
  <c r="T1829" i="2" s="1"/>
  <c r="P1829" i="2"/>
  <c r="R1829" i="2" s="1"/>
  <c r="O1829" i="2"/>
  <c r="N1829" i="2"/>
  <c r="M1829" i="2"/>
  <c r="L1829" i="2"/>
  <c r="V1829" i="2" s="1"/>
  <c r="U1828" i="2"/>
  <c r="S1828" i="2"/>
  <c r="T1828" i="2" s="1"/>
  <c r="P1828" i="2"/>
  <c r="R1828" i="2" s="1"/>
  <c r="O1828" i="2"/>
  <c r="N1828" i="2"/>
  <c r="M1828" i="2"/>
  <c r="L1828" i="2"/>
  <c r="V1828" i="2" s="1"/>
  <c r="U1827" i="2"/>
  <c r="S1827" i="2"/>
  <c r="T1827" i="2" s="1"/>
  <c r="Q1827" i="2"/>
  <c r="P1827" i="2"/>
  <c r="R1827" i="2" s="1"/>
  <c r="O1827" i="2"/>
  <c r="N1827" i="2"/>
  <c r="M1827" i="2"/>
  <c r="L1827" i="2"/>
  <c r="V1827" i="2" s="1"/>
  <c r="U1826" i="2"/>
  <c r="S1826" i="2"/>
  <c r="T1826" i="2" s="1"/>
  <c r="P1826" i="2"/>
  <c r="R1826" i="2" s="1"/>
  <c r="O1826" i="2"/>
  <c r="N1826" i="2"/>
  <c r="M1826" i="2"/>
  <c r="L1826" i="2"/>
  <c r="V1826" i="2" s="1"/>
  <c r="U1825" i="2"/>
  <c r="S1825" i="2"/>
  <c r="T1825" i="2" s="1"/>
  <c r="P1825" i="2"/>
  <c r="R1825" i="2" s="1"/>
  <c r="O1825" i="2"/>
  <c r="N1825" i="2"/>
  <c r="M1825" i="2"/>
  <c r="L1825" i="2"/>
  <c r="V1825" i="2" s="1"/>
  <c r="U1824" i="2"/>
  <c r="S1824" i="2"/>
  <c r="T1824" i="2" s="1"/>
  <c r="Q1824" i="2"/>
  <c r="P1824" i="2"/>
  <c r="R1824" i="2" s="1"/>
  <c r="O1824" i="2"/>
  <c r="N1824" i="2"/>
  <c r="M1824" i="2"/>
  <c r="L1824" i="2"/>
  <c r="V1824" i="2" s="1"/>
  <c r="U1823" i="2"/>
  <c r="S1823" i="2"/>
  <c r="T1823" i="2" s="1"/>
  <c r="P1823" i="2"/>
  <c r="R1823" i="2" s="1"/>
  <c r="O1823" i="2"/>
  <c r="N1823" i="2"/>
  <c r="M1823" i="2"/>
  <c r="L1823" i="2"/>
  <c r="V1823" i="2" s="1"/>
  <c r="U1822" i="2"/>
  <c r="S1822" i="2"/>
  <c r="T1822" i="2" s="1"/>
  <c r="P1822" i="2"/>
  <c r="R1822" i="2" s="1"/>
  <c r="O1822" i="2"/>
  <c r="N1822" i="2"/>
  <c r="M1822" i="2"/>
  <c r="L1822" i="2"/>
  <c r="V1822" i="2" s="1"/>
  <c r="U1821" i="2"/>
  <c r="S1821" i="2"/>
  <c r="T1821" i="2" s="1"/>
  <c r="P1821" i="2"/>
  <c r="R1821" i="2" s="1"/>
  <c r="O1821" i="2"/>
  <c r="N1821" i="2"/>
  <c r="M1821" i="2"/>
  <c r="L1821" i="2"/>
  <c r="V1821" i="2" s="1"/>
  <c r="U1820" i="2"/>
  <c r="S1820" i="2"/>
  <c r="T1820" i="2" s="1"/>
  <c r="P1820" i="2"/>
  <c r="R1820" i="2" s="1"/>
  <c r="O1820" i="2"/>
  <c r="N1820" i="2"/>
  <c r="M1820" i="2"/>
  <c r="L1820" i="2"/>
  <c r="V1820" i="2" s="1"/>
  <c r="U1819" i="2"/>
  <c r="S1819" i="2"/>
  <c r="T1819" i="2" s="1"/>
  <c r="P1819" i="2"/>
  <c r="R1819" i="2" s="1"/>
  <c r="O1819" i="2"/>
  <c r="N1819" i="2"/>
  <c r="M1819" i="2"/>
  <c r="L1819" i="2"/>
  <c r="V1819" i="2" s="1"/>
  <c r="U1818" i="2"/>
  <c r="S1818" i="2"/>
  <c r="T1818" i="2" s="1"/>
  <c r="Q1818" i="2"/>
  <c r="P1818" i="2"/>
  <c r="R1818" i="2" s="1"/>
  <c r="O1818" i="2"/>
  <c r="N1818" i="2"/>
  <c r="M1818" i="2"/>
  <c r="L1818" i="2"/>
  <c r="V1818" i="2" s="1"/>
  <c r="U1817" i="2"/>
  <c r="S1817" i="2"/>
  <c r="T1817" i="2" s="1"/>
  <c r="P1817" i="2"/>
  <c r="R1817" i="2" s="1"/>
  <c r="O1817" i="2"/>
  <c r="N1817" i="2"/>
  <c r="M1817" i="2"/>
  <c r="L1817" i="2"/>
  <c r="V1817" i="2" s="1"/>
  <c r="U1816" i="2"/>
  <c r="S1816" i="2"/>
  <c r="T1816" i="2" s="1"/>
  <c r="Q1816" i="2"/>
  <c r="P1816" i="2"/>
  <c r="R1816" i="2" s="1"/>
  <c r="O1816" i="2"/>
  <c r="N1816" i="2"/>
  <c r="M1816" i="2"/>
  <c r="L1816" i="2"/>
  <c r="V1816" i="2" s="1"/>
  <c r="U1815" i="2"/>
  <c r="S1815" i="2"/>
  <c r="T1815" i="2" s="1"/>
  <c r="Q1815" i="2"/>
  <c r="P1815" i="2"/>
  <c r="R1815" i="2" s="1"/>
  <c r="O1815" i="2"/>
  <c r="N1815" i="2"/>
  <c r="M1815" i="2"/>
  <c r="L1815" i="2"/>
  <c r="V1815" i="2" s="1"/>
  <c r="U1814" i="2"/>
  <c r="S1814" i="2"/>
  <c r="T1814" i="2" s="1"/>
  <c r="Q1814" i="2"/>
  <c r="P1814" i="2"/>
  <c r="R1814" i="2" s="1"/>
  <c r="O1814" i="2"/>
  <c r="N1814" i="2"/>
  <c r="M1814" i="2"/>
  <c r="L1814" i="2"/>
  <c r="V1814" i="2" s="1"/>
  <c r="U1813" i="2"/>
  <c r="S1813" i="2"/>
  <c r="T1813" i="2" s="1"/>
  <c r="P1813" i="2"/>
  <c r="R1813" i="2" s="1"/>
  <c r="O1813" i="2"/>
  <c r="N1813" i="2"/>
  <c r="M1813" i="2"/>
  <c r="L1813" i="2"/>
  <c r="V1813" i="2" s="1"/>
  <c r="U1812" i="2"/>
  <c r="S1812" i="2"/>
  <c r="T1812" i="2" s="1"/>
  <c r="Q1812" i="2"/>
  <c r="P1812" i="2"/>
  <c r="R1812" i="2" s="1"/>
  <c r="O1812" i="2"/>
  <c r="N1812" i="2"/>
  <c r="M1812" i="2"/>
  <c r="L1812" i="2"/>
  <c r="V1812" i="2" s="1"/>
  <c r="U1811" i="2"/>
  <c r="S1811" i="2"/>
  <c r="T1811" i="2" s="1"/>
  <c r="P1811" i="2"/>
  <c r="R1811" i="2" s="1"/>
  <c r="O1811" i="2"/>
  <c r="N1811" i="2"/>
  <c r="M1811" i="2"/>
  <c r="L1811" i="2"/>
  <c r="V1811" i="2" s="1"/>
  <c r="U1810" i="2"/>
  <c r="S1810" i="2"/>
  <c r="T1810" i="2" s="1"/>
  <c r="P1810" i="2"/>
  <c r="R1810" i="2" s="1"/>
  <c r="O1810" i="2"/>
  <c r="N1810" i="2"/>
  <c r="M1810" i="2"/>
  <c r="L1810" i="2"/>
  <c r="V1810" i="2" s="1"/>
  <c r="U1809" i="2"/>
  <c r="S1809" i="2"/>
  <c r="T1809" i="2" s="1"/>
  <c r="P1809" i="2"/>
  <c r="R1809" i="2" s="1"/>
  <c r="O1809" i="2"/>
  <c r="N1809" i="2"/>
  <c r="M1809" i="2"/>
  <c r="L1809" i="2"/>
  <c r="V1809" i="2" s="1"/>
  <c r="U1808" i="2"/>
  <c r="S1808" i="2"/>
  <c r="T1808" i="2" s="1"/>
  <c r="P1808" i="2"/>
  <c r="R1808" i="2" s="1"/>
  <c r="O1808" i="2"/>
  <c r="N1808" i="2"/>
  <c r="M1808" i="2"/>
  <c r="L1808" i="2"/>
  <c r="V1808" i="2" s="1"/>
  <c r="U1807" i="2"/>
  <c r="S1807" i="2"/>
  <c r="T1807" i="2" s="1"/>
  <c r="P1807" i="2"/>
  <c r="R1807" i="2" s="1"/>
  <c r="O1807" i="2"/>
  <c r="N1807" i="2"/>
  <c r="M1807" i="2"/>
  <c r="L1807" i="2"/>
  <c r="V1807" i="2" s="1"/>
  <c r="U1806" i="2"/>
  <c r="S1806" i="2"/>
  <c r="T1806" i="2" s="1"/>
  <c r="P1806" i="2"/>
  <c r="R1806" i="2" s="1"/>
  <c r="O1806" i="2"/>
  <c r="N1806" i="2"/>
  <c r="M1806" i="2"/>
  <c r="L1806" i="2"/>
  <c r="V1806" i="2" s="1"/>
  <c r="U1805" i="2"/>
  <c r="S1805" i="2"/>
  <c r="T1805" i="2" s="1"/>
  <c r="P1805" i="2"/>
  <c r="R1805" i="2" s="1"/>
  <c r="O1805" i="2"/>
  <c r="N1805" i="2"/>
  <c r="M1805" i="2"/>
  <c r="L1805" i="2"/>
  <c r="V1805" i="2" s="1"/>
  <c r="U1804" i="2"/>
  <c r="S1804" i="2"/>
  <c r="T1804" i="2" s="1"/>
  <c r="P1804" i="2"/>
  <c r="R1804" i="2" s="1"/>
  <c r="O1804" i="2"/>
  <c r="N1804" i="2"/>
  <c r="M1804" i="2"/>
  <c r="L1804" i="2"/>
  <c r="V1804" i="2" s="1"/>
  <c r="U1803" i="2"/>
  <c r="S1803" i="2"/>
  <c r="T1803" i="2" s="1"/>
  <c r="Q1803" i="2"/>
  <c r="P1803" i="2"/>
  <c r="R1803" i="2" s="1"/>
  <c r="O1803" i="2"/>
  <c r="N1803" i="2"/>
  <c r="M1803" i="2"/>
  <c r="L1803" i="2"/>
  <c r="V1803" i="2" s="1"/>
  <c r="U1802" i="2"/>
  <c r="S1802" i="2"/>
  <c r="T1802" i="2" s="1"/>
  <c r="P1802" i="2"/>
  <c r="R1802" i="2" s="1"/>
  <c r="O1802" i="2"/>
  <c r="N1802" i="2"/>
  <c r="M1802" i="2"/>
  <c r="L1802" i="2"/>
  <c r="V1802" i="2" s="1"/>
  <c r="U1801" i="2"/>
  <c r="S1801" i="2"/>
  <c r="T1801" i="2" s="1"/>
  <c r="P1801" i="2"/>
  <c r="R1801" i="2" s="1"/>
  <c r="O1801" i="2"/>
  <c r="N1801" i="2"/>
  <c r="M1801" i="2"/>
  <c r="L1801" i="2"/>
  <c r="V1801" i="2" s="1"/>
  <c r="U1800" i="2"/>
  <c r="S1800" i="2"/>
  <c r="T1800" i="2" s="1"/>
  <c r="Q1800" i="2"/>
  <c r="P1800" i="2"/>
  <c r="R1800" i="2" s="1"/>
  <c r="O1800" i="2"/>
  <c r="N1800" i="2"/>
  <c r="M1800" i="2"/>
  <c r="L1800" i="2"/>
  <c r="V1800" i="2" s="1"/>
  <c r="U1799" i="2"/>
  <c r="S1799" i="2"/>
  <c r="T1799" i="2" s="1"/>
  <c r="P1799" i="2"/>
  <c r="R1799" i="2" s="1"/>
  <c r="O1799" i="2"/>
  <c r="N1799" i="2"/>
  <c r="M1799" i="2"/>
  <c r="L1799" i="2"/>
  <c r="V1799" i="2" s="1"/>
  <c r="U1798" i="2"/>
  <c r="S1798" i="2"/>
  <c r="T1798" i="2" s="1"/>
  <c r="P1798" i="2"/>
  <c r="R1798" i="2" s="1"/>
  <c r="O1798" i="2"/>
  <c r="N1798" i="2"/>
  <c r="M1798" i="2"/>
  <c r="L1798" i="2"/>
  <c r="V1798" i="2" s="1"/>
  <c r="U1797" i="2"/>
  <c r="S1797" i="2"/>
  <c r="T1797" i="2" s="1"/>
  <c r="P1797" i="2"/>
  <c r="R1797" i="2" s="1"/>
  <c r="O1797" i="2"/>
  <c r="N1797" i="2"/>
  <c r="M1797" i="2"/>
  <c r="L1797" i="2"/>
  <c r="V1797" i="2" s="1"/>
  <c r="U1796" i="2"/>
  <c r="S1796" i="2"/>
  <c r="T1796" i="2" s="1"/>
  <c r="Q1796" i="2"/>
  <c r="P1796" i="2"/>
  <c r="R1796" i="2" s="1"/>
  <c r="O1796" i="2"/>
  <c r="N1796" i="2"/>
  <c r="M1796" i="2"/>
  <c r="L1796" i="2"/>
  <c r="V1796" i="2" s="1"/>
  <c r="U1795" i="2"/>
  <c r="S1795" i="2"/>
  <c r="T1795" i="2" s="1"/>
  <c r="P1795" i="2"/>
  <c r="R1795" i="2" s="1"/>
  <c r="O1795" i="2"/>
  <c r="N1795" i="2"/>
  <c r="M1795" i="2"/>
  <c r="L1795" i="2"/>
  <c r="V1795" i="2" s="1"/>
  <c r="U1794" i="2"/>
  <c r="S1794" i="2"/>
  <c r="T1794" i="2" s="1"/>
  <c r="P1794" i="2"/>
  <c r="R1794" i="2" s="1"/>
  <c r="O1794" i="2"/>
  <c r="N1794" i="2"/>
  <c r="M1794" i="2"/>
  <c r="L1794" i="2"/>
  <c r="V1794" i="2" s="1"/>
  <c r="U1793" i="2"/>
  <c r="S1793" i="2"/>
  <c r="T1793" i="2" s="1"/>
  <c r="Q1793" i="2"/>
  <c r="P1793" i="2"/>
  <c r="R1793" i="2" s="1"/>
  <c r="O1793" i="2"/>
  <c r="N1793" i="2"/>
  <c r="M1793" i="2"/>
  <c r="L1793" i="2"/>
  <c r="V1793" i="2" s="1"/>
  <c r="U1792" i="2"/>
  <c r="S1792" i="2"/>
  <c r="T1792" i="2" s="1"/>
  <c r="Q1792" i="2"/>
  <c r="P1792" i="2"/>
  <c r="R1792" i="2" s="1"/>
  <c r="O1792" i="2"/>
  <c r="N1792" i="2"/>
  <c r="M1792" i="2"/>
  <c r="L1792" i="2"/>
  <c r="V1792" i="2" s="1"/>
  <c r="U1791" i="2"/>
  <c r="S1791" i="2"/>
  <c r="T1791" i="2" s="1"/>
  <c r="P1791" i="2"/>
  <c r="R1791" i="2" s="1"/>
  <c r="O1791" i="2"/>
  <c r="N1791" i="2"/>
  <c r="M1791" i="2"/>
  <c r="L1791" i="2"/>
  <c r="V1791" i="2" s="1"/>
  <c r="U1790" i="2"/>
  <c r="S1790" i="2"/>
  <c r="T1790" i="2" s="1"/>
  <c r="P1790" i="2"/>
  <c r="R1790" i="2" s="1"/>
  <c r="O1790" i="2"/>
  <c r="N1790" i="2"/>
  <c r="M1790" i="2"/>
  <c r="L1790" i="2"/>
  <c r="V1790" i="2" s="1"/>
  <c r="U1789" i="2"/>
  <c r="S1789" i="2"/>
  <c r="T1789" i="2" s="1"/>
  <c r="P1789" i="2"/>
  <c r="R1789" i="2" s="1"/>
  <c r="O1789" i="2"/>
  <c r="N1789" i="2"/>
  <c r="M1789" i="2"/>
  <c r="L1789" i="2"/>
  <c r="V1789" i="2" s="1"/>
  <c r="U1788" i="2"/>
  <c r="S1788" i="2"/>
  <c r="T1788" i="2" s="1"/>
  <c r="Q1788" i="2"/>
  <c r="P1788" i="2"/>
  <c r="R1788" i="2" s="1"/>
  <c r="O1788" i="2"/>
  <c r="N1788" i="2"/>
  <c r="M1788" i="2"/>
  <c r="L1788" i="2"/>
  <c r="V1788" i="2" s="1"/>
  <c r="U1787" i="2"/>
  <c r="S1787" i="2"/>
  <c r="T1787" i="2" s="1"/>
  <c r="Q1787" i="2"/>
  <c r="P1787" i="2"/>
  <c r="R1787" i="2" s="1"/>
  <c r="O1787" i="2"/>
  <c r="N1787" i="2"/>
  <c r="M1787" i="2"/>
  <c r="L1787" i="2"/>
  <c r="V1787" i="2" s="1"/>
  <c r="U1786" i="2"/>
  <c r="S1786" i="2"/>
  <c r="T1786" i="2" s="1"/>
  <c r="Q1786" i="2"/>
  <c r="P1786" i="2"/>
  <c r="R1786" i="2" s="1"/>
  <c r="O1786" i="2"/>
  <c r="N1786" i="2"/>
  <c r="M1786" i="2"/>
  <c r="L1786" i="2"/>
  <c r="V1786" i="2" s="1"/>
  <c r="U1785" i="2"/>
  <c r="S1785" i="2"/>
  <c r="T1785" i="2" s="1"/>
  <c r="P1785" i="2"/>
  <c r="R1785" i="2" s="1"/>
  <c r="O1785" i="2"/>
  <c r="N1785" i="2"/>
  <c r="M1785" i="2"/>
  <c r="L1785" i="2"/>
  <c r="V1785" i="2" s="1"/>
  <c r="U1784" i="2"/>
  <c r="S1784" i="2"/>
  <c r="T1784" i="2" s="1"/>
  <c r="P1784" i="2"/>
  <c r="R1784" i="2" s="1"/>
  <c r="O1784" i="2"/>
  <c r="N1784" i="2"/>
  <c r="M1784" i="2"/>
  <c r="L1784" i="2"/>
  <c r="V1784" i="2" s="1"/>
  <c r="U1783" i="2"/>
  <c r="S1783" i="2"/>
  <c r="T1783" i="2" s="1"/>
  <c r="P1783" i="2"/>
  <c r="R1783" i="2" s="1"/>
  <c r="O1783" i="2"/>
  <c r="N1783" i="2"/>
  <c r="M1783" i="2"/>
  <c r="L1783" i="2"/>
  <c r="V1783" i="2" s="1"/>
  <c r="U1782" i="2"/>
  <c r="S1782" i="2"/>
  <c r="T1782" i="2" s="1"/>
  <c r="P1782" i="2"/>
  <c r="R1782" i="2" s="1"/>
  <c r="O1782" i="2"/>
  <c r="N1782" i="2"/>
  <c r="M1782" i="2"/>
  <c r="L1782" i="2"/>
  <c r="V1782" i="2" s="1"/>
  <c r="U1781" i="2"/>
  <c r="S1781" i="2"/>
  <c r="T1781" i="2" s="1"/>
  <c r="Q1781" i="2"/>
  <c r="P1781" i="2"/>
  <c r="R1781" i="2" s="1"/>
  <c r="O1781" i="2"/>
  <c r="N1781" i="2"/>
  <c r="M1781" i="2"/>
  <c r="L1781" i="2"/>
  <c r="V1781" i="2" s="1"/>
  <c r="U1780" i="2"/>
  <c r="S1780" i="2"/>
  <c r="T1780" i="2" s="1"/>
  <c r="P1780" i="2"/>
  <c r="R1780" i="2" s="1"/>
  <c r="O1780" i="2"/>
  <c r="N1780" i="2"/>
  <c r="M1780" i="2"/>
  <c r="L1780" i="2"/>
  <c r="V1780" i="2" s="1"/>
  <c r="U1779" i="2"/>
  <c r="S1779" i="2"/>
  <c r="T1779" i="2" s="1"/>
  <c r="P1779" i="2"/>
  <c r="R1779" i="2" s="1"/>
  <c r="O1779" i="2"/>
  <c r="N1779" i="2"/>
  <c r="M1779" i="2"/>
  <c r="L1779" i="2"/>
  <c r="V1779" i="2" s="1"/>
  <c r="U1778" i="2"/>
  <c r="S1778" i="2"/>
  <c r="T1778" i="2" s="1"/>
  <c r="Q1778" i="2"/>
  <c r="P1778" i="2"/>
  <c r="R1778" i="2" s="1"/>
  <c r="O1778" i="2"/>
  <c r="N1778" i="2"/>
  <c r="M1778" i="2"/>
  <c r="L1778" i="2"/>
  <c r="V1778" i="2" s="1"/>
  <c r="U1777" i="2"/>
  <c r="S1777" i="2"/>
  <c r="T1777" i="2" s="1"/>
  <c r="Q1777" i="2"/>
  <c r="P1777" i="2"/>
  <c r="R1777" i="2" s="1"/>
  <c r="O1777" i="2"/>
  <c r="N1777" i="2"/>
  <c r="M1777" i="2"/>
  <c r="L1777" i="2"/>
  <c r="V1777" i="2" s="1"/>
  <c r="U1776" i="2"/>
  <c r="S1776" i="2"/>
  <c r="T1776" i="2" s="1"/>
  <c r="P1776" i="2"/>
  <c r="R1776" i="2" s="1"/>
  <c r="O1776" i="2"/>
  <c r="N1776" i="2"/>
  <c r="M1776" i="2"/>
  <c r="L1776" i="2"/>
  <c r="V1776" i="2" s="1"/>
  <c r="U1775" i="2"/>
  <c r="S1775" i="2"/>
  <c r="T1775" i="2" s="1"/>
  <c r="P1775" i="2"/>
  <c r="R1775" i="2" s="1"/>
  <c r="O1775" i="2"/>
  <c r="N1775" i="2"/>
  <c r="M1775" i="2"/>
  <c r="L1775" i="2"/>
  <c r="V1775" i="2" s="1"/>
  <c r="U1774" i="2"/>
  <c r="S1774" i="2"/>
  <c r="T1774" i="2" s="1"/>
  <c r="P1774" i="2"/>
  <c r="R1774" i="2" s="1"/>
  <c r="O1774" i="2"/>
  <c r="N1774" i="2"/>
  <c r="M1774" i="2"/>
  <c r="L1774" i="2"/>
  <c r="V1774" i="2" s="1"/>
  <c r="U1773" i="2"/>
  <c r="S1773" i="2"/>
  <c r="T1773" i="2" s="1"/>
  <c r="P1773" i="2"/>
  <c r="R1773" i="2" s="1"/>
  <c r="O1773" i="2"/>
  <c r="N1773" i="2"/>
  <c r="M1773" i="2"/>
  <c r="L1773" i="2"/>
  <c r="V1773" i="2" s="1"/>
  <c r="U1772" i="2"/>
  <c r="S1772" i="2"/>
  <c r="T1772" i="2" s="1"/>
  <c r="P1772" i="2"/>
  <c r="R1772" i="2" s="1"/>
  <c r="O1772" i="2"/>
  <c r="N1772" i="2"/>
  <c r="M1772" i="2"/>
  <c r="L1772" i="2"/>
  <c r="V1772" i="2" s="1"/>
  <c r="U1771" i="2"/>
  <c r="S1771" i="2"/>
  <c r="T1771" i="2" s="1"/>
  <c r="P1771" i="2"/>
  <c r="R1771" i="2" s="1"/>
  <c r="O1771" i="2"/>
  <c r="N1771" i="2"/>
  <c r="M1771" i="2"/>
  <c r="L1771" i="2"/>
  <c r="V1771" i="2" s="1"/>
  <c r="U1770" i="2"/>
  <c r="S1770" i="2"/>
  <c r="T1770" i="2" s="1"/>
  <c r="P1770" i="2"/>
  <c r="R1770" i="2" s="1"/>
  <c r="O1770" i="2"/>
  <c r="N1770" i="2"/>
  <c r="M1770" i="2"/>
  <c r="L1770" i="2"/>
  <c r="V1770" i="2" s="1"/>
  <c r="U1769" i="2"/>
  <c r="S1769" i="2"/>
  <c r="T1769" i="2" s="1"/>
  <c r="Q1769" i="2"/>
  <c r="P1769" i="2"/>
  <c r="R1769" i="2" s="1"/>
  <c r="O1769" i="2"/>
  <c r="N1769" i="2"/>
  <c r="M1769" i="2"/>
  <c r="L1769" i="2"/>
  <c r="V1769" i="2" s="1"/>
  <c r="U1768" i="2"/>
  <c r="S1768" i="2"/>
  <c r="T1768" i="2" s="1"/>
  <c r="Q1768" i="2"/>
  <c r="P1768" i="2"/>
  <c r="R1768" i="2" s="1"/>
  <c r="O1768" i="2"/>
  <c r="N1768" i="2"/>
  <c r="M1768" i="2"/>
  <c r="L1768" i="2"/>
  <c r="V1768" i="2" s="1"/>
  <c r="U1767" i="2"/>
  <c r="S1767" i="2"/>
  <c r="T1767" i="2" s="1"/>
  <c r="P1767" i="2"/>
  <c r="R1767" i="2" s="1"/>
  <c r="O1767" i="2"/>
  <c r="N1767" i="2"/>
  <c r="M1767" i="2"/>
  <c r="L1767" i="2"/>
  <c r="V1767" i="2" s="1"/>
  <c r="U1766" i="2"/>
  <c r="S1766" i="2"/>
  <c r="T1766" i="2" s="1"/>
  <c r="P1766" i="2"/>
  <c r="R1766" i="2" s="1"/>
  <c r="O1766" i="2"/>
  <c r="N1766" i="2"/>
  <c r="M1766" i="2"/>
  <c r="L1766" i="2"/>
  <c r="V1766" i="2" s="1"/>
  <c r="U1765" i="2"/>
  <c r="S1765" i="2"/>
  <c r="T1765" i="2" s="1"/>
  <c r="Q1765" i="2"/>
  <c r="P1765" i="2"/>
  <c r="R1765" i="2" s="1"/>
  <c r="O1765" i="2"/>
  <c r="N1765" i="2"/>
  <c r="M1765" i="2"/>
  <c r="L1765" i="2"/>
  <c r="V1765" i="2" s="1"/>
  <c r="U1764" i="2"/>
  <c r="S1764" i="2"/>
  <c r="T1764" i="2" s="1"/>
  <c r="Q1764" i="2"/>
  <c r="P1764" i="2"/>
  <c r="R1764" i="2" s="1"/>
  <c r="O1764" i="2"/>
  <c r="N1764" i="2"/>
  <c r="M1764" i="2"/>
  <c r="L1764" i="2"/>
  <c r="V1764" i="2" s="1"/>
  <c r="U1763" i="2"/>
  <c r="S1763" i="2"/>
  <c r="T1763" i="2" s="1"/>
  <c r="P1763" i="2"/>
  <c r="R1763" i="2" s="1"/>
  <c r="O1763" i="2"/>
  <c r="N1763" i="2"/>
  <c r="M1763" i="2"/>
  <c r="L1763" i="2"/>
  <c r="V1763" i="2" s="1"/>
  <c r="U1762" i="2"/>
  <c r="S1762" i="2"/>
  <c r="T1762" i="2" s="1"/>
  <c r="P1762" i="2"/>
  <c r="R1762" i="2" s="1"/>
  <c r="O1762" i="2"/>
  <c r="N1762" i="2"/>
  <c r="M1762" i="2"/>
  <c r="L1762" i="2"/>
  <c r="V1762" i="2" s="1"/>
  <c r="U1761" i="2"/>
  <c r="S1761" i="2"/>
  <c r="T1761" i="2" s="1"/>
  <c r="Q1761" i="2"/>
  <c r="P1761" i="2"/>
  <c r="R1761" i="2" s="1"/>
  <c r="O1761" i="2"/>
  <c r="N1761" i="2"/>
  <c r="M1761" i="2"/>
  <c r="L1761" i="2"/>
  <c r="V1761" i="2" s="1"/>
  <c r="U1760" i="2"/>
  <c r="S1760" i="2"/>
  <c r="T1760" i="2" s="1"/>
  <c r="P1760" i="2"/>
  <c r="R1760" i="2" s="1"/>
  <c r="O1760" i="2"/>
  <c r="N1760" i="2"/>
  <c r="M1760" i="2"/>
  <c r="L1760" i="2"/>
  <c r="V1760" i="2" s="1"/>
  <c r="U1759" i="2"/>
  <c r="S1759" i="2"/>
  <c r="T1759" i="2" s="1"/>
  <c r="P1759" i="2"/>
  <c r="R1759" i="2" s="1"/>
  <c r="O1759" i="2"/>
  <c r="N1759" i="2"/>
  <c r="M1759" i="2"/>
  <c r="L1759" i="2"/>
  <c r="V1759" i="2" s="1"/>
  <c r="U1758" i="2"/>
  <c r="S1758" i="2"/>
  <c r="T1758" i="2" s="1"/>
  <c r="Q1758" i="2"/>
  <c r="P1758" i="2"/>
  <c r="R1758" i="2" s="1"/>
  <c r="O1758" i="2"/>
  <c r="N1758" i="2"/>
  <c r="M1758" i="2"/>
  <c r="L1758" i="2"/>
  <c r="V1758" i="2" s="1"/>
  <c r="U1757" i="2"/>
  <c r="S1757" i="2"/>
  <c r="T1757" i="2" s="1"/>
  <c r="P1757" i="2"/>
  <c r="R1757" i="2" s="1"/>
  <c r="O1757" i="2"/>
  <c r="N1757" i="2"/>
  <c r="M1757" i="2"/>
  <c r="L1757" i="2"/>
  <c r="V1757" i="2" s="1"/>
  <c r="U1756" i="2"/>
  <c r="S1756" i="2"/>
  <c r="T1756" i="2" s="1"/>
  <c r="Q1756" i="2"/>
  <c r="P1756" i="2"/>
  <c r="R1756" i="2" s="1"/>
  <c r="O1756" i="2"/>
  <c r="N1756" i="2"/>
  <c r="M1756" i="2"/>
  <c r="L1756" i="2"/>
  <c r="V1756" i="2" s="1"/>
  <c r="U1755" i="2"/>
  <c r="S1755" i="2"/>
  <c r="T1755" i="2" s="1"/>
  <c r="P1755" i="2"/>
  <c r="R1755" i="2" s="1"/>
  <c r="O1755" i="2"/>
  <c r="N1755" i="2"/>
  <c r="M1755" i="2"/>
  <c r="L1755" i="2"/>
  <c r="V1755" i="2" s="1"/>
  <c r="U1754" i="2"/>
  <c r="S1754" i="2"/>
  <c r="T1754" i="2" s="1"/>
  <c r="P1754" i="2"/>
  <c r="R1754" i="2" s="1"/>
  <c r="O1754" i="2"/>
  <c r="N1754" i="2"/>
  <c r="M1754" i="2"/>
  <c r="L1754" i="2"/>
  <c r="V1754" i="2" s="1"/>
  <c r="U1753" i="2"/>
  <c r="S1753" i="2"/>
  <c r="T1753" i="2" s="1"/>
  <c r="Q1753" i="2"/>
  <c r="P1753" i="2"/>
  <c r="R1753" i="2" s="1"/>
  <c r="O1753" i="2"/>
  <c r="N1753" i="2"/>
  <c r="M1753" i="2"/>
  <c r="L1753" i="2"/>
  <c r="V1753" i="2" s="1"/>
  <c r="U1752" i="2"/>
  <c r="S1752" i="2"/>
  <c r="T1752" i="2" s="1"/>
  <c r="Q1752" i="2"/>
  <c r="P1752" i="2"/>
  <c r="R1752" i="2" s="1"/>
  <c r="O1752" i="2"/>
  <c r="N1752" i="2"/>
  <c r="M1752" i="2"/>
  <c r="L1752" i="2"/>
  <c r="V1752" i="2" s="1"/>
  <c r="U1751" i="2"/>
  <c r="S1751" i="2"/>
  <c r="T1751" i="2" s="1"/>
  <c r="Q1751" i="2"/>
  <c r="P1751" i="2"/>
  <c r="R1751" i="2" s="1"/>
  <c r="O1751" i="2"/>
  <c r="N1751" i="2"/>
  <c r="M1751" i="2"/>
  <c r="L1751" i="2"/>
  <c r="V1751" i="2" s="1"/>
  <c r="U1750" i="2"/>
  <c r="S1750" i="2"/>
  <c r="T1750" i="2" s="1"/>
  <c r="Q1750" i="2"/>
  <c r="P1750" i="2"/>
  <c r="R1750" i="2" s="1"/>
  <c r="O1750" i="2"/>
  <c r="N1750" i="2"/>
  <c r="M1750" i="2"/>
  <c r="L1750" i="2"/>
  <c r="V1750" i="2" s="1"/>
  <c r="U1749" i="2"/>
  <c r="S1749" i="2"/>
  <c r="T1749" i="2" s="1"/>
  <c r="Q1749" i="2"/>
  <c r="P1749" i="2"/>
  <c r="R1749" i="2" s="1"/>
  <c r="O1749" i="2"/>
  <c r="N1749" i="2"/>
  <c r="M1749" i="2"/>
  <c r="L1749" i="2"/>
  <c r="V1749" i="2" s="1"/>
  <c r="U1748" i="2"/>
  <c r="S1748" i="2"/>
  <c r="T1748" i="2" s="1"/>
  <c r="Q1748" i="2"/>
  <c r="P1748" i="2"/>
  <c r="R1748" i="2" s="1"/>
  <c r="O1748" i="2"/>
  <c r="N1748" i="2"/>
  <c r="M1748" i="2"/>
  <c r="L1748" i="2"/>
  <c r="V1748" i="2" s="1"/>
  <c r="U1747" i="2"/>
  <c r="S1747" i="2"/>
  <c r="T1747" i="2" s="1"/>
  <c r="P1747" i="2"/>
  <c r="R1747" i="2" s="1"/>
  <c r="O1747" i="2"/>
  <c r="N1747" i="2"/>
  <c r="M1747" i="2"/>
  <c r="L1747" i="2"/>
  <c r="V1747" i="2" s="1"/>
  <c r="U1746" i="2"/>
  <c r="S1746" i="2"/>
  <c r="T1746" i="2" s="1"/>
  <c r="P1746" i="2"/>
  <c r="R1746" i="2" s="1"/>
  <c r="O1746" i="2"/>
  <c r="N1746" i="2"/>
  <c r="M1746" i="2"/>
  <c r="L1746" i="2"/>
  <c r="V1746" i="2" s="1"/>
  <c r="U1745" i="2"/>
  <c r="S1745" i="2"/>
  <c r="T1745" i="2" s="1"/>
  <c r="P1745" i="2"/>
  <c r="R1745" i="2" s="1"/>
  <c r="O1745" i="2"/>
  <c r="N1745" i="2"/>
  <c r="M1745" i="2"/>
  <c r="L1745" i="2"/>
  <c r="V1745" i="2" s="1"/>
  <c r="U1744" i="2"/>
  <c r="S1744" i="2"/>
  <c r="T1744" i="2" s="1"/>
  <c r="Q1744" i="2"/>
  <c r="P1744" i="2"/>
  <c r="R1744" i="2" s="1"/>
  <c r="O1744" i="2"/>
  <c r="N1744" i="2"/>
  <c r="M1744" i="2"/>
  <c r="L1744" i="2"/>
  <c r="V1744" i="2" s="1"/>
  <c r="U1743" i="2"/>
  <c r="S1743" i="2"/>
  <c r="T1743" i="2" s="1"/>
  <c r="Q1743" i="2"/>
  <c r="P1743" i="2"/>
  <c r="R1743" i="2" s="1"/>
  <c r="O1743" i="2"/>
  <c r="N1743" i="2"/>
  <c r="M1743" i="2"/>
  <c r="L1743" i="2"/>
  <c r="V1743" i="2" s="1"/>
  <c r="U1742" i="2"/>
  <c r="S1742" i="2"/>
  <c r="T1742" i="2" s="1"/>
  <c r="Q1742" i="2"/>
  <c r="P1742" i="2"/>
  <c r="R1742" i="2" s="1"/>
  <c r="O1742" i="2"/>
  <c r="N1742" i="2"/>
  <c r="M1742" i="2"/>
  <c r="L1742" i="2"/>
  <c r="V1742" i="2" s="1"/>
  <c r="U1741" i="2"/>
  <c r="S1741" i="2"/>
  <c r="T1741" i="2" s="1"/>
  <c r="P1741" i="2"/>
  <c r="R1741" i="2" s="1"/>
  <c r="O1741" i="2"/>
  <c r="N1741" i="2"/>
  <c r="M1741" i="2"/>
  <c r="L1741" i="2"/>
  <c r="V1741" i="2" s="1"/>
  <c r="U1740" i="2"/>
  <c r="S1740" i="2"/>
  <c r="T1740" i="2" s="1"/>
  <c r="P1740" i="2"/>
  <c r="R1740" i="2" s="1"/>
  <c r="O1740" i="2"/>
  <c r="N1740" i="2"/>
  <c r="M1740" i="2"/>
  <c r="L1740" i="2"/>
  <c r="V1740" i="2" s="1"/>
  <c r="U1739" i="2"/>
  <c r="S1739" i="2"/>
  <c r="T1739" i="2" s="1"/>
  <c r="P1739" i="2"/>
  <c r="R1739" i="2" s="1"/>
  <c r="O1739" i="2"/>
  <c r="N1739" i="2"/>
  <c r="M1739" i="2"/>
  <c r="L1739" i="2"/>
  <c r="V1739" i="2" s="1"/>
  <c r="U1738" i="2"/>
  <c r="S1738" i="2"/>
  <c r="T1738" i="2" s="1"/>
  <c r="P1738" i="2"/>
  <c r="R1738" i="2" s="1"/>
  <c r="O1738" i="2"/>
  <c r="N1738" i="2"/>
  <c r="M1738" i="2"/>
  <c r="L1738" i="2"/>
  <c r="V1738" i="2" s="1"/>
  <c r="U1737" i="2"/>
  <c r="S1737" i="2"/>
  <c r="T1737" i="2" s="1"/>
  <c r="P1737" i="2"/>
  <c r="R1737" i="2" s="1"/>
  <c r="O1737" i="2"/>
  <c r="N1737" i="2"/>
  <c r="M1737" i="2"/>
  <c r="L1737" i="2"/>
  <c r="V1737" i="2" s="1"/>
  <c r="U1736" i="2"/>
  <c r="S1736" i="2"/>
  <c r="T1736" i="2" s="1"/>
  <c r="Q1736" i="2"/>
  <c r="P1736" i="2"/>
  <c r="R1736" i="2" s="1"/>
  <c r="O1736" i="2"/>
  <c r="N1736" i="2"/>
  <c r="M1736" i="2"/>
  <c r="L1736" i="2"/>
  <c r="V1736" i="2" s="1"/>
  <c r="U1735" i="2"/>
  <c r="S1735" i="2"/>
  <c r="T1735" i="2" s="1"/>
  <c r="Q1735" i="2"/>
  <c r="P1735" i="2"/>
  <c r="R1735" i="2" s="1"/>
  <c r="O1735" i="2"/>
  <c r="N1735" i="2"/>
  <c r="M1735" i="2"/>
  <c r="L1735" i="2"/>
  <c r="V1735" i="2" s="1"/>
  <c r="U1734" i="2"/>
  <c r="S1734" i="2"/>
  <c r="T1734" i="2" s="1"/>
  <c r="Q1734" i="2"/>
  <c r="P1734" i="2"/>
  <c r="R1734" i="2" s="1"/>
  <c r="O1734" i="2"/>
  <c r="N1734" i="2"/>
  <c r="M1734" i="2"/>
  <c r="L1734" i="2"/>
  <c r="V1734" i="2" s="1"/>
  <c r="U1733" i="2"/>
  <c r="S1733" i="2"/>
  <c r="T1733" i="2" s="1"/>
  <c r="P1733" i="2"/>
  <c r="R1733" i="2" s="1"/>
  <c r="O1733" i="2"/>
  <c r="N1733" i="2"/>
  <c r="M1733" i="2"/>
  <c r="L1733" i="2"/>
  <c r="V1733" i="2" s="1"/>
  <c r="U1732" i="2"/>
  <c r="S1732" i="2"/>
  <c r="T1732" i="2" s="1"/>
  <c r="Q1732" i="2"/>
  <c r="P1732" i="2"/>
  <c r="R1732" i="2" s="1"/>
  <c r="O1732" i="2"/>
  <c r="N1732" i="2"/>
  <c r="M1732" i="2"/>
  <c r="L1732" i="2"/>
  <c r="V1732" i="2" s="1"/>
  <c r="U1731" i="2"/>
  <c r="S1731" i="2"/>
  <c r="T1731" i="2" s="1"/>
  <c r="P1731" i="2"/>
  <c r="R1731" i="2" s="1"/>
  <c r="O1731" i="2"/>
  <c r="N1731" i="2"/>
  <c r="M1731" i="2"/>
  <c r="L1731" i="2"/>
  <c r="V1731" i="2" s="1"/>
  <c r="U1730" i="2"/>
  <c r="S1730" i="2"/>
  <c r="T1730" i="2" s="1"/>
  <c r="Q1730" i="2"/>
  <c r="P1730" i="2"/>
  <c r="R1730" i="2" s="1"/>
  <c r="O1730" i="2"/>
  <c r="N1730" i="2"/>
  <c r="M1730" i="2"/>
  <c r="L1730" i="2"/>
  <c r="V1730" i="2" s="1"/>
  <c r="U1729" i="2"/>
  <c r="S1729" i="2"/>
  <c r="T1729" i="2" s="1"/>
  <c r="Q1729" i="2"/>
  <c r="P1729" i="2"/>
  <c r="R1729" i="2" s="1"/>
  <c r="O1729" i="2"/>
  <c r="N1729" i="2"/>
  <c r="M1729" i="2"/>
  <c r="L1729" i="2"/>
  <c r="V1729" i="2" s="1"/>
  <c r="U1728" i="2"/>
  <c r="S1728" i="2"/>
  <c r="T1728" i="2" s="1"/>
  <c r="P1728" i="2"/>
  <c r="R1728" i="2" s="1"/>
  <c r="O1728" i="2"/>
  <c r="N1728" i="2"/>
  <c r="M1728" i="2"/>
  <c r="L1728" i="2"/>
  <c r="V1728" i="2" s="1"/>
  <c r="U1727" i="2"/>
  <c r="S1727" i="2"/>
  <c r="T1727" i="2" s="1"/>
  <c r="Q1727" i="2"/>
  <c r="P1727" i="2"/>
  <c r="R1727" i="2" s="1"/>
  <c r="O1727" i="2"/>
  <c r="N1727" i="2"/>
  <c r="M1727" i="2"/>
  <c r="L1727" i="2"/>
  <c r="V1727" i="2" s="1"/>
  <c r="U1726" i="2"/>
  <c r="S1726" i="2"/>
  <c r="T1726" i="2" s="1"/>
  <c r="Q1726" i="2"/>
  <c r="P1726" i="2"/>
  <c r="R1726" i="2" s="1"/>
  <c r="O1726" i="2"/>
  <c r="N1726" i="2"/>
  <c r="M1726" i="2"/>
  <c r="L1726" i="2"/>
  <c r="V1726" i="2" s="1"/>
  <c r="U1725" i="2"/>
  <c r="S1725" i="2"/>
  <c r="T1725" i="2" s="1"/>
  <c r="P1725" i="2"/>
  <c r="R1725" i="2" s="1"/>
  <c r="O1725" i="2"/>
  <c r="N1725" i="2"/>
  <c r="M1725" i="2"/>
  <c r="L1725" i="2"/>
  <c r="V1725" i="2" s="1"/>
  <c r="U1724" i="2"/>
  <c r="S1724" i="2"/>
  <c r="T1724" i="2" s="1"/>
  <c r="P1724" i="2"/>
  <c r="R1724" i="2" s="1"/>
  <c r="O1724" i="2"/>
  <c r="N1724" i="2"/>
  <c r="M1724" i="2"/>
  <c r="L1724" i="2"/>
  <c r="V1724" i="2" s="1"/>
  <c r="U1723" i="2"/>
  <c r="S1723" i="2"/>
  <c r="T1723" i="2" s="1"/>
  <c r="P1723" i="2"/>
  <c r="R1723" i="2" s="1"/>
  <c r="O1723" i="2"/>
  <c r="N1723" i="2"/>
  <c r="M1723" i="2"/>
  <c r="L1723" i="2"/>
  <c r="V1723" i="2" s="1"/>
  <c r="U1722" i="2"/>
  <c r="S1722" i="2"/>
  <c r="T1722" i="2" s="1"/>
  <c r="P1722" i="2"/>
  <c r="R1722" i="2" s="1"/>
  <c r="O1722" i="2"/>
  <c r="N1722" i="2"/>
  <c r="M1722" i="2"/>
  <c r="L1722" i="2"/>
  <c r="V1722" i="2" s="1"/>
  <c r="U1721" i="2"/>
  <c r="S1721" i="2"/>
  <c r="T1721" i="2" s="1"/>
  <c r="P1721" i="2"/>
  <c r="R1721" i="2" s="1"/>
  <c r="O1721" i="2"/>
  <c r="N1721" i="2"/>
  <c r="M1721" i="2"/>
  <c r="L1721" i="2"/>
  <c r="V1721" i="2" s="1"/>
  <c r="U1720" i="2"/>
  <c r="S1720" i="2"/>
  <c r="T1720" i="2" s="1"/>
  <c r="Q1720" i="2"/>
  <c r="P1720" i="2"/>
  <c r="R1720" i="2" s="1"/>
  <c r="O1720" i="2"/>
  <c r="N1720" i="2"/>
  <c r="M1720" i="2"/>
  <c r="L1720" i="2"/>
  <c r="V1720" i="2" s="1"/>
  <c r="U1719" i="2"/>
  <c r="S1719" i="2"/>
  <c r="T1719" i="2" s="1"/>
  <c r="Q1719" i="2"/>
  <c r="P1719" i="2"/>
  <c r="R1719" i="2" s="1"/>
  <c r="O1719" i="2"/>
  <c r="N1719" i="2"/>
  <c r="M1719" i="2"/>
  <c r="L1719" i="2"/>
  <c r="V1719" i="2" s="1"/>
  <c r="U1718" i="2"/>
  <c r="S1718" i="2"/>
  <c r="T1718" i="2" s="1"/>
  <c r="P1718" i="2"/>
  <c r="R1718" i="2" s="1"/>
  <c r="O1718" i="2"/>
  <c r="N1718" i="2"/>
  <c r="M1718" i="2"/>
  <c r="L1718" i="2"/>
  <c r="V1718" i="2" s="1"/>
  <c r="U1717" i="2"/>
  <c r="S1717" i="2"/>
  <c r="T1717" i="2" s="1"/>
  <c r="Q1717" i="2"/>
  <c r="P1717" i="2"/>
  <c r="R1717" i="2" s="1"/>
  <c r="O1717" i="2"/>
  <c r="N1717" i="2"/>
  <c r="M1717" i="2"/>
  <c r="L1717" i="2"/>
  <c r="V1717" i="2" s="1"/>
  <c r="U1716" i="2"/>
  <c r="S1716" i="2"/>
  <c r="T1716" i="2" s="1"/>
  <c r="P1716" i="2"/>
  <c r="R1716" i="2" s="1"/>
  <c r="O1716" i="2"/>
  <c r="N1716" i="2"/>
  <c r="M1716" i="2"/>
  <c r="L1716" i="2"/>
  <c r="V1716" i="2" s="1"/>
  <c r="U1715" i="2"/>
  <c r="S1715" i="2"/>
  <c r="T1715" i="2" s="1"/>
  <c r="P1715" i="2"/>
  <c r="R1715" i="2" s="1"/>
  <c r="O1715" i="2"/>
  <c r="N1715" i="2"/>
  <c r="M1715" i="2"/>
  <c r="L1715" i="2"/>
  <c r="V1715" i="2" s="1"/>
  <c r="U1714" i="2"/>
  <c r="S1714" i="2"/>
  <c r="T1714" i="2" s="1"/>
  <c r="Q1714" i="2"/>
  <c r="P1714" i="2"/>
  <c r="R1714" i="2" s="1"/>
  <c r="O1714" i="2"/>
  <c r="N1714" i="2"/>
  <c r="M1714" i="2"/>
  <c r="L1714" i="2"/>
  <c r="V1714" i="2" s="1"/>
  <c r="U1713" i="2"/>
  <c r="S1713" i="2"/>
  <c r="T1713" i="2" s="1"/>
  <c r="P1713" i="2"/>
  <c r="R1713" i="2" s="1"/>
  <c r="O1713" i="2"/>
  <c r="N1713" i="2"/>
  <c r="M1713" i="2"/>
  <c r="L1713" i="2"/>
  <c r="V1713" i="2" s="1"/>
  <c r="U1712" i="2"/>
  <c r="S1712" i="2"/>
  <c r="T1712" i="2" s="1"/>
  <c r="P1712" i="2"/>
  <c r="R1712" i="2" s="1"/>
  <c r="O1712" i="2"/>
  <c r="N1712" i="2"/>
  <c r="M1712" i="2"/>
  <c r="L1712" i="2"/>
  <c r="V1712" i="2" s="1"/>
  <c r="U1711" i="2"/>
  <c r="S1711" i="2"/>
  <c r="T1711" i="2" s="1"/>
  <c r="Q1711" i="2"/>
  <c r="P1711" i="2"/>
  <c r="R1711" i="2" s="1"/>
  <c r="O1711" i="2"/>
  <c r="N1711" i="2"/>
  <c r="M1711" i="2"/>
  <c r="L1711" i="2"/>
  <c r="V1711" i="2" s="1"/>
  <c r="U1710" i="2"/>
  <c r="S1710" i="2"/>
  <c r="T1710" i="2" s="1"/>
  <c r="P1710" i="2"/>
  <c r="R1710" i="2" s="1"/>
  <c r="O1710" i="2"/>
  <c r="N1710" i="2"/>
  <c r="M1710" i="2"/>
  <c r="L1710" i="2"/>
  <c r="V1710" i="2" s="1"/>
  <c r="U1709" i="2"/>
  <c r="S1709" i="2"/>
  <c r="T1709" i="2" s="1"/>
  <c r="P1709" i="2"/>
  <c r="R1709" i="2" s="1"/>
  <c r="O1709" i="2"/>
  <c r="N1709" i="2"/>
  <c r="M1709" i="2"/>
  <c r="L1709" i="2"/>
  <c r="V1709" i="2" s="1"/>
  <c r="U1708" i="2"/>
  <c r="S1708" i="2"/>
  <c r="T1708" i="2" s="1"/>
  <c r="Q1708" i="2"/>
  <c r="P1708" i="2"/>
  <c r="R1708" i="2" s="1"/>
  <c r="O1708" i="2"/>
  <c r="N1708" i="2"/>
  <c r="M1708" i="2"/>
  <c r="L1708" i="2"/>
  <c r="V1708" i="2" s="1"/>
  <c r="U1707" i="2"/>
  <c r="S1707" i="2"/>
  <c r="T1707" i="2" s="1"/>
  <c r="P1707" i="2"/>
  <c r="R1707" i="2" s="1"/>
  <c r="O1707" i="2"/>
  <c r="N1707" i="2"/>
  <c r="M1707" i="2"/>
  <c r="L1707" i="2"/>
  <c r="V1707" i="2" s="1"/>
  <c r="U1706" i="2"/>
  <c r="S1706" i="2"/>
  <c r="T1706" i="2" s="1"/>
  <c r="P1706" i="2"/>
  <c r="R1706" i="2" s="1"/>
  <c r="O1706" i="2"/>
  <c r="N1706" i="2"/>
  <c r="M1706" i="2"/>
  <c r="L1706" i="2"/>
  <c r="V1706" i="2" s="1"/>
  <c r="U1705" i="2"/>
  <c r="S1705" i="2"/>
  <c r="T1705" i="2" s="1"/>
  <c r="Q1705" i="2"/>
  <c r="P1705" i="2"/>
  <c r="R1705" i="2" s="1"/>
  <c r="O1705" i="2"/>
  <c r="N1705" i="2"/>
  <c r="M1705" i="2"/>
  <c r="L1705" i="2"/>
  <c r="V1705" i="2" s="1"/>
  <c r="U1704" i="2"/>
  <c r="S1704" i="2"/>
  <c r="T1704" i="2" s="1"/>
  <c r="Q1704" i="2"/>
  <c r="P1704" i="2"/>
  <c r="R1704" i="2" s="1"/>
  <c r="O1704" i="2"/>
  <c r="N1704" i="2"/>
  <c r="M1704" i="2"/>
  <c r="L1704" i="2"/>
  <c r="V1704" i="2" s="1"/>
  <c r="U1703" i="2"/>
  <c r="S1703" i="2"/>
  <c r="T1703" i="2" s="1"/>
  <c r="P1703" i="2"/>
  <c r="R1703" i="2" s="1"/>
  <c r="O1703" i="2"/>
  <c r="N1703" i="2"/>
  <c r="M1703" i="2"/>
  <c r="L1703" i="2"/>
  <c r="V1703" i="2" s="1"/>
  <c r="U1702" i="2"/>
  <c r="S1702" i="2"/>
  <c r="T1702" i="2" s="1"/>
  <c r="P1702" i="2"/>
  <c r="R1702" i="2" s="1"/>
  <c r="O1702" i="2"/>
  <c r="N1702" i="2"/>
  <c r="M1702" i="2"/>
  <c r="L1702" i="2"/>
  <c r="V1702" i="2" s="1"/>
  <c r="U1701" i="2"/>
  <c r="S1701" i="2"/>
  <c r="T1701" i="2" s="1"/>
  <c r="P1701" i="2"/>
  <c r="R1701" i="2" s="1"/>
  <c r="O1701" i="2"/>
  <c r="N1701" i="2"/>
  <c r="M1701" i="2"/>
  <c r="L1701" i="2"/>
  <c r="V1701" i="2" s="1"/>
  <c r="U1700" i="2"/>
  <c r="S1700" i="2"/>
  <c r="T1700" i="2" s="1"/>
  <c r="Q1700" i="2"/>
  <c r="P1700" i="2"/>
  <c r="R1700" i="2" s="1"/>
  <c r="O1700" i="2"/>
  <c r="N1700" i="2"/>
  <c r="M1700" i="2"/>
  <c r="L1700" i="2"/>
  <c r="V1700" i="2" s="1"/>
  <c r="U1699" i="2"/>
  <c r="S1699" i="2"/>
  <c r="T1699" i="2" s="1"/>
  <c r="Q1699" i="2"/>
  <c r="P1699" i="2"/>
  <c r="R1699" i="2" s="1"/>
  <c r="O1699" i="2"/>
  <c r="N1699" i="2"/>
  <c r="M1699" i="2"/>
  <c r="L1699" i="2"/>
  <c r="V1699" i="2" s="1"/>
  <c r="U1698" i="2"/>
  <c r="S1698" i="2"/>
  <c r="T1698" i="2" s="1"/>
  <c r="Q1698" i="2"/>
  <c r="P1698" i="2"/>
  <c r="R1698" i="2" s="1"/>
  <c r="O1698" i="2"/>
  <c r="N1698" i="2"/>
  <c r="M1698" i="2"/>
  <c r="L1698" i="2"/>
  <c r="V1698" i="2" s="1"/>
  <c r="U1697" i="2"/>
  <c r="S1697" i="2"/>
  <c r="T1697" i="2" s="1"/>
  <c r="P1697" i="2"/>
  <c r="R1697" i="2" s="1"/>
  <c r="O1697" i="2"/>
  <c r="N1697" i="2"/>
  <c r="M1697" i="2"/>
  <c r="L1697" i="2"/>
  <c r="V1697" i="2" s="1"/>
  <c r="U1696" i="2"/>
  <c r="S1696" i="2"/>
  <c r="T1696" i="2" s="1"/>
  <c r="P1696" i="2"/>
  <c r="R1696" i="2" s="1"/>
  <c r="O1696" i="2"/>
  <c r="N1696" i="2"/>
  <c r="M1696" i="2"/>
  <c r="L1696" i="2"/>
  <c r="V1696" i="2" s="1"/>
  <c r="U1695" i="2"/>
  <c r="S1695" i="2"/>
  <c r="T1695" i="2" s="1"/>
  <c r="Q1695" i="2"/>
  <c r="P1695" i="2"/>
  <c r="R1695" i="2" s="1"/>
  <c r="O1695" i="2"/>
  <c r="N1695" i="2"/>
  <c r="M1695" i="2"/>
  <c r="L1695" i="2"/>
  <c r="V1695" i="2" s="1"/>
  <c r="U1694" i="2"/>
  <c r="S1694" i="2"/>
  <c r="T1694" i="2" s="1"/>
  <c r="Q1694" i="2"/>
  <c r="P1694" i="2"/>
  <c r="R1694" i="2" s="1"/>
  <c r="O1694" i="2"/>
  <c r="N1694" i="2"/>
  <c r="M1694" i="2"/>
  <c r="L1694" i="2"/>
  <c r="V1694" i="2" s="1"/>
  <c r="U1693" i="2"/>
  <c r="S1693" i="2"/>
  <c r="T1693" i="2" s="1"/>
  <c r="Q1693" i="2"/>
  <c r="P1693" i="2"/>
  <c r="R1693" i="2" s="1"/>
  <c r="O1693" i="2"/>
  <c r="N1693" i="2"/>
  <c r="M1693" i="2"/>
  <c r="L1693" i="2"/>
  <c r="V1693" i="2" s="1"/>
  <c r="U1692" i="2"/>
  <c r="S1692" i="2"/>
  <c r="T1692" i="2" s="1"/>
  <c r="Q1692" i="2"/>
  <c r="P1692" i="2"/>
  <c r="R1692" i="2" s="1"/>
  <c r="O1692" i="2"/>
  <c r="N1692" i="2"/>
  <c r="M1692" i="2"/>
  <c r="L1692" i="2"/>
  <c r="V1692" i="2" s="1"/>
  <c r="U1691" i="2"/>
  <c r="S1691" i="2"/>
  <c r="T1691" i="2" s="1"/>
  <c r="P1691" i="2"/>
  <c r="R1691" i="2" s="1"/>
  <c r="O1691" i="2"/>
  <c r="N1691" i="2"/>
  <c r="M1691" i="2"/>
  <c r="L1691" i="2"/>
  <c r="V1691" i="2" s="1"/>
  <c r="U1690" i="2"/>
  <c r="S1690" i="2"/>
  <c r="T1690" i="2" s="1"/>
  <c r="P1690" i="2"/>
  <c r="R1690" i="2" s="1"/>
  <c r="O1690" i="2"/>
  <c r="N1690" i="2"/>
  <c r="M1690" i="2"/>
  <c r="L1690" i="2"/>
  <c r="V1690" i="2" s="1"/>
  <c r="U1689" i="2"/>
  <c r="S1689" i="2"/>
  <c r="T1689" i="2" s="1"/>
  <c r="Q1689" i="2"/>
  <c r="P1689" i="2"/>
  <c r="R1689" i="2" s="1"/>
  <c r="O1689" i="2"/>
  <c r="N1689" i="2"/>
  <c r="M1689" i="2"/>
  <c r="L1689" i="2"/>
  <c r="V1689" i="2" s="1"/>
  <c r="U1688" i="2"/>
  <c r="S1688" i="2"/>
  <c r="T1688" i="2" s="1"/>
  <c r="Q1688" i="2"/>
  <c r="P1688" i="2"/>
  <c r="R1688" i="2" s="1"/>
  <c r="O1688" i="2"/>
  <c r="N1688" i="2"/>
  <c r="M1688" i="2"/>
  <c r="L1688" i="2"/>
  <c r="V1688" i="2" s="1"/>
  <c r="U1687" i="2"/>
  <c r="S1687" i="2"/>
  <c r="T1687" i="2" s="1"/>
  <c r="Q1687" i="2"/>
  <c r="P1687" i="2"/>
  <c r="R1687" i="2" s="1"/>
  <c r="O1687" i="2"/>
  <c r="N1687" i="2"/>
  <c r="M1687" i="2"/>
  <c r="L1687" i="2"/>
  <c r="V1687" i="2" s="1"/>
  <c r="U1686" i="2"/>
  <c r="S1686" i="2"/>
  <c r="T1686" i="2" s="1"/>
  <c r="P1686" i="2"/>
  <c r="R1686" i="2" s="1"/>
  <c r="O1686" i="2"/>
  <c r="N1686" i="2"/>
  <c r="M1686" i="2"/>
  <c r="L1686" i="2"/>
  <c r="V1686" i="2" s="1"/>
  <c r="U1685" i="2"/>
  <c r="S1685" i="2"/>
  <c r="T1685" i="2" s="1"/>
  <c r="P1685" i="2"/>
  <c r="R1685" i="2" s="1"/>
  <c r="O1685" i="2"/>
  <c r="N1685" i="2"/>
  <c r="M1685" i="2"/>
  <c r="L1685" i="2"/>
  <c r="V1685" i="2" s="1"/>
  <c r="U1684" i="2"/>
  <c r="S1684" i="2"/>
  <c r="T1684" i="2" s="1"/>
  <c r="Q1684" i="2"/>
  <c r="P1684" i="2"/>
  <c r="R1684" i="2" s="1"/>
  <c r="O1684" i="2"/>
  <c r="N1684" i="2"/>
  <c r="M1684" i="2"/>
  <c r="L1684" i="2"/>
  <c r="V1684" i="2" s="1"/>
  <c r="U1683" i="2"/>
  <c r="S1683" i="2"/>
  <c r="T1683" i="2" s="1"/>
  <c r="Q1683" i="2"/>
  <c r="P1683" i="2"/>
  <c r="R1683" i="2" s="1"/>
  <c r="O1683" i="2"/>
  <c r="N1683" i="2"/>
  <c r="M1683" i="2"/>
  <c r="L1683" i="2"/>
  <c r="V1683" i="2" s="1"/>
  <c r="U1682" i="2"/>
  <c r="S1682" i="2"/>
  <c r="T1682" i="2" s="1"/>
  <c r="Q1682" i="2"/>
  <c r="P1682" i="2"/>
  <c r="R1682" i="2" s="1"/>
  <c r="O1682" i="2"/>
  <c r="N1682" i="2"/>
  <c r="M1682" i="2"/>
  <c r="L1682" i="2"/>
  <c r="V1682" i="2" s="1"/>
  <c r="U1681" i="2"/>
  <c r="S1681" i="2"/>
  <c r="T1681" i="2" s="1"/>
  <c r="P1681" i="2"/>
  <c r="R1681" i="2" s="1"/>
  <c r="O1681" i="2"/>
  <c r="N1681" i="2"/>
  <c r="M1681" i="2"/>
  <c r="L1681" i="2"/>
  <c r="V1681" i="2" s="1"/>
  <c r="U1680" i="2"/>
  <c r="S1680" i="2"/>
  <c r="T1680" i="2" s="1"/>
  <c r="Q1680" i="2"/>
  <c r="P1680" i="2"/>
  <c r="R1680" i="2" s="1"/>
  <c r="O1680" i="2"/>
  <c r="N1680" i="2"/>
  <c r="M1680" i="2"/>
  <c r="L1680" i="2"/>
  <c r="V1680" i="2" s="1"/>
  <c r="U1679" i="2"/>
  <c r="S1679" i="2"/>
  <c r="T1679" i="2" s="1"/>
  <c r="Q1679" i="2"/>
  <c r="P1679" i="2"/>
  <c r="R1679" i="2" s="1"/>
  <c r="O1679" i="2"/>
  <c r="N1679" i="2"/>
  <c r="M1679" i="2"/>
  <c r="L1679" i="2"/>
  <c r="V1679" i="2" s="1"/>
  <c r="U1678" i="2"/>
  <c r="S1678" i="2"/>
  <c r="T1678" i="2" s="1"/>
  <c r="Q1678" i="2"/>
  <c r="P1678" i="2"/>
  <c r="R1678" i="2" s="1"/>
  <c r="O1678" i="2"/>
  <c r="N1678" i="2"/>
  <c r="M1678" i="2"/>
  <c r="L1678" i="2"/>
  <c r="V1678" i="2" s="1"/>
  <c r="U1677" i="2"/>
  <c r="S1677" i="2"/>
  <c r="T1677" i="2" s="1"/>
  <c r="Q1677" i="2"/>
  <c r="P1677" i="2"/>
  <c r="R1677" i="2" s="1"/>
  <c r="O1677" i="2"/>
  <c r="N1677" i="2"/>
  <c r="M1677" i="2"/>
  <c r="L1677" i="2"/>
  <c r="V1677" i="2" s="1"/>
  <c r="U1676" i="2"/>
  <c r="S1676" i="2"/>
  <c r="T1676" i="2" s="1"/>
  <c r="P1676" i="2"/>
  <c r="R1676" i="2" s="1"/>
  <c r="O1676" i="2"/>
  <c r="N1676" i="2"/>
  <c r="M1676" i="2"/>
  <c r="L1676" i="2"/>
  <c r="V1676" i="2" s="1"/>
  <c r="U1675" i="2"/>
  <c r="S1675" i="2"/>
  <c r="T1675" i="2" s="1"/>
  <c r="Q1675" i="2"/>
  <c r="P1675" i="2"/>
  <c r="R1675" i="2" s="1"/>
  <c r="O1675" i="2"/>
  <c r="N1675" i="2"/>
  <c r="M1675" i="2"/>
  <c r="L1675" i="2"/>
  <c r="V1675" i="2" s="1"/>
  <c r="U1674" i="2"/>
  <c r="S1674" i="2"/>
  <c r="T1674" i="2" s="1"/>
  <c r="Q1674" i="2"/>
  <c r="P1674" i="2"/>
  <c r="R1674" i="2" s="1"/>
  <c r="O1674" i="2"/>
  <c r="N1674" i="2"/>
  <c r="M1674" i="2"/>
  <c r="L1674" i="2"/>
  <c r="V1674" i="2" s="1"/>
  <c r="U1673" i="2"/>
  <c r="S1673" i="2"/>
  <c r="T1673" i="2" s="1"/>
  <c r="P1673" i="2"/>
  <c r="R1673" i="2" s="1"/>
  <c r="O1673" i="2"/>
  <c r="N1673" i="2"/>
  <c r="M1673" i="2"/>
  <c r="L1673" i="2"/>
  <c r="V1673" i="2" s="1"/>
  <c r="U1672" i="2"/>
  <c r="S1672" i="2"/>
  <c r="T1672" i="2" s="1"/>
  <c r="Q1672" i="2"/>
  <c r="P1672" i="2"/>
  <c r="R1672" i="2" s="1"/>
  <c r="O1672" i="2"/>
  <c r="N1672" i="2"/>
  <c r="M1672" i="2"/>
  <c r="L1672" i="2"/>
  <c r="V1672" i="2" s="1"/>
  <c r="U1671" i="2"/>
  <c r="S1671" i="2"/>
  <c r="T1671" i="2" s="1"/>
  <c r="P1671" i="2"/>
  <c r="R1671" i="2" s="1"/>
  <c r="O1671" i="2"/>
  <c r="N1671" i="2"/>
  <c r="M1671" i="2"/>
  <c r="L1671" i="2"/>
  <c r="V1671" i="2" s="1"/>
  <c r="U1670" i="2"/>
  <c r="S1670" i="2"/>
  <c r="T1670" i="2" s="1"/>
  <c r="Q1670" i="2"/>
  <c r="P1670" i="2"/>
  <c r="R1670" i="2" s="1"/>
  <c r="O1670" i="2"/>
  <c r="N1670" i="2"/>
  <c r="M1670" i="2"/>
  <c r="L1670" i="2"/>
  <c r="V1670" i="2" s="1"/>
  <c r="U1669" i="2"/>
  <c r="S1669" i="2"/>
  <c r="T1669" i="2" s="1"/>
  <c r="P1669" i="2"/>
  <c r="R1669" i="2" s="1"/>
  <c r="O1669" i="2"/>
  <c r="N1669" i="2"/>
  <c r="M1669" i="2"/>
  <c r="L1669" i="2"/>
  <c r="V1669" i="2" s="1"/>
  <c r="U1668" i="2"/>
  <c r="S1668" i="2"/>
  <c r="T1668" i="2" s="1"/>
  <c r="P1668" i="2"/>
  <c r="R1668" i="2" s="1"/>
  <c r="O1668" i="2"/>
  <c r="N1668" i="2"/>
  <c r="M1668" i="2"/>
  <c r="L1668" i="2"/>
  <c r="V1668" i="2" s="1"/>
  <c r="U1667" i="2"/>
  <c r="S1667" i="2"/>
  <c r="T1667" i="2" s="1"/>
  <c r="P1667" i="2"/>
  <c r="R1667" i="2" s="1"/>
  <c r="O1667" i="2"/>
  <c r="N1667" i="2"/>
  <c r="M1667" i="2"/>
  <c r="L1667" i="2"/>
  <c r="V1667" i="2" s="1"/>
  <c r="U1666" i="2"/>
  <c r="S1666" i="2"/>
  <c r="T1666" i="2" s="1"/>
  <c r="Q1666" i="2"/>
  <c r="P1666" i="2"/>
  <c r="R1666" i="2" s="1"/>
  <c r="O1666" i="2"/>
  <c r="N1666" i="2"/>
  <c r="M1666" i="2"/>
  <c r="L1666" i="2"/>
  <c r="V1666" i="2" s="1"/>
  <c r="U1665" i="2"/>
  <c r="S1665" i="2"/>
  <c r="T1665" i="2" s="1"/>
  <c r="Q1665" i="2"/>
  <c r="P1665" i="2"/>
  <c r="R1665" i="2" s="1"/>
  <c r="O1665" i="2"/>
  <c r="N1665" i="2"/>
  <c r="M1665" i="2"/>
  <c r="L1665" i="2"/>
  <c r="V1665" i="2" s="1"/>
  <c r="U1664" i="2"/>
  <c r="S1664" i="2"/>
  <c r="T1664" i="2" s="1"/>
  <c r="Q1664" i="2"/>
  <c r="P1664" i="2"/>
  <c r="R1664" i="2" s="1"/>
  <c r="O1664" i="2"/>
  <c r="N1664" i="2"/>
  <c r="M1664" i="2"/>
  <c r="L1664" i="2"/>
  <c r="V1664" i="2" s="1"/>
  <c r="U1663" i="2"/>
  <c r="S1663" i="2"/>
  <c r="T1663" i="2" s="1"/>
  <c r="Q1663" i="2"/>
  <c r="P1663" i="2"/>
  <c r="R1663" i="2" s="1"/>
  <c r="O1663" i="2"/>
  <c r="N1663" i="2"/>
  <c r="M1663" i="2"/>
  <c r="L1663" i="2"/>
  <c r="V1663" i="2" s="1"/>
  <c r="U1662" i="2"/>
  <c r="S1662" i="2"/>
  <c r="T1662" i="2" s="1"/>
  <c r="Q1662" i="2"/>
  <c r="P1662" i="2"/>
  <c r="R1662" i="2" s="1"/>
  <c r="O1662" i="2"/>
  <c r="N1662" i="2"/>
  <c r="M1662" i="2"/>
  <c r="L1662" i="2"/>
  <c r="V1662" i="2" s="1"/>
  <c r="U1661" i="2"/>
  <c r="S1661" i="2"/>
  <c r="T1661" i="2" s="1"/>
  <c r="Q1661" i="2"/>
  <c r="P1661" i="2"/>
  <c r="R1661" i="2" s="1"/>
  <c r="O1661" i="2"/>
  <c r="N1661" i="2"/>
  <c r="M1661" i="2"/>
  <c r="L1661" i="2"/>
  <c r="V1661" i="2" s="1"/>
  <c r="U1660" i="2"/>
  <c r="S1660" i="2"/>
  <c r="T1660" i="2" s="1"/>
  <c r="Q1660" i="2"/>
  <c r="P1660" i="2"/>
  <c r="R1660" i="2" s="1"/>
  <c r="O1660" i="2"/>
  <c r="N1660" i="2"/>
  <c r="M1660" i="2"/>
  <c r="L1660" i="2"/>
  <c r="V1660" i="2" s="1"/>
  <c r="U1659" i="2"/>
  <c r="S1659" i="2"/>
  <c r="T1659" i="2" s="1"/>
  <c r="P1659" i="2"/>
  <c r="R1659" i="2" s="1"/>
  <c r="O1659" i="2"/>
  <c r="N1659" i="2"/>
  <c r="M1659" i="2"/>
  <c r="L1659" i="2"/>
  <c r="V1659" i="2" s="1"/>
  <c r="U1658" i="2"/>
  <c r="S1658" i="2"/>
  <c r="T1658" i="2" s="1"/>
  <c r="Q1658" i="2"/>
  <c r="P1658" i="2"/>
  <c r="R1658" i="2" s="1"/>
  <c r="O1658" i="2"/>
  <c r="N1658" i="2"/>
  <c r="M1658" i="2"/>
  <c r="L1658" i="2"/>
  <c r="V1658" i="2" s="1"/>
  <c r="U1657" i="2"/>
  <c r="S1657" i="2"/>
  <c r="T1657" i="2" s="1"/>
  <c r="Q1657" i="2"/>
  <c r="P1657" i="2"/>
  <c r="R1657" i="2" s="1"/>
  <c r="O1657" i="2"/>
  <c r="N1657" i="2"/>
  <c r="M1657" i="2"/>
  <c r="L1657" i="2"/>
  <c r="V1657" i="2" s="1"/>
  <c r="U1656" i="2"/>
  <c r="S1656" i="2"/>
  <c r="T1656" i="2" s="1"/>
  <c r="Q1656" i="2"/>
  <c r="P1656" i="2"/>
  <c r="R1656" i="2" s="1"/>
  <c r="O1656" i="2"/>
  <c r="N1656" i="2"/>
  <c r="M1656" i="2"/>
  <c r="L1656" i="2"/>
  <c r="V1656" i="2" s="1"/>
  <c r="U1655" i="2"/>
  <c r="S1655" i="2"/>
  <c r="T1655" i="2" s="1"/>
  <c r="P1655" i="2"/>
  <c r="R1655" i="2" s="1"/>
  <c r="O1655" i="2"/>
  <c r="N1655" i="2"/>
  <c r="M1655" i="2"/>
  <c r="L1655" i="2"/>
  <c r="V1655" i="2" s="1"/>
  <c r="U1654" i="2"/>
  <c r="S1654" i="2"/>
  <c r="T1654" i="2" s="1"/>
  <c r="P1654" i="2"/>
  <c r="R1654" i="2" s="1"/>
  <c r="O1654" i="2"/>
  <c r="N1654" i="2"/>
  <c r="M1654" i="2"/>
  <c r="L1654" i="2"/>
  <c r="V1654" i="2" s="1"/>
  <c r="U1653" i="2"/>
  <c r="S1653" i="2"/>
  <c r="T1653" i="2" s="1"/>
  <c r="Q1653" i="2"/>
  <c r="P1653" i="2"/>
  <c r="R1653" i="2" s="1"/>
  <c r="O1653" i="2"/>
  <c r="N1653" i="2"/>
  <c r="M1653" i="2"/>
  <c r="L1653" i="2"/>
  <c r="V1653" i="2" s="1"/>
  <c r="U1652" i="2"/>
  <c r="S1652" i="2"/>
  <c r="T1652" i="2" s="1"/>
  <c r="Q1652" i="2"/>
  <c r="P1652" i="2"/>
  <c r="R1652" i="2" s="1"/>
  <c r="O1652" i="2"/>
  <c r="N1652" i="2"/>
  <c r="M1652" i="2"/>
  <c r="L1652" i="2"/>
  <c r="V1652" i="2" s="1"/>
  <c r="U1651" i="2"/>
  <c r="S1651" i="2"/>
  <c r="T1651" i="2" s="1"/>
  <c r="P1651" i="2"/>
  <c r="R1651" i="2" s="1"/>
  <c r="O1651" i="2"/>
  <c r="N1651" i="2"/>
  <c r="M1651" i="2"/>
  <c r="L1651" i="2"/>
  <c r="V1651" i="2" s="1"/>
  <c r="U1650" i="2"/>
  <c r="S1650" i="2"/>
  <c r="T1650" i="2" s="1"/>
  <c r="Q1650" i="2"/>
  <c r="P1650" i="2"/>
  <c r="R1650" i="2" s="1"/>
  <c r="O1650" i="2"/>
  <c r="N1650" i="2"/>
  <c r="M1650" i="2"/>
  <c r="L1650" i="2"/>
  <c r="V1650" i="2" s="1"/>
  <c r="U1649" i="2"/>
  <c r="S1649" i="2"/>
  <c r="T1649" i="2" s="1"/>
  <c r="P1649" i="2"/>
  <c r="R1649" i="2" s="1"/>
  <c r="O1649" i="2"/>
  <c r="N1649" i="2"/>
  <c r="M1649" i="2"/>
  <c r="L1649" i="2"/>
  <c r="V1649" i="2" s="1"/>
  <c r="U1648" i="2"/>
  <c r="S1648" i="2"/>
  <c r="T1648" i="2" s="1"/>
  <c r="P1648" i="2"/>
  <c r="R1648" i="2" s="1"/>
  <c r="O1648" i="2"/>
  <c r="N1648" i="2"/>
  <c r="M1648" i="2"/>
  <c r="L1648" i="2"/>
  <c r="V1648" i="2" s="1"/>
  <c r="U1647" i="2"/>
  <c r="S1647" i="2"/>
  <c r="T1647" i="2" s="1"/>
  <c r="P1647" i="2"/>
  <c r="R1647" i="2" s="1"/>
  <c r="O1647" i="2"/>
  <c r="N1647" i="2"/>
  <c r="M1647" i="2"/>
  <c r="L1647" i="2"/>
  <c r="V1647" i="2" s="1"/>
  <c r="U1646" i="2"/>
  <c r="S1646" i="2"/>
  <c r="T1646" i="2" s="1"/>
  <c r="P1646" i="2"/>
  <c r="R1646" i="2" s="1"/>
  <c r="O1646" i="2"/>
  <c r="N1646" i="2"/>
  <c r="M1646" i="2"/>
  <c r="L1646" i="2"/>
  <c r="V1646" i="2" s="1"/>
  <c r="U1645" i="2"/>
  <c r="S1645" i="2"/>
  <c r="T1645" i="2" s="1"/>
  <c r="Q1645" i="2"/>
  <c r="P1645" i="2"/>
  <c r="R1645" i="2" s="1"/>
  <c r="O1645" i="2"/>
  <c r="N1645" i="2"/>
  <c r="M1645" i="2"/>
  <c r="L1645" i="2"/>
  <c r="V1645" i="2" s="1"/>
  <c r="U1644" i="2"/>
  <c r="S1644" i="2"/>
  <c r="T1644" i="2" s="1"/>
  <c r="Q1644" i="2"/>
  <c r="P1644" i="2"/>
  <c r="R1644" i="2" s="1"/>
  <c r="O1644" i="2"/>
  <c r="N1644" i="2"/>
  <c r="M1644" i="2"/>
  <c r="L1644" i="2"/>
  <c r="V1644" i="2" s="1"/>
  <c r="U1643" i="2"/>
  <c r="S1643" i="2"/>
  <c r="T1643" i="2" s="1"/>
  <c r="P1643" i="2"/>
  <c r="R1643" i="2" s="1"/>
  <c r="O1643" i="2"/>
  <c r="N1643" i="2"/>
  <c r="M1643" i="2"/>
  <c r="L1643" i="2"/>
  <c r="V1643" i="2" s="1"/>
  <c r="U1642" i="2"/>
  <c r="S1642" i="2"/>
  <c r="T1642" i="2" s="1"/>
  <c r="P1642" i="2"/>
  <c r="R1642" i="2" s="1"/>
  <c r="O1642" i="2"/>
  <c r="N1642" i="2"/>
  <c r="M1642" i="2"/>
  <c r="L1642" i="2"/>
  <c r="V1642" i="2" s="1"/>
  <c r="U1641" i="2"/>
  <c r="S1641" i="2"/>
  <c r="T1641" i="2" s="1"/>
  <c r="Q1641" i="2"/>
  <c r="P1641" i="2"/>
  <c r="R1641" i="2" s="1"/>
  <c r="O1641" i="2"/>
  <c r="N1641" i="2"/>
  <c r="M1641" i="2"/>
  <c r="L1641" i="2"/>
  <c r="V1641" i="2" s="1"/>
  <c r="U1640" i="2"/>
  <c r="S1640" i="2"/>
  <c r="T1640" i="2" s="1"/>
  <c r="P1640" i="2"/>
  <c r="R1640" i="2" s="1"/>
  <c r="O1640" i="2"/>
  <c r="N1640" i="2"/>
  <c r="M1640" i="2"/>
  <c r="L1640" i="2"/>
  <c r="V1640" i="2" s="1"/>
  <c r="U1639" i="2"/>
  <c r="S1639" i="2"/>
  <c r="T1639" i="2" s="1"/>
  <c r="Q1639" i="2"/>
  <c r="P1639" i="2"/>
  <c r="R1639" i="2" s="1"/>
  <c r="O1639" i="2"/>
  <c r="N1639" i="2"/>
  <c r="M1639" i="2"/>
  <c r="L1639" i="2"/>
  <c r="V1639" i="2" s="1"/>
  <c r="U1638" i="2"/>
  <c r="S1638" i="2"/>
  <c r="T1638" i="2" s="1"/>
  <c r="P1638" i="2"/>
  <c r="R1638" i="2" s="1"/>
  <c r="O1638" i="2"/>
  <c r="N1638" i="2"/>
  <c r="M1638" i="2"/>
  <c r="L1638" i="2"/>
  <c r="V1638" i="2" s="1"/>
  <c r="U1637" i="2"/>
  <c r="S1637" i="2"/>
  <c r="T1637" i="2" s="1"/>
  <c r="P1637" i="2"/>
  <c r="R1637" i="2" s="1"/>
  <c r="O1637" i="2"/>
  <c r="N1637" i="2"/>
  <c r="M1637" i="2"/>
  <c r="L1637" i="2"/>
  <c r="V1637" i="2" s="1"/>
  <c r="U1636" i="2"/>
  <c r="S1636" i="2"/>
  <c r="T1636" i="2" s="1"/>
  <c r="Q1636" i="2"/>
  <c r="P1636" i="2"/>
  <c r="R1636" i="2" s="1"/>
  <c r="O1636" i="2"/>
  <c r="N1636" i="2"/>
  <c r="M1636" i="2"/>
  <c r="L1636" i="2"/>
  <c r="V1636" i="2" s="1"/>
  <c r="U1635" i="2"/>
  <c r="S1635" i="2"/>
  <c r="T1635" i="2" s="1"/>
  <c r="P1635" i="2"/>
  <c r="R1635" i="2" s="1"/>
  <c r="O1635" i="2"/>
  <c r="N1635" i="2"/>
  <c r="M1635" i="2"/>
  <c r="L1635" i="2"/>
  <c r="V1635" i="2" s="1"/>
  <c r="U1634" i="2"/>
  <c r="S1634" i="2"/>
  <c r="T1634" i="2" s="1"/>
  <c r="Q1634" i="2"/>
  <c r="P1634" i="2"/>
  <c r="R1634" i="2" s="1"/>
  <c r="O1634" i="2"/>
  <c r="N1634" i="2"/>
  <c r="M1634" i="2"/>
  <c r="L1634" i="2"/>
  <c r="V1634" i="2" s="1"/>
  <c r="U1633" i="2"/>
  <c r="S1633" i="2"/>
  <c r="T1633" i="2" s="1"/>
  <c r="P1633" i="2"/>
  <c r="R1633" i="2" s="1"/>
  <c r="O1633" i="2"/>
  <c r="N1633" i="2"/>
  <c r="M1633" i="2"/>
  <c r="L1633" i="2"/>
  <c r="V1633" i="2" s="1"/>
  <c r="U1632" i="2"/>
  <c r="S1632" i="2"/>
  <c r="T1632" i="2" s="1"/>
  <c r="P1632" i="2"/>
  <c r="R1632" i="2" s="1"/>
  <c r="O1632" i="2"/>
  <c r="N1632" i="2"/>
  <c r="M1632" i="2"/>
  <c r="L1632" i="2"/>
  <c r="V1632" i="2" s="1"/>
  <c r="U1631" i="2"/>
  <c r="S1631" i="2"/>
  <c r="T1631" i="2" s="1"/>
  <c r="P1631" i="2"/>
  <c r="R1631" i="2" s="1"/>
  <c r="O1631" i="2"/>
  <c r="N1631" i="2"/>
  <c r="M1631" i="2"/>
  <c r="L1631" i="2"/>
  <c r="V1631" i="2" s="1"/>
  <c r="U1630" i="2"/>
  <c r="S1630" i="2"/>
  <c r="T1630" i="2" s="1"/>
  <c r="Q1630" i="2"/>
  <c r="P1630" i="2"/>
  <c r="R1630" i="2" s="1"/>
  <c r="O1630" i="2"/>
  <c r="N1630" i="2"/>
  <c r="M1630" i="2"/>
  <c r="L1630" i="2"/>
  <c r="V1630" i="2" s="1"/>
  <c r="U1629" i="2"/>
  <c r="S1629" i="2"/>
  <c r="T1629" i="2" s="1"/>
  <c r="Q1629" i="2"/>
  <c r="P1629" i="2"/>
  <c r="R1629" i="2" s="1"/>
  <c r="O1629" i="2"/>
  <c r="N1629" i="2"/>
  <c r="M1629" i="2"/>
  <c r="L1629" i="2"/>
  <c r="V1629" i="2" s="1"/>
  <c r="U1628" i="2"/>
  <c r="S1628" i="2"/>
  <c r="T1628" i="2" s="1"/>
  <c r="P1628" i="2"/>
  <c r="R1628" i="2" s="1"/>
  <c r="O1628" i="2"/>
  <c r="N1628" i="2"/>
  <c r="M1628" i="2"/>
  <c r="L1628" i="2"/>
  <c r="V1628" i="2" s="1"/>
  <c r="U1627" i="2"/>
  <c r="S1627" i="2"/>
  <c r="T1627" i="2" s="1"/>
  <c r="P1627" i="2"/>
  <c r="R1627" i="2" s="1"/>
  <c r="O1627" i="2"/>
  <c r="N1627" i="2"/>
  <c r="M1627" i="2"/>
  <c r="L1627" i="2"/>
  <c r="V1627" i="2" s="1"/>
  <c r="U1626" i="2"/>
  <c r="S1626" i="2"/>
  <c r="T1626" i="2" s="1"/>
  <c r="Q1626" i="2"/>
  <c r="P1626" i="2"/>
  <c r="R1626" i="2" s="1"/>
  <c r="O1626" i="2"/>
  <c r="N1626" i="2"/>
  <c r="M1626" i="2"/>
  <c r="L1626" i="2"/>
  <c r="V1626" i="2" s="1"/>
  <c r="U1625" i="2"/>
  <c r="S1625" i="2"/>
  <c r="T1625" i="2" s="1"/>
  <c r="Q1625" i="2"/>
  <c r="P1625" i="2"/>
  <c r="R1625" i="2" s="1"/>
  <c r="O1625" i="2"/>
  <c r="N1625" i="2"/>
  <c r="M1625" i="2"/>
  <c r="L1625" i="2"/>
  <c r="V1625" i="2" s="1"/>
  <c r="U1624" i="2"/>
  <c r="S1624" i="2"/>
  <c r="T1624" i="2" s="1"/>
  <c r="Q1624" i="2"/>
  <c r="P1624" i="2"/>
  <c r="R1624" i="2" s="1"/>
  <c r="O1624" i="2"/>
  <c r="N1624" i="2"/>
  <c r="M1624" i="2"/>
  <c r="L1624" i="2"/>
  <c r="V1624" i="2" s="1"/>
  <c r="U1623" i="2"/>
  <c r="S1623" i="2"/>
  <c r="T1623" i="2" s="1"/>
  <c r="Q1623" i="2"/>
  <c r="P1623" i="2"/>
  <c r="R1623" i="2" s="1"/>
  <c r="O1623" i="2"/>
  <c r="N1623" i="2"/>
  <c r="M1623" i="2"/>
  <c r="L1623" i="2"/>
  <c r="V1623" i="2" s="1"/>
  <c r="U1622" i="2"/>
  <c r="S1622" i="2"/>
  <c r="T1622" i="2" s="1"/>
  <c r="P1622" i="2"/>
  <c r="R1622" i="2" s="1"/>
  <c r="O1622" i="2"/>
  <c r="N1622" i="2"/>
  <c r="M1622" i="2"/>
  <c r="L1622" i="2"/>
  <c r="V1622" i="2" s="1"/>
  <c r="U1621" i="2"/>
  <c r="S1621" i="2"/>
  <c r="T1621" i="2" s="1"/>
  <c r="Q1621" i="2"/>
  <c r="P1621" i="2"/>
  <c r="R1621" i="2" s="1"/>
  <c r="O1621" i="2"/>
  <c r="N1621" i="2"/>
  <c r="M1621" i="2"/>
  <c r="L1621" i="2"/>
  <c r="V1621" i="2" s="1"/>
  <c r="U1620" i="2"/>
  <c r="S1620" i="2"/>
  <c r="T1620" i="2" s="1"/>
  <c r="Q1620" i="2"/>
  <c r="P1620" i="2"/>
  <c r="R1620" i="2" s="1"/>
  <c r="O1620" i="2"/>
  <c r="N1620" i="2"/>
  <c r="M1620" i="2"/>
  <c r="L1620" i="2"/>
  <c r="V1620" i="2" s="1"/>
  <c r="U1619" i="2"/>
  <c r="S1619" i="2"/>
  <c r="T1619" i="2" s="1"/>
  <c r="P1619" i="2"/>
  <c r="R1619" i="2" s="1"/>
  <c r="O1619" i="2"/>
  <c r="N1619" i="2"/>
  <c r="M1619" i="2"/>
  <c r="L1619" i="2"/>
  <c r="V1619" i="2" s="1"/>
  <c r="U1618" i="2"/>
  <c r="S1618" i="2"/>
  <c r="T1618" i="2" s="1"/>
  <c r="Q1618" i="2"/>
  <c r="P1618" i="2"/>
  <c r="R1618" i="2" s="1"/>
  <c r="O1618" i="2"/>
  <c r="N1618" i="2"/>
  <c r="M1618" i="2"/>
  <c r="L1618" i="2"/>
  <c r="V1618" i="2" s="1"/>
  <c r="U1617" i="2"/>
  <c r="S1617" i="2"/>
  <c r="T1617" i="2" s="1"/>
  <c r="Q1617" i="2"/>
  <c r="P1617" i="2"/>
  <c r="R1617" i="2" s="1"/>
  <c r="O1617" i="2"/>
  <c r="N1617" i="2"/>
  <c r="M1617" i="2"/>
  <c r="L1617" i="2"/>
  <c r="V1617" i="2" s="1"/>
  <c r="U1616" i="2"/>
  <c r="S1616" i="2"/>
  <c r="T1616" i="2" s="1"/>
  <c r="Q1616" i="2"/>
  <c r="P1616" i="2"/>
  <c r="R1616" i="2" s="1"/>
  <c r="O1616" i="2"/>
  <c r="N1616" i="2"/>
  <c r="M1616" i="2"/>
  <c r="L1616" i="2"/>
  <c r="V1616" i="2" s="1"/>
  <c r="U1615" i="2"/>
  <c r="S1615" i="2"/>
  <c r="T1615" i="2" s="1"/>
  <c r="P1615" i="2"/>
  <c r="R1615" i="2" s="1"/>
  <c r="O1615" i="2"/>
  <c r="N1615" i="2"/>
  <c r="M1615" i="2"/>
  <c r="L1615" i="2"/>
  <c r="V1615" i="2" s="1"/>
  <c r="U1614" i="2"/>
  <c r="S1614" i="2"/>
  <c r="T1614" i="2" s="1"/>
  <c r="Q1614" i="2"/>
  <c r="P1614" i="2"/>
  <c r="R1614" i="2" s="1"/>
  <c r="O1614" i="2"/>
  <c r="N1614" i="2"/>
  <c r="M1614" i="2"/>
  <c r="L1614" i="2"/>
  <c r="V1614" i="2" s="1"/>
  <c r="U1613" i="2"/>
  <c r="S1613" i="2"/>
  <c r="T1613" i="2" s="1"/>
  <c r="Q1613" i="2"/>
  <c r="P1613" i="2"/>
  <c r="R1613" i="2" s="1"/>
  <c r="O1613" i="2"/>
  <c r="N1613" i="2"/>
  <c r="M1613" i="2"/>
  <c r="L1613" i="2"/>
  <c r="V1613" i="2" s="1"/>
  <c r="U1612" i="2"/>
  <c r="S1612" i="2"/>
  <c r="T1612" i="2" s="1"/>
  <c r="P1612" i="2"/>
  <c r="R1612" i="2" s="1"/>
  <c r="O1612" i="2"/>
  <c r="N1612" i="2"/>
  <c r="M1612" i="2"/>
  <c r="L1612" i="2"/>
  <c r="V1612" i="2" s="1"/>
  <c r="U1611" i="2"/>
  <c r="S1611" i="2"/>
  <c r="T1611" i="2" s="1"/>
  <c r="P1611" i="2"/>
  <c r="R1611" i="2" s="1"/>
  <c r="O1611" i="2"/>
  <c r="N1611" i="2"/>
  <c r="M1611" i="2"/>
  <c r="L1611" i="2"/>
  <c r="V1611" i="2" s="1"/>
  <c r="U1610" i="2"/>
  <c r="S1610" i="2"/>
  <c r="T1610" i="2" s="1"/>
  <c r="Q1610" i="2"/>
  <c r="P1610" i="2"/>
  <c r="R1610" i="2" s="1"/>
  <c r="O1610" i="2"/>
  <c r="N1610" i="2"/>
  <c r="M1610" i="2"/>
  <c r="L1610" i="2"/>
  <c r="V1610" i="2" s="1"/>
  <c r="U1609" i="2"/>
  <c r="S1609" i="2"/>
  <c r="T1609" i="2" s="1"/>
  <c r="P1609" i="2"/>
  <c r="R1609" i="2" s="1"/>
  <c r="O1609" i="2"/>
  <c r="N1609" i="2"/>
  <c r="M1609" i="2"/>
  <c r="L1609" i="2"/>
  <c r="V1609" i="2" s="1"/>
  <c r="U1608" i="2"/>
  <c r="S1608" i="2"/>
  <c r="T1608" i="2" s="1"/>
  <c r="Q1608" i="2"/>
  <c r="P1608" i="2"/>
  <c r="R1608" i="2" s="1"/>
  <c r="O1608" i="2"/>
  <c r="N1608" i="2"/>
  <c r="M1608" i="2"/>
  <c r="L1608" i="2"/>
  <c r="V1608" i="2" s="1"/>
  <c r="U1607" i="2"/>
  <c r="S1607" i="2"/>
  <c r="T1607" i="2" s="1"/>
  <c r="Q1607" i="2"/>
  <c r="P1607" i="2"/>
  <c r="R1607" i="2" s="1"/>
  <c r="O1607" i="2"/>
  <c r="N1607" i="2"/>
  <c r="M1607" i="2"/>
  <c r="L1607" i="2"/>
  <c r="V1607" i="2" s="1"/>
  <c r="U1606" i="2"/>
  <c r="S1606" i="2"/>
  <c r="T1606" i="2" s="1"/>
  <c r="Q1606" i="2"/>
  <c r="P1606" i="2"/>
  <c r="R1606" i="2" s="1"/>
  <c r="O1606" i="2"/>
  <c r="N1606" i="2"/>
  <c r="M1606" i="2"/>
  <c r="L1606" i="2"/>
  <c r="V1606" i="2" s="1"/>
  <c r="U1605" i="2"/>
  <c r="S1605" i="2"/>
  <c r="T1605" i="2" s="1"/>
  <c r="P1605" i="2"/>
  <c r="R1605" i="2" s="1"/>
  <c r="O1605" i="2"/>
  <c r="N1605" i="2"/>
  <c r="M1605" i="2"/>
  <c r="L1605" i="2"/>
  <c r="V1605" i="2" s="1"/>
  <c r="U1604" i="2"/>
  <c r="S1604" i="2"/>
  <c r="T1604" i="2" s="1"/>
  <c r="Q1604" i="2"/>
  <c r="P1604" i="2"/>
  <c r="R1604" i="2" s="1"/>
  <c r="O1604" i="2"/>
  <c r="N1604" i="2"/>
  <c r="M1604" i="2"/>
  <c r="L1604" i="2"/>
  <c r="V1604" i="2" s="1"/>
  <c r="U1603" i="2"/>
  <c r="S1603" i="2"/>
  <c r="T1603" i="2" s="1"/>
  <c r="Q1603" i="2"/>
  <c r="P1603" i="2"/>
  <c r="R1603" i="2" s="1"/>
  <c r="O1603" i="2"/>
  <c r="N1603" i="2"/>
  <c r="M1603" i="2"/>
  <c r="L1603" i="2"/>
  <c r="V1603" i="2" s="1"/>
  <c r="U1602" i="2"/>
  <c r="S1602" i="2"/>
  <c r="T1602" i="2" s="1"/>
  <c r="Q1602" i="2"/>
  <c r="P1602" i="2"/>
  <c r="R1602" i="2" s="1"/>
  <c r="O1602" i="2"/>
  <c r="N1602" i="2"/>
  <c r="M1602" i="2"/>
  <c r="L1602" i="2"/>
  <c r="V1602" i="2" s="1"/>
  <c r="U1601" i="2"/>
  <c r="S1601" i="2"/>
  <c r="T1601" i="2" s="1"/>
  <c r="P1601" i="2"/>
  <c r="R1601" i="2" s="1"/>
  <c r="O1601" i="2"/>
  <c r="N1601" i="2"/>
  <c r="M1601" i="2"/>
  <c r="L1601" i="2"/>
  <c r="V1601" i="2" s="1"/>
  <c r="U1600" i="2"/>
  <c r="S1600" i="2"/>
  <c r="T1600" i="2" s="1"/>
  <c r="Q1600" i="2"/>
  <c r="P1600" i="2"/>
  <c r="R1600" i="2" s="1"/>
  <c r="O1600" i="2"/>
  <c r="N1600" i="2"/>
  <c r="M1600" i="2"/>
  <c r="L1600" i="2"/>
  <c r="V1600" i="2" s="1"/>
  <c r="U1599" i="2"/>
  <c r="S1599" i="2"/>
  <c r="T1599" i="2" s="1"/>
  <c r="Q1599" i="2"/>
  <c r="P1599" i="2"/>
  <c r="R1599" i="2" s="1"/>
  <c r="O1599" i="2"/>
  <c r="N1599" i="2"/>
  <c r="M1599" i="2"/>
  <c r="L1599" i="2"/>
  <c r="V1599" i="2" s="1"/>
  <c r="U1598" i="2"/>
  <c r="S1598" i="2"/>
  <c r="T1598" i="2" s="1"/>
  <c r="P1598" i="2"/>
  <c r="R1598" i="2" s="1"/>
  <c r="O1598" i="2"/>
  <c r="N1598" i="2"/>
  <c r="M1598" i="2"/>
  <c r="L1598" i="2"/>
  <c r="V1598" i="2" s="1"/>
  <c r="U1597" i="2"/>
  <c r="S1597" i="2"/>
  <c r="T1597" i="2" s="1"/>
  <c r="P1597" i="2"/>
  <c r="R1597" i="2" s="1"/>
  <c r="O1597" i="2"/>
  <c r="N1597" i="2"/>
  <c r="M1597" i="2"/>
  <c r="L1597" i="2"/>
  <c r="V1597" i="2" s="1"/>
  <c r="U1596" i="2"/>
  <c r="S1596" i="2"/>
  <c r="T1596" i="2" s="1"/>
  <c r="P1596" i="2"/>
  <c r="R1596" i="2" s="1"/>
  <c r="O1596" i="2"/>
  <c r="N1596" i="2"/>
  <c r="M1596" i="2"/>
  <c r="L1596" i="2"/>
  <c r="V1596" i="2" s="1"/>
  <c r="U1595" i="2"/>
  <c r="S1595" i="2"/>
  <c r="T1595" i="2" s="1"/>
  <c r="Q1595" i="2"/>
  <c r="P1595" i="2"/>
  <c r="R1595" i="2" s="1"/>
  <c r="O1595" i="2"/>
  <c r="N1595" i="2"/>
  <c r="M1595" i="2"/>
  <c r="L1595" i="2"/>
  <c r="V1595" i="2" s="1"/>
  <c r="U1594" i="2"/>
  <c r="S1594" i="2"/>
  <c r="T1594" i="2" s="1"/>
  <c r="Q1594" i="2"/>
  <c r="P1594" i="2"/>
  <c r="R1594" i="2" s="1"/>
  <c r="O1594" i="2"/>
  <c r="N1594" i="2"/>
  <c r="M1594" i="2"/>
  <c r="L1594" i="2"/>
  <c r="V1594" i="2" s="1"/>
  <c r="U1593" i="2"/>
  <c r="S1593" i="2"/>
  <c r="T1593" i="2" s="1"/>
  <c r="Q1593" i="2"/>
  <c r="P1593" i="2"/>
  <c r="R1593" i="2" s="1"/>
  <c r="O1593" i="2"/>
  <c r="N1593" i="2"/>
  <c r="M1593" i="2"/>
  <c r="L1593" i="2"/>
  <c r="V1593" i="2" s="1"/>
  <c r="U1592" i="2"/>
  <c r="S1592" i="2"/>
  <c r="T1592" i="2" s="1"/>
  <c r="Q1592" i="2"/>
  <c r="P1592" i="2"/>
  <c r="R1592" i="2" s="1"/>
  <c r="O1592" i="2"/>
  <c r="N1592" i="2"/>
  <c r="M1592" i="2"/>
  <c r="L1592" i="2"/>
  <c r="V1592" i="2" s="1"/>
  <c r="U1591" i="2"/>
  <c r="S1591" i="2"/>
  <c r="T1591" i="2" s="1"/>
  <c r="Q1591" i="2"/>
  <c r="P1591" i="2"/>
  <c r="R1591" i="2" s="1"/>
  <c r="O1591" i="2"/>
  <c r="N1591" i="2"/>
  <c r="M1591" i="2"/>
  <c r="L1591" i="2"/>
  <c r="V1591" i="2" s="1"/>
  <c r="U1590" i="2"/>
  <c r="S1590" i="2"/>
  <c r="T1590" i="2" s="1"/>
  <c r="P1590" i="2"/>
  <c r="R1590" i="2" s="1"/>
  <c r="O1590" i="2"/>
  <c r="N1590" i="2"/>
  <c r="M1590" i="2"/>
  <c r="L1590" i="2"/>
  <c r="V1590" i="2" s="1"/>
  <c r="U1589" i="2"/>
  <c r="S1589" i="2"/>
  <c r="T1589" i="2" s="1"/>
  <c r="Q1589" i="2"/>
  <c r="P1589" i="2"/>
  <c r="R1589" i="2" s="1"/>
  <c r="O1589" i="2"/>
  <c r="N1589" i="2"/>
  <c r="M1589" i="2"/>
  <c r="L1589" i="2"/>
  <c r="V1589" i="2" s="1"/>
  <c r="U1588" i="2"/>
  <c r="S1588" i="2"/>
  <c r="T1588" i="2" s="1"/>
  <c r="Q1588" i="2"/>
  <c r="P1588" i="2"/>
  <c r="R1588" i="2" s="1"/>
  <c r="O1588" i="2"/>
  <c r="N1588" i="2"/>
  <c r="M1588" i="2"/>
  <c r="L1588" i="2"/>
  <c r="V1588" i="2" s="1"/>
  <c r="U1587" i="2"/>
  <c r="S1587" i="2"/>
  <c r="T1587" i="2" s="1"/>
  <c r="Q1587" i="2"/>
  <c r="P1587" i="2"/>
  <c r="R1587" i="2" s="1"/>
  <c r="O1587" i="2"/>
  <c r="N1587" i="2"/>
  <c r="M1587" i="2"/>
  <c r="L1587" i="2"/>
  <c r="V1587" i="2" s="1"/>
  <c r="U1586" i="2"/>
  <c r="S1586" i="2"/>
  <c r="T1586" i="2" s="1"/>
  <c r="P1586" i="2"/>
  <c r="R1586" i="2" s="1"/>
  <c r="O1586" i="2"/>
  <c r="N1586" i="2"/>
  <c r="M1586" i="2"/>
  <c r="L1586" i="2"/>
  <c r="V1586" i="2" s="1"/>
  <c r="U1585" i="2"/>
  <c r="S1585" i="2"/>
  <c r="T1585" i="2" s="1"/>
  <c r="Q1585" i="2"/>
  <c r="P1585" i="2"/>
  <c r="R1585" i="2" s="1"/>
  <c r="O1585" i="2"/>
  <c r="N1585" i="2"/>
  <c r="M1585" i="2"/>
  <c r="L1585" i="2"/>
  <c r="V1585" i="2" s="1"/>
  <c r="U1584" i="2"/>
  <c r="S1584" i="2"/>
  <c r="T1584" i="2" s="1"/>
  <c r="Q1584" i="2"/>
  <c r="P1584" i="2"/>
  <c r="R1584" i="2" s="1"/>
  <c r="O1584" i="2"/>
  <c r="N1584" i="2"/>
  <c r="M1584" i="2"/>
  <c r="L1584" i="2"/>
  <c r="V1584" i="2" s="1"/>
  <c r="U1583" i="2"/>
  <c r="S1583" i="2"/>
  <c r="T1583" i="2" s="1"/>
  <c r="P1583" i="2"/>
  <c r="R1583" i="2" s="1"/>
  <c r="O1583" i="2"/>
  <c r="N1583" i="2"/>
  <c r="M1583" i="2"/>
  <c r="L1583" i="2"/>
  <c r="V1583" i="2" s="1"/>
  <c r="U1582" i="2"/>
  <c r="S1582" i="2"/>
  <c r="T1582" i="2" s="1"/>
  <c r="Q1582" i="2"/>
  <c r="P1582" i="2"/>
  <c r="R1582" i="2" s="1"/>
  <c r="O1582" i="2"/>
  <c r="N1582" i="2"/>
  <c r="M1582" i="2"/>
  <c r="L1582" i="2"/>
  <c r="V1582" i="2" s="1"/>
  <c r="U1581" i="2"/>
  <c r="S1581" i="2"/>
  <c r="T1581" i="2" s="1"/>
  <c r="Q1581" i="2"/>
  <c r="P1581" i="2"/>
  <c r="R1581" i="2" s="1"/>
  <c r="O1581" i="2"/>
  <c r="N1581" i="2"/>
  <c r="M1581" i="2"/>
  <c r="L1581" i="2"/>
  <c r="V1581" i="2" s="1"/>
  <c r="U1580" i="2"/>
  <c r="S1580" i="2"/>
  <c r="T1580" i="2" s="1"/>
  <c r="R1580" i="2"/>
  <c r="P1580" i="2"/>
  <c r="O1580" i="2"/>
  <c r="N1580" i="2"/>
  <c r="M1580" i="2"/>
  <c r="L1580" i="2"/>
  <c r="V1580" i="2" s="1"/>
  <c r="U1579" i="2"/>
  <c r="S1579" i="2"/>
  <c r="T1579" i="2" s="1"/>
  <c r="Q1579" i="2"/>
  <c r="P1579" i="2"/>
  <c r="R1579" i="2" s="1"/>
  <c r="O1579" i="2"/>
  <c r="N1579" i="2"/>
  <c r="M1579" i="2"/>
  <c r="L1579" i="2"/>
  <c r="V1579" i="2" s="1"/>
  <c r="U1578" i="2"/>
  <c r="S1578" i="2"/>
  <c r="T1578" i="2" s="1"/>
  <c r="Q1578" i="2"/>
  <c r="P1578" i="2"/>
  <c r="R1578" i="2" s="1"/>
  <c r="O1578" i="2"/>
  <c r="N1578" i="2"/>
  <c r="M1578" i="2"/>
  <c r="L1578" i="2"/>
  <c r="V1578" i="2" s="1"/>
  <c r="U1577" i="2"/>
  <c r="S1577" i="2"/>
  <c r="T1577" i="2" s="1"/>
  <c r="P1577" i="2"/>
  <c r="R1577" i="2" s="1"/>
  <c r="O1577" i="2"/>
  <c r="N1577" i="2"/>
  <c r="M1577" i="2"/>
  <c r="L1577" i="2"/>
  <c r="V1577" i="2" s="1"/>
  <c r="U1576" i="2"/>
  <c r="S1576" i="2"/>
  <c r="T1576" i="2" s="1"/>
  <c r="Q1576" i="2"/>
  <c r="P1576" i="2"/>
  <c r="R1576" i="2" s="1"/>
  <c r="O1576" i="2"/>
  <c r="N1576" i="2"/>
  <c r="M1576" i="2"/>
  <c r="L1576" i="2"/>
  <c r="V1576" i="2" s="1"/>
  <c r="U1575" i="2"/>
  <c r="S1575" i="2"/>
  <c r="T1575" i="2" s="1"/>
  <c r="P1575" i="2"/>
  <c r="R1575" i="2" s="1"/>
  <c r="O1575" i="2"/>
  <c r="N1575" i="2"/>
  <c r="M1575" i="2"/>
  <c r="L1575" i="2"/>
  <c r="V1575" i="2" s="1"/>
  <c r="U1574" i="2"/>
  <c r="S1574" i="2"/>
  <c r="T1574" i="2" s="1"/>
  <c r="Q1574" i="2"/>
  <c r="P1574" i="2"/>
  <c r="R1574" i="2" s="1"/>
  <c r="O1574" i="2"/>
  <c r="N1574" i="2"/>
  <c r="M1574" i="2"/>
  <c r="L1574" i="2"/>
  <c r="V1574" i="2" s="1"/>
  <c r="U1573" i="2"/>
  <c r="S1573" i="2"/>
  <c r="T1573" i="2" s="1"/>
  <c r="Q1573" i="2"/>
  <c r="P1573" i="2"/>
  <c r="R1573" i="2" s="1"/>
  <c r="O1573" i="2"/>
  <c r="N1573" i="2"/>
  <c r="M1573" i="2"/>
  <c r="L1573" i="2"/>
  <c r="V1573" i="2" s="1"/>
  <c r="U1572" i="2"/>
  <c r="S1572" i="2"/>
  <c r="T1572" i="2" s="1"/>
  <c r="P1572" i="2"/>
  <c r="R1572" i="2" s="1"/>
  <c r="O1572" i="2"/>
  <c r="N1572" i="2"/>
  <c r="M1572" i="2"/>
  <c r="L1572" i="2"/>
  <c r="V1572" i="2" s="1"/>
  <c r="U1571" i="2"/>
  <c r="S1571" i="2"/>
  <c r="T1571" i="2" s="1"/>
  <c r="P1571" i="2"/>
  <c r="R1571" i="2" s="1"/>
  <c r="O1571" i="2"/>
  <c r="N1571" i="2"/>
  <c r="M1571" i="2"/>
  <c r="L1571" i="2"/>
  <c r="V1571" i="2" s="1"/>
  <c r="U1570" i="2"/>
  <c r="S1570" i="2"/>
  <c r="T1570" i="2" s="1"/>
  <c r="P1570" i="2"/>
  <c r="R1570" i="2" s="1"/>
  <c r="O1570" i="2"/>
  <c r="N1570" i="2"/>
  <c r="M1570" i="2"/>
  <c r="L1570" i="2"/>
  <c r="V1570" i="2" s="1"/>
  <c r="U1569" i="2"/>
  <c r="S1569" i="2"/>
  <c r="T1569" i="2" s="1"/>
  <c r="P1569" i="2"/>
  <c r="R1569" i="2" s="1"/>
  <c r="O1569" i="2"/>
  <c r="N1569" i="2"/>
  <c r="M1569" i="2"/>
  <c r="L1569" i="2"/>
  <c r="V1569" i="2" s="1"/>
  <c r="U1568" i="2"/>
  <c r="S1568" i="2"/>
  <c r="T1568" i="2" s="1"/>
  <c r="P1568" i="2"/>
  <c r="R1568" i="2" s="1"/>
  <c r="O1568" i="2"/>
  <c r="N1568" i="2"/>
  <c r="M1568" i="2"/>
  <c r="L1568" i="2"/>
  <c r="V1568" i="2" s="1"/>
  <c r="U1567" i="2"/>
  <c r="S1567" i="2"/>
  <c r="T1567" i="2" s="1"/>
  <c r="P1567" i="2"/>
  <c r="R1567" i="2" s="1"/>
  <c r="O1567" i="2"/>
  <c r="N1567" i="2"/>
  <c r="M1567" i="2"/>
  <c r="L1567" i="2"/>
  <c r="V1567" i="2" s="1"/>
  <c r="U1566" i="2"/>
  <c r="S1566" i="2"/>
  <c r="T1566" i="2" s="1"/>
  <c r="P1566" i="2"/>
  <c r="R1566" i="2" s="1"/>
  <c r="O1566" i="2"/>
  <c r="N1566" i="2"/>
  <c r="M1566" i="2"/>
  <c r="L1566" i="2"/>
  <c r="V1566" i="2" s="1"/>
  <c r="U1565" i="2"/>
  <c r="S1565" i="2"/>
  <c r="T1565" i="2" s="1"/>
  <c r="Q1565" i="2"/>
  <c r="P1565" i="2"/>
  <c r="R1565" i="2" s="1"/>
  <c r="O1565" i="2"/>
  <c r="N1565" i="2"/>
  <c r="M1565" i="2"/>
  <c r="L1565" i="2"/>
  <c r="V1565" i="2" s="1"/>
  <c r="U1564" i="2"/>
  <c r="S1564" i="2"/>
  <c r="T1564" i="2" s="1"/>
  <c r="P1564" i="2"/>
  <c r="R1564" i="2" s="1"/>
  <c r="O1564" i="2"/>
  <c r="N1564" i="2"/>
  <c r="M1564" i="2"/>
  <c r="L1564" i="2"/>
  <c r="V1564" i="2" s="1"/>
  <c r="U1563" i="2"/>
  <c r="S1563" i="2"/>
  <c r="T1563" i="2" s="1"/>
  <c r="Q1563" i="2"/>
  <c r="P1563" i="2"/>
  <c r="R1563" i="2" s="1"/>
  <c r="O1563" i="2"/>
  <c r="N1563" i="2"/>
  <c r="M1563" i="2"/>
  <c r="L1563" i="2"/>
  <c r="V1563" i="2" s="1"/>
  <c r="U1562" i="2"/>
  <c r="S1562" i="2"/>
  <c r="T1562" i="2" s="1"/>
  <c r="Q1562" i="2"/>
  <c r="P1562" i="2"/>
  <c r="R1562" i="2" s="1"/>
  <c r="O1562" i="2"/>
  <c r="N1562" i="2"/>
  <c r="M1562" i="2"/>
  <c r="L1562" i="2"/>
  <c r="V1562" i="2" s="1"/>
  <c r="U1561" i="2"/>
  <c r="S1561" i="2"/>
  <c r="T1561" i="2" s="1"/>
  <c r="P1561" i="2"/>
  <c r="R1561" i="2" s="1"/>
  <c r="O1561" i="2"/>
  <c r="N1561" i="2"/>
  <c r="M1561" i="2"/>
  <c r="L1561" i="2"/>
  <c r="V1561" i="2" s="1"/>
  <c r="U1560" i="2"/>
  <c r="S1560" i="2"/>
  <c r="T1560" i="2" s="1"/>
  <c r="P1560" i="2"/>
  <c r="R1560" i="2" s="1"/>
  <c r="O1560" i="2"/>
  <c r="N1560" i="2"/>
  <c r="M1560" i="2"/>
  <c r="L1560" i="2"/>
  <c r="V1560" i="2" s="1"/>
  <c r="U1559" i="2"/>
  <c r="S1559" i="2"/>
  <c r="T1559" i="2" s="1"/>
  <c r="Q1559" i="2"/>
  <c r="P1559" i="2"/>
  <c r="R1559" i="2" s="1"/>
  <c r="O1559" i="2"/>
  <c r="N1559" i="2"/>
  <c r="M1559" i="2"/>
  <c r="L1559" i="2"/>
  <c r="V1559" i="2" s="1"/>
  <c r="U1558" i="2"/>
  <c r="S1558" i="2"/>
  <c r="T1558" i="2" s="1"/>
  <c r="P1558" i="2"/>
  <c r="R1558" i="2" s="1"/>
  <c r="O1558" i="2"/>
  <c r="N1558" i="2"/>
  <c r="M1558" i="2"/>
  <c r="L1558" i="2"/>
  <c r="V1558" i="2" s="1"/>
  <c r="U1557" i="2"/>
  <c r="S1557" i="2"/>
  <c r="T1557" i="2" s="1"/>
  <c r="P1557" i="2"/>
  <c r="R1557" i="2" s="1"/>
  <c r="O1557" i="2"/>
  <c r="N1557" i="2"/>
  <c r="M1557" i="2"/>
  <c r="L1557" i="2"/>
  <c r="V1557" i="2" s="1"/>
  <c r="U1556" i="2"/>
  <c r="S1556" i="2"/>
  <c r="T1556" i="2" s="1"/>
  <c r="P1556" i="2"/>
  <c r="R1556" i="2" s="1"/>
  <c r="O1556" i="2"/>
  <c r="N1556" i="2"/>
  <c r="M1556" i="2"/>
  <c r="L1556" i="2"/>
  <c r="V1556" i="2" s="1"/>
  <c r="U1555" i="2"/>
  <c r="S1555" i="2"/>
  <c r="T1555" i="2" s="1"/>
  <c r="P1555" i="2"/>
  <c r="R1555" i="2" s="1"/>
  <c r="O1555" i="2"/>
  <c r="N1555" i="2"/>
  <c r="M1555" i="2"/>
  <c r="L1555" i="2"/>
  <c r="V1555" i="2" s="1"/>
  <c r="U1554" i="2"/>
  <c r="S1554" i="2"/>
  <c r="T1554" i="2" s="1"/>
  <c r="Q1554" i="2"/>
  <c r="P1554" i="2"/>
  <c r="R1554" i="2" s="1"/>
  <c r="O1554" i="2"/>
  <c r="N1554" i="2"/>
  <c r="M1554" i="2"/>
  <c r="L1554" i="2"/>
  <c r="V1554" i="2" s="1"/>
  <c r="U1553" i="2"/>
  <c r="S1553" i="2"/>
  <c r="T1553" i="2" s="1"/>
  <c r="Q1553" i="2"/>
  <c r="P1553" i="2"/>
  <c r="R1553" i="2" s="1"/>
  <c r="O1553" i="2"/>
  <c r="N1553" i="2"/>
  <c r="M1553" i="2"/>
  <c r="L1553" i="2"/>
  <c r="V1553" i="2" s="1"/>
  <c r="U1552" i="2"/>
  <c r="S1552" i="2"/>
  <c r="T1552" i="2" s="1"/>
  <c r="Q1552" i="2"/>
  <c r="P1552" i="2"/>
  <c r="R1552" i="2" s="1"/>
  <c r="O1552" i="2"/>
  <c r="N1552" i="2"/>
  <c r="M1552" i="2"/>
  <c r="L1552" i="2"/>
  <c r="V1552" i="2" s="1"/>
  <c r="U1551" i="2"/>
  <c r="S1551" i="2"/>
  <c r="T1551" i="2" s="1"/>
  <c r="Q1551" i="2"/>
  <c r="P1551" i="2"/>
  <c r="R1551" i="2" s="1"/>
  <c r="O1551" i="2"/>
  <c r="N1551" i="2"/>
  <c r="M1551" i="2"/>
  <c r="L1551" i="2"/>
  <c r="V1551" i="2" s="1"/>
  <c r="U1550" i="2"/>
  <c r="S1550" i="2"/>
  <c r="T1550" i="2" s="1"/>
  <c r="Q1550" i="2"/>
  <c r="P1550" i="2"/>
  <c r="R1550" i="2" s="1"/>
  <c r="O1550" i="2"/>
  <c r="N1550" i="2"/>
  <c r="M1550" i="2"/>
  <c r="L1550" i="2"/>
  <c r="V1550" i="2" s="1"/>
  <c r="U1549" i="2"/>
  <c r="S1549" i="2"/>
  <c r="T1549" i="2" s="1"/>
  <c r="P1549" i="2"/>
  <c r="R1549" i="2" s="1"/>
  <c r="O1549" i="2"/>
  <c r="N1549" i="2"/>
  <c r="M1549" i="2"/>
  <c r="L1549" i="2"/>
  <c r="V1549" i="2" s="1"/>
  <c r="U1548" i="2"/>
  <c r="S1548" i="2"/>
  <c r="T1548" i="2" s="1"/>
  <c r="Q1548" i="2"/>
  <c r="P1548" i="2"/>
  <c r="R1548" i="2" s="1"/>
  <c r="O1548" i="2"/>
  <c r="N1548" i="2"/>
  <c r="M1548" i="2"/>
  <c r="L1548" i="2"/>
  <c r="V1548" i="2" s="1"/>
  <c r="U1547" i="2"/>
  <c r="S1547" i="2"/>
  <c r="T1547" i="2" s="1"/>
  <c r="Q1547" i="2"/>
  <c r="P1547" i="2"/>
  <c r="R1547" i="2" s="1"/>
  <c r="O1547" i="2"/>
  <c r="N1547" i="2"/>
  <c r="M1547" i="2"/>
  <c r="L1547" i="2"/>
  <c r="V1547" i="2" s="1"/>
  <c r="U1546" i="2"/>
  <c r="S1546" i="2"/>
  <c r="T1546" i="2" s="1"/>
  <c r="Q1546" i="2"/>
  <c r="P1546" i="2"/>
  <c r="R1546" i="2" s="1"/>
  <c r="O1546" i="2"/>
  <c r="N1546" i="2"/>
  <c r="M1546" i="2"/>
  <c r="L1546" i="2"/>
  <c r="V1546" i="2" s="1"/>
  <c r="U1545" i="2"/>
  <c r="S1545" i="2"/>
  <c r="T1545" i="2" s="1"/>
  <c r="Q1545" i="2"/>
  <c r="P1545" i="2"/>
  <c r="R1545" i="2" s="1"/>
  <c r="O1545" i="2"/>
  <c r="N1545" i="2"/>
  <c r="M1545" i="2"/>
  <c r="L1545" i="2"/>
  <c r="V1545" i="2" s="1"/>
  <c r="U1544" i="2"/>
  <c r="S1544" i="2"/>
  <c r="T1544" i="2" s="1"/>
  <c r="P1544" i="2"/>
  <c r="R1544" i="2" s="1"/>
  <c r="O1544" i="2"/>
  <c r="N1544" i="2"/>
  <c r="M1544" i="2"/>
  <c r="L1544" i="2"/>
  <c r="V1544" i="2" s="1"/>
  <c r="U1543" i="2"/>
  <c r="S1543" i="2"/>
  <c r="T1543" i="2" s="1"/>
  <c r="Q1543" i="2"/>
  <c r="P1543" i="2"/>
  <c r="R1543" i="2" s="1"/>
  <c r="O1543" i="2"/>
  <c r="N1543" i="2"/>
  <c r="M1543" i="2"/>
  <c r="L1543" i="2"/>
  <c r="V1543" i="2" s="1"/>
  <c r="U1542" i="2"/>
  <c r="S1542" i="2"/>
  <c r="T1542" i="2" s="1"/>
  <c r="Q1542" i="2"/>
  <c r="P1542" i="2"/>
  <c r="R1542" i="2" s="1"/>
  <c r="O1542" i="2"/>
  <c r="N1542" i="2"/>
  <c r="M1542" i="2"/>
  <c r="L1542" i="2"/>
  <c r="V1542" i="2" s="1"/>
  <c r="U1541" i="2"/>
  <c r="S1541" i="2"/>
  <c r="T1541" i="2" s="1"/>
  <c r="P1541" i="2"/>
  <c r="R1541" i="2" s="1"/>
  <c r="O1541" i="2"/>
  <c r="N1541" i="2"/>
  <c r="M1541" i="2"/>
  <c r="L1541" i="2"/>
  <c r="V1541" i="2" s="1"/>
  <c r="U1540" i="2"/>
  <c r="S1540" i="2"/>
  <c r="T1540" i="2" s="1"/>
  <c r="Q1540" i="2"/>
  <c r="P1540" i="2"/>
  <c r="R1540" i="2" s="1"/>
  <c r="O1540" i="2"/>
  <c r="N1540" i="2"/>
  <c r="M1540" i="2"/>
  <c r="L1540" i="2"/>
  <c r="V1540" i="2" s="1"/>
  <c r="U1539" i="2"/>
  <c r="S1539" i="2"/>
  <c r="T1539" i="2" s="1"/>
  <c r="Q1539" i="2"/>
  <c r="P1539" i="2"/>
  <c r="R1539" i="2" s="1"/>
  <c r="O1539" i="2"/>
  <c r="N1539" i="2"/>
  <c r="M1539" i="2"/>
  <c r="L1539" i="2"/>
  <c r="V1539" i="2" s="1"/>
  <c r="U1538" i="2"/>
  <c r="S1538" i="2"/>
  <c r="T1538" i="2" s="1"/>
  <c r="Q1538" i="2"/>
  <c r="P1538" i="2"/>
  <c r="R1538" i="2" s="1"/>
  <c r="O1538" i="2"/>
  <c r="N1538" i="2"/>
  <c r="M1538" i="2"/>
  <c r="L1538" i="2"/>
  <c r="V1538" i="2" s="1"/>
  <c r="U1537" i="2"/>
  <c r="S1537" i="2"/>
  <c r="T1537" i="2" s="1"/>
  <c r="Q1537" i="2"/>
  <c r="P1537" i="2"/>
  <c r="R1537" i="2" s="1"/>
  <c r="O1537" i="2"/>
  <c r="N1537" i="2"/>
  <c r="M1537" i="2"/>
  <c r="L1537" i="2"/>
  <c r="V1537" i="2" s="1"/>
  <c r="U1536" i="2"/>
  <c r="S1536" i="2"/>
  <c r="T1536" i="2" s="1"/>
  <c r="Q1536" i="2"/>
  <c r="P1536" i="2"/>
  <c r="R1536" i="2" s="1"/>
  <c r="O1536" i="2"/>
  <c r="N1536" i="2"/>
  <c r="M1536" i="2"/>
  <c r="L1536" i="2"/>
  <c r="V1536" i="2" s="1"/>
  <c r="U1535" i="2"/>
  <c r="S1535" i="2"/>
  <c r="T1535" i="2" s="1"/>
  <c r="Q1535" i="2"/>
  <c r="P1535" i="2"/>
  <c r="R1535" i="2" s="1"/>
  <c r="O1535" i="2"/>
  <c r="N1535" i="2"/>
  <c r="M1535" i="2"/>
  <c r="L1535" i="2"/>
  <c r="V1535" i="2" s="1"/>
  <c r="U1534" i="2"/>
  <c r="S1534" i="2"/>
  <c r="T1534" i="2" s="1"/>
  <c r="Q1534" i="2"/>
  <c r="P1534" i="2"/>
  <c r="R1534" i="2" s="1"/>
  <c r="O1534" i="2"/>
  <c r="N1534" i="2"/>
  <c r="M1534" i="2"/>
  <c r="L1534" i="2"/>
  <c r="V1534" i="2" s="1"/>
  <c r="U1533" i="2"/>
  <c r="S1533" i="2"/>
  <c r="T1533" i="2" s="1"/>
  <c r="Q1533" i="2"/>
  <c r="P1533" i="2"/>
  <c r="R1533" i="2" s="1"/>
  <c r="O1533" i="2"/>
  <c r="N1533" i="2"/>
  <c r="M1533" i="2"/>
  <c r="L1533" i="2"/>
  <c r="V1533" i="2" s="1"/>
  <c r="U1532" i="2"/>
  <c r="S1532" i="2"/>
  <c r="T1532" i="2" s="1"/>
  <c r="P1532" i="2"/>
  <c r="R1532" i="2" s="1"/>
  <c r="O1532" i="2"/>
  <c r="N1532" i="2"/>
  <c r="M1532" i="2"/>
  <c r="L1532" i="2"/>
  <c r="V1532" i="2" s="1"/>
  <c r="U1531" i="2"/>
  <c r="S1531" i="2"/>
  <c r="T1531" i="2" s="1"/>
  <c r="Q1531" i="2"/>
  <c r="P1531" i="2"/>
  <c r="R1531" i="2" s="1"/>
  <c r="O1531" i="2"/>
  <c r="N1531" i="2"/>
  <c r="M1531" i="2"/>
  <c r="L1531" i="2"/>
  <c r="V1531" i="2" s="1"/>
  <c r="U1530" i="2"/>
  <c r="S1530" i="2"/>
  <c r="T1530" i="2" s="1"/>
  <c r="P1530" i="2"/>
  <c r="R1530" i="2" s="1"/>
  <c r="O1530" i="2"/>
  <c r="N1530" i="2"/>
  <c r="M1530" i="2"/>
  <c r="L1530" i="2"/>
  <c r="V1530" i="2" s="1"/>
  <c r="U1529" i="2"/>
  <c r="S1529" i="2"/>
  <c r="T1529" i="2" s="1"/>
  <c r="Q1529" i="2"/>
  <c r="P1529" i="2"/>
  <c r="R1529" i="2" s="1"/>
  <c r="O1529" i="2"/>
  <c r="N1529" i="2"/>
  <c r="M1529" i="2"/>
  <c r="L1529" i="2"/>
  <c r="V1529" i="2" s="1"/>
  <c r="U1528" i="2"/>
  <c r="S1528" i="2"/>
  <c r="T1528" i="2" s="1"/>
  <c r="Q1528" i="2"/>
  <c r="P1528" i="2"/>
  <c r="R1528" i="2" s="1"/>
  <c r="O1528" i="2"/>
  <c r="N1528" i="2"/>
  <c r="M1528" i="2"/>
  <c r="L1528" i="2"/>
  <c r="V1528" i="2" s="1"/>
  <c r="U1527" i="2"/>
  <c r="S1527" i="2"/>
  <c r="T1527" i="2" s="1"/>
  <c r="Q1527" i="2"/>
  <c r="P1527" i="2"/>
  <c r="R1527" i="2" s="1"/>
  <c r="O1527" i="2"/>
  <c r="N1527" i="2"/>
  <c r="M1527" i="2"/>
  <c r="L1527" i="2"/>
  <c r="V1527" i="2" s="1"/>
  <c r="U1526" i="2"/>
  <c r="S1526" i="2"/>
  <c r="T1526" i="2" s="1"/>
  <c r="Q1526" i="2"/>
  <c r="P1526" i="2"/>
  <c r="R1526" i="2" s="1"/>
  <c r="O1526" i="2"/>
  <c r="N1526" i="2"/>
  <c r="M1526" i="2"/>
  <c r="L1526" i="2"/>
  <c r="V1526" i="2" s="1"/>
  <c r="U1525" i="2"/>
  <c r="S1525" i="2"/>
  <c r="T1525" i="2" s="1"/>
  <c r="Q1525" i="2"/>
  <c r="P1525" i="2"/>
  <c r="R1525" i="2" s="1"/>
  <c r="O1525" i="2"/>
  <c r="N1525" i="2"/>
  <c r="M1525" i="2"/>
  <c r="L1525" i="2"/>
  <c r="V1525" i="2" s="1"/>
  <c r="U1524" i="2"/>
  <c r="S1524" i="2"/>
  <c r="T1524" i="2" s="1"/>
  <c r="P1524" i="2"/>
  <c r="R1524" i="2" s="1"/>
  <c r="O1524" i="2"/>
  <c r="N1524" i="2"/>
  <c r="M1524" i="2"/>
  <c r="L1524" i="2"/>
  <c r="V1524" i="2" s="1"/>
  <c r="U1523" i="2"/>
  <c r="S1523" i="2"/>
  <c r="T1523" i="2" s="1"/>
  <c r="Q1523" i="2"/>
  <c r="P1523" i="2"/>
  <c r="R1523" i="2" s="1"/>
  <c r="O1523" i="2"/>
  <c r="N1523" i="2"/>
  <c r="M1523" i="2"/>
  <c r="L1523" i="2"/>
  <c r="V1523" i="2" s="1"/>
  <c r="U1522" i="2"/>
  <c r="S1522" i="2"/>
  <c r="T1522" i="2" s="1"/>
  <c r="Q1522" i="2"/>
  <c r="P1522" i="2"/>
  <c r="R1522" i="2" s="1"/>
  <c r="O1522" i="2"/>
  <c r="N1522" i="2"/>
  <c r="M1522" i="2"/>
  <c r="L1522" i="2"/>
  <c r="V1522" i="2" s="1"/>
  <c r="U1521" i="2"/>
  <c r="S1521" i="2"/>
  <c r="T1521" i="2" s="1"/>
  <c r="P1521" i="2"/>
  <c r="R1521" i="2" s="1"/>
  <c r="O1521" i="2"/>
  <c r="N1521" i="2"/>
  <c r="M1521" i="2"/>
  <c r="L1521" i="2"/>
  <c r="V1521" i="2" s="1"/>
  <c r="U1520" i="2"/>
  <c r="S1520" i="2"/>
  <c r="T1520" i="2" s="1"/>
  <c r="Q1520" i="2"/>
  <c r="P1520" i="2"/>
  <c r="R1520" i="2" s="1"/>
  <c r="O1520" i="2"/>
  <c r="N1520" i="2"/>
  <c r="M1520" i="2"/>
  <c r="L1520" i="2"/>
  <c r="V1520" i="2" s="1"/>
  <c r="U1519" i="2"/>
  <c r="S1519" i="2"/>
  <c r="T1519" i="2" s="1"/>
  <c r="Q1519" i="2"/>
  <c r="P1519" i="2"/>
  <c r="R1519" i="2" s="1"/>
  <c r="O1519" i="2"/>
  <c r="N1519" i="2"/>
  <c r="M1519" i="2"/>
  <c r="L1519" i="2"/>
  <c r="V1519" i="2" s="1"/>
  <c r="U1518" i="2"/>
  <c r="S1518" i="2"/>
  <c r="T1518" i="2" s="1"/>
  <c r="Q1518" i="2"/>
  <c r="P1518" i="2"/>
  <c r="R1518" i="2" s="1"/>
  <c r="O1518" i="2"/>
  <c r="N1518" i="2"/>
  <c r="M1518" i="2"/>
  <c r="L1518" i="2"/>
  <c r="V1518" i="2" s="1"/>
  <c r="U1517" i="2"/>
  <c r="S1517" i="2"/>
  <c r="T1517" i="2" s="1"/>
  <c r="Q1517" i="2"/>
  <c r="P1517" i="2"/>
  <c r="R1517" i="2" s="1"/>
  <c r="O1517" i="2"/>
  <c r="N1517" i="2"/>
  <c r="M1517" i="2"/>
  <c r="L1517" i="2"/>
  <c r="V1517" i="2" s="1"/>
  <c r="U1516" i="2"/>
  <c r="S1516" i="2"/>
  <c r="T1516" i="2" s="1"/>
  <c r="Q1516" i="2"/>
  <c r="P1516" i="2"/>
  <c r="R1516" i="2" s="1"/>
  <c r="O1516" i="2"/>
  <c r="N1516" i="2"/>
  <c r="M1516" i="2"/>
  <c r="L1516" i="2"/>
  <c r="V1516" i="2" s="1"/>
  <c r="U1515" i="2"/>
  <c r="S1515" i="2"/>
  <c r="T1515" i="2" s="1"/>
  <c r="P1515" i="2"/>
  <c r="R1515" i="2" s="1"/>
  <c r="O1515" i="2"/>
  <c r="N1515" i="2"/>
  <c r="M1515" i="2"/>
  <c r="L1515" i="2"/>
  <c r="V1515" i="2" s="1"/>
  <c r="U1514" i="2"/>
  <c r="S1514" i="2"/>
  <c r="T1514" i="2" s="1"/>
  <c r="Q1514" i="2"/>
  <c r="P1514" i="2"/>
  <c r="R1514" i="2" s="1"/>
  <c r="O1514" i="2"/>
  <c r="N1514" i="2"/>
  <c r="M1514" i="2"/>
  <c r="L1514" i="2"/>
  <c r="V1514" i="2" s="1"/>
  <c r="U1513" i="2"/>
  <c r="S1513" i="2"/>
  <c r="T1513" i="2" s="1"/>
  <c r="Q1513" i="2"/>
  <c r="P1513" i="2"/>
  <c r="R1513" i="2" s="1"/>
  <c r="O1513" i="2"/>
  <c r="N1513" i="2"/>
  <c r="M1513" i="2"/>
  <c r="L1513" i="2"/>
  <c r="V1513" i="2" s="1"/>
  <c r="U1512" i="2"/>
  <c r="S1512" i="2"/>
  <c r="T1512" i="2" s="1"/>
  <c r="Q1512" i="2"/>
  <c r="P1512" i="2"/>
  <c r="R1512" i="2" s="1"/>
  <c r="O1512" i="2"/>
  <c r="N1512" i="2"/>
  <c r="M1512" i="2"/>
  <c r="L1512" i="2"/>
  <c r="V1512" i="2" s="1"/>
  <c r="U1511" i="2"/>
  <c r="S1511" i="2"/>
  <c r="T1511" i="2" s="1"/>
  <c r="Q1511" i="2"/>
  <c r="P1511" i="2"/>
  <c r="R1511" i="2" s="1"/>
  <c r="O1511" i="2"/>
  <c r="N1511" i="2"/>
  <c r="M1511" i="2"/>
  <c r="L1511" i="2"/>
  <c r="V1511" i="2" s="1"/>
  <c r="U1510" i="2"/>
  <c r="S1510" i="2"/>
  <c r="T1510" i="2" s="1"/>
  <c r="Q1510" i="2"/>
  <c r="P1510" i="2"/>
  <c r="R1510" i="2" s="1"/>
  <c r="O1510" i="2"/>
  <c r="N1510" i="2"/>
  <c r="M1510" i="2"/>
  <c r="L1510" i="2"/>
  <c r="V1510" i="2" s="1"/>
  <c r="U1509" i="2"/>
  <c r="S1509" i="2"/>
  <c r="T1509" i="2" s="1"/>
  <c r="Q1509" i="2"/>
  <c r="P1509" i="2"/>
  <c r="R1509" i="2" s="1"/>
  <c r="O1509" i="2"/>
  <c r="N1509" i="2"/>
  <c r="M1509" i="2"/>
  <c r="L1509" i="2"/>
  <c r="V1509" i="2" s="1"/>
  <c r="U1508" i="2"/>
  <c r="S1508" i="2"/>
  <c r="T1508" i="2" s="1"/>
  <c r="Q1508" i="2"/>
  <c r="P1508" i="2"/>
  <c r="R1508" i="2" s="1"/>
  <c r="O1508" i="2"/>
  <c r="N1508" i="2"/>
  <c r="M1508" i="2"/>
  <c r="L1508" i="2"/>
  <c r="V1508" i="2" s="1"/>
  <c r="U1507" i="2"/>
  <c r="S1507" i="2"/>
  <c r="T1507" i="2" s="1"/>
  <c r="Q1507" i="2"/>
  <c r="P1507" i="2"/>
  <c r="R1507" i="2" s="1"/>
  <c r="O1507" i="2"/>
  <c r="N1507" i="2"/>
  <c r="M1507" i="2"/>
  <c r="L1507" i="2"/>
  <c r="V1507" i="2" s="1"/>
  <c r="U1506" i="2"/>
  <c r="S1506" i="2"/>
  <c r="T1506" i="2" s="1"/>
  <c r="P1506" i="2"/>
  <c r="R1506" i="2" s="1"/>
  <c r="O1506" i="2"/>
  <c r="N1506" i="2"/>
  <c r="M1506" i="2"/>
  <c r="L1506" i="2"/>
  <c r="V1506" i="2" s="1"/>
  <c r="U1505" i="2"/>
  <c r="S1505" i="2"/>
  <c r="T1505" i="2" s="1"/>
  <c r="P1505" i="2"/>
  <c r="R1505" i="2" s="1"/>
  <c r="O1505" i="2"/>
  <c r="N1505" i="2"/>
  <c r="M1505" i="2"/>
  <c r="L1505" i="2"/>
  <c r="V1505" i="2" s="1"/>
  <c r="U1504" i="2"/>
  <c r="S1504" i="2"/>
  <c r="T1504" i="2" s="1"/>
  <c r="Q1504" i="2"/>
  <c r="P1504" i="2"/>
  <c r="R1504" i="2" s="1"/>
  <c r="O1504" i="2"/>
  <c r="N1504" i="2"/>
  <c r="M1504" i="2"/>
  <c r="L1504" i="2"/>
  <c r="V1504" i="2" s="1"/>
  <c r="U1503" i="2"/>
  <c r="S1503" i="2"/>
  <c r="T1503" i="2" s="1"/>
  <c r="P1503" i="2"/>
  <c r="R1503" i="2" s="1"/>
  <c r="O1503" i="2"/>
  <c r="N1503" i="2"/>
  <c r="M1503" i="2"/>
  <c r="L1503" i="2"/>
  <c r="V1503" i="2" s="1"/>
  <c r="U1502" i="2"/>
  <c r="S1502" i="2"/>
  <c r="T1502" i="2" s="1"/>
  <c r="P1502" i="2"/>
  <c r="R1502" i="2" s="1"/>
  <c r="O1502" i="2"/>
  <c r="N1502" i="2"/>
  <c r="M1502" i="2"/>
  <c r="L1502" i="2"/>
  <c r="V1502" i="2" s="1"/>
  <c r="U1501" i="2"/>
  <c r="S1501" i="2"/>
  <c r="T1501" i="2" s="1"/>
  <c r="Q1501" i="2"/>
  <c r="P1501" i="2"/>
  <c r="R1501" i="2" s="1"/>
  <c r="O1501" i="2"/>
  <c r="N1501" i="2"/>
  <c r="M1501" i="2"/>
  <c r="L1501" i="2"/>
  <c r="V1501" i="2" s="1"/>
  <c r="U1500" i="2"/>
  <c r="S1500" i="2"/>
  <c r="T1500" i="2" s="1"/>
  <c r="Q1500" i="2"/>
  <c r="P1500" i="2"/>
  <c r="R1500" i="2" s="1"/>
  <c r="O1500" i="2"/>
  <c r="N1500" i="2"/>
  <c r="M1500" i="2"/>
  <c r="L1500" i="2"/>
  <c r="V1500" i="2" s="1"/>
  <c r="U1499" i="2"/>
  <c r="S1499" i="2"/>
  <c r="T1499" i="2" s="1"/>
  <c r="P1499" i="2"/>
  <c r="R1499" i="2" s="1"/>
  <c r="O1499" i="2"/>
  <c r="N1499" i="2"/>
  <c r="M1499" i="2"/>
  <c r="L1499" i="2"/>
  <c r="V1499" i="2" s="1"/>
  <c r="U1498" i="2"/>
  <c r="S1498" i="2"/>
  <c r="T1498" i="2" s="1"/>
  <c r="P1498" i="2"/>
  <c r="R1498" i="2" s="1"/>
  <c r="O1498" i="2"/>
  <c r="N1498" i="2"/>
  <c r="M1498" i="2"/>
  <c r="L1498" i="2"/>
  <c r="V1498" i="2" s="1"/>
  <c r="U1497" i="2"/>
  <c r="S1497" i="2"/>
  <c r="T1497" i="2" s="1"/>
  <c r="Q1497" i="2"/>
  <c r="P1497" i="2"/>
  <c r="R1497" i="2" s="1"/>
  <c r="O1497" i="2"/>
  <c r="N1497" i="2"/>
  <c r="M1497" i="2"/>
  <c r="L1497" i="2"/>
  <c r="V1497" i="2" s="1"/>
  <c r="U1496" i="2"/>
  <c r="S1496" i="2"/>
  <c r="T1496" i="2" s="1"/>
  <c r="Q1496" i="2"/>
  <c r="P1496" i="2"/>
  <c r="R1496" i="2" s="1"/>
  <c r="O1496" i="2"/>
  <c r="N1496" i="2"/>
  <c r="M1496" i="2"/>
  <c r="L1496" i="2"/>
  <c r="V1496" i="2" s="1"/>
  <c r="U1495" i="2"/>
  <c r="S1495" i="2"/>
  <c r="T1495" i="2" s="1"/>
  <c r="P1495" i="2"/>
  <c r="R1495" i="2" s="1"/>
  <c r="O1495" i="2"/>
  <c r="N1495" i="2"/>
  <c r="M1495" i="2"/>
  <c r="L1495" i="2"/>
  <c r="V1495" i="2" s="1"/>
  <c r="U1494" i="2"/>
  <c r="S1494" i="2"/>
  <c r="T1494" i="2" s="1"/>
  <c r="Q1494" i="2"/>
  <c r="P1494" i="2"/>
  <c r="R1494" i="2" s="1"/>
  <c r="O1494" i="2"/>
  <c r="N1494" i="2"/>
  <c r="M1494" i="2"/>
  <c r="L1494" i="2"/>
  <c r="V1494" i="2" s="1"/>
  <c r="U1493" i="2"/>
  <c r="S1493" i="2"/>
  <c r="T1493" i="2" s="1"/>
  <c r="Q1493" i="2"/>
  <c r="P1493" i="2"/>
  <c r="R1493" i="2" s="1"/>
  <c r="O1493" i="2"/>
  <c r="N1493" i="2"/>
  <c r="M1493" i="2"/>
  <c r="L1493" i="2"/>
  <c r="V1493" i="2" s="1"/>
  <c r="U1492" i="2"/>
  <c r="S1492" i="2"/>
  <c r="T1492" i="2" s="1"/>
  <c r="P1492" i="2"/>
  <c r="R1492" i="2" s="1"/>
  <c r="O1492" i="2"/>
  <c r="N1492" i="2"/>
  <c r="M1492" i="2"/>
  <c r="L1492" i="2"/>
  <c r="V1492" i="2" s="1"/>
  <c r="U1491" i="2"/>
  <c r="S1491" i="2"/>
  <c r="T1491" i="2" s="1"/>
  <c r="P1491" i="2"/>
  <c r="R1491" i="2" s="1"/>
  <c r="O1491" i="2"/>
  <c r="N1491" i="2"/>
  <c r="M1491" i="2"/>
  <c r="L1491" i="2"/>
  <c r="V1491" i="2" s="1"/>
  <c r="U1490" i="2"/>
  <c r="S1490" i="2"/>
  <c r="T1490" i="2" s="1"/>
  <c r="Q1490" i="2"/>
  <c r="P1490" i="2"/>
  <c r="R1490" i="2" s="1"/>
  <c r="O1490" i="2"/>
  <c r="N1490" i="2"/>
  <c r="M1490" i="2"/>
  <c r="L1490" i="2"/>
  <c r="V1490" i="2" s="1"/>
  <c r="U1489" i="2"/>
  <c r="S1489" i="2"/>
  <c r="T1489" i="2" s="1"/>
  <c r="Q1489" i="2"/>
  <c r="P1489" i="2"/>
  <c r="R1489" i="2" s="1"/>
  <c r="O1489" i="2"/>
  <c r="N1489" i="2"/>
  <c r="M1489" i="2"/>
  <c r="L1489" i="2"/>
  <c r="V1489" i="2" s="1"/>
  <c r="U1488" i="2"/>
  <c r="S1488" i="2"/>
  <c r="T1488" i="2" s="1"/>
  <c r="Q1488" i="2"/>
  <c r="P1488" i="2"/>
  <c r="R1488" i="2" s="1"/>
  <c r="O1488" i="2"/>
  <c r="N1488" i="2"/>
  <c r="M1488" i="2"/>
  <c r="L1488" i="2"/>
  <c r="V1488" i="2" s="1"/>
  <c r="U1487" i="2"/>
  <c r="S1487" i="2"/>
  <c r="T1487" i="2" s="1"/>
  <c r="P1487" i="2"/>
  <c r="R1487" i="2" s="1"/>
  <c r="O1487" i="2"/>
  <c r="N1487" i="2"/>
  <c r="M1487" i="2"/>
  <c r="L1487" i="2"/>
  <c r="V1487" i="2" s="1"/>
  <c r="U1486" i="2"/>
  <c r="S1486" i="2"/>
  <c r="T1486" i="2" s="1"/>
  <c r="P1486" i="2"/>
  <c r="R1486" i="2" s="1"/>
  <c r="O1486" i="2"/>
  <c r="N1486" i="2"/>
  <c r="M1486" i="2"/>
  <c r="L1486" i="2"/>
  <c r="V1486" i="2" s="1"/>
  <c r="U1485" i="2"/>
  <c r="S1485" i="2"/>
  <c r="T1485" i="2" s="1"/>
  <c r="P1485" i="2"/>
  <c r="R1485" i="2" s="1"/>
  <c r="O1485" i="2"/>
  <c r="N1485" i="2"/>
  <c r="M1485" i="2"/>
  <c r="L1485" i="2"/>
  <c r="V1485" i="2" s="1"/>
  <c r="U1484" i="2"/>
  <c r="S1484" i="2"/>
  <c r="T1484" i="2" s="1"/>
  <c r="Q1484" i="2"/>
  <c r="P1484" i="2"/>
  <c r="R1484" i="2" s="1"/>
  <c r="O1484" i="2"/>
  <c r="N1484" i="2"/>
  <c r="M1484" i="2"/>
  <c r="L1484" i="2"/>
  <c r="V1484" i="2" s="1"/>
  <c r="U1483" i="2"/>
  <c r="S1483" i="2"/>
  <c r="T1483" i="2" s="1"/>
  <c r="Q1483" i="2"/>
  <c r="P1483" i="2"/>
  <c r="R1483" i="2" s="1"/>
  <c r="O1483" i="2"/>
  <c r="N1483" i="2"/>
  <c r="M1483" i="2"/>
  <c r="L1483" i="2"/>
  <c r="V1483" i="2" s="1"/>
  <c r="U1482" i="2"/>
  <c r="S1482" i="2"/>
  <c r="T1482" i="2" s="1"/>
  <c r="Q1482" i="2"/>
  <c r="P1482" i="2"/>
  <c r="R1482" i="2" s="1"/>
  <c r="O1482" i="2"/>
  <c r="N1482" i="2"/>
  <c r="M1482" i="2"/>
  <c r="L1482" i="2"/>
  <c r="V1482" i="2" s="1"/>
  <c r="U1481" i="2"/>
  <c r="S1481" i="2"/>
  <c r="T1481" i="2" s="1"/>
  <c r="P1481" i="2"/>
  <c r="R1481" i="2" s="1"/>
  <c r="O1481" i="2"/>
  <c r="N1481" i="2"/>
  <c r="M1481" i="2"/>
  <c r="L1481" i="2"/>
  <c r="V1481" i="2" s="1"/>
  <c r="U1480" i="2"/>
  <c r="S1480" i="2"/>
  <c r="T1480" i="2" s="1"/>
  <c r="P1480" i="2"/>
  <c r="R1480" i="2" s="1"/>
  <c r="O1480" i="2"/>
  <c r="N1480" i="2"/>
  <c r="M1480" i="2"/>
  <c r="L1480" i="2"/>
  <c r="V1480" i="2" s="1"/>
  <c r="U1479" i="2"/>
  <c r="S1479" i="2"/>
  <c r="T1479" i="2" s="1"/>
  <c r="P1479" i="2"/>
  <c r="R1479" i="2" s="1"/>
  <c r="O1479" i="2"/>
  <c r="N1479" i="2"/>
  <c r="M1479" i="2"/>
  <c r="L1479" i="2"/>
  <c r="V1479" i="2" s="1"/>
  <c r="U1478" i="2"/>
  <c r="S1478" i="2"/>
  <c r="T1478" i="2" s="1"/>
  <c r="Q1478" i="2"/>
  <c r="P1478" i="2"/>
  <c r="R1478" i="2" s="1"/>
  <c r="O1478" i="2"/>
  <c r="N1478" i="2"/>
  <c r="M1478" i="2"/>
  <c r="L1478" i="2"/>
  <c r="V1478" i="2" s="1"/>
  <c r="U1477" i="2"/>
  <c r="S1477" i="2"/>
  <c r="T1477" i="2" s="1"/>
  <c r="Q1477" i="2"/>
  <c r="P1477" i="2"/>
  <c r="R1477" i="2" s="1"/>
  <c r="O1477" i="2"/>
  <c r="N1477" i="2"/>
  <c r="M1477" i="2"/>
  <c r="L1477" i="2"/>
  <c r="V1477" i="2" s="1"/>
  <c r="U1476" i="2"/>
  <c r="S1476" i="2"/>
  <c r="T1476" i="2" s="1"/>
  <c r="P1476" i="2"/>
  <c r="R1476" i="2" s="1"/>
  <c r="O1476" i="2"/>
  <c r="N1476" i="2"/>
  <c r="M1476" i="2"/>
  <c r="L1476" i="2"/>
  <c r="V1476" i="2" s="1"/>
  <c r="U1475" i="2"/>
  <c r="S1475" i="2"/>
  <c r="T1475" i="2" s="1"/>
  <c r="P1475" i="2"/>
  <c r="R1475" i="2" s="1"/>
  <c r="O1475" i="2"/>
  <c r="N1475" i="2"/>
  <c r="M1475" i="2"/>
  <c r="L1475" i="2"/>
  <c r="V1475" i="2" s="1"/>
  <c r="U1474" i="2"/>
  <c r="S1474" i="2"/>
  <c r="T1474" i="2" s="1"/>
  <c r="Q1474" i="2"/>
  <c r="P1474" i="2"/>
  <c r="R1474" i="2" s="1"/>
  <c r="O1474" i="2"/>
  <c r="N1474" i="2"/>
  <c r="M1474" i="2"/>
  <c r="L1474" i="2"/>
  <c r="V1474" i="2" s="1"/>
  <c r="U1473" i="2"/>
  <c r="S1473" i="2"/>
  <c r="T1473" i="2" s="1"/>
  <c r="Q1473" i="2"/>
  <c r="P1473" i="2"/>
  <c r="R1473" i="2" s="1"/>
  <c r="O1473" i="2"/>
  <c r="N1473" i="2"/>
  <c r="M1473" i="2"/>
  <c r="L1473" i="2"/>
  <c r="V1473" i="2" s="1"/>
  <c r="U1472" i="2"/>
  <c r="S1472" i="2"/>
  <c r="T1472" i="2" s="1"/>
  <c r="P1472" i="2"/>
  <c r="R1472" i="2" s="1"/>
  <c r="O1472" i="2"/>
  <c r="N1472" i="2"/>
  <c r="M1472" i="2"/>
  <c r="L1472" i="2"/>
  <c r="V1472" i="2" s="1"/>
  <c r="U1471" i="2"/>
  <c r="S1471" i="2"/>
  <c r="T1471" i="2" s="1"/>
  <c r="Q1471" i="2"/>
  <c r="P1471" i="2"/>
  <c r="R1471" i="2" s="1"/>
  <c r="O1471" i="2"/>
  <c r="N1471" i="2"/>
  <c r="M1471" i="2"/>
  <c r="L1471" i="2"/>
  <c r="V1471" i="2" s="1"/>
  <c r="U1470" i="2"/>
  <c r="S1470" i="2"/>
  <c r="T1470" i="2" s="1"/>
  <c r="Q1470" i="2"/>
  <c r="P1470" i="2"/>
  <c r="R1470" i="2" s="1"/>
  <c r="O1470" i="2"/>
  <c r="N1470" i="2"/>
  <c r="M1470" i="2"/>
  <c r="L1470" i="2"/>
  <c r="V1470" i="2" s="1"/>
  <c r="U1469" i="2"/>
  <c r="S1469" i="2"/>
  <c r="T1469" i="2" s="1"/>
  <c r="Q1469" i="2"/>
  <c r="P1469" i="2"/>
  <c r="R1469" i="2" s="1"/>
  <c r="O1469" i="2"/>
  <c r="N1469" i="2"/>
  <c r="M1469" i="2"/>
  <c r="L1469" i="2"/>
  <c r="V1469" i="2" s="1"/>
  <c r="U1468" i="2"/>
  <c r="S1468" i="2"/>
  <c r="T1468" i="2" s="1"/>
  <c r="P1468" i="2"/>
  <c r="R1468" i="2" s="1"/>
  <c r="O1468" i="2"/>
  <c r="N1468" i="2"/>
  <c r="M1468" i="2"/>
  <c r="L1468" i="2"/>
  <c r="V1468" i="2" s="1"/>
  <c r="U1467" i="2"/>
  <c r="S1467" i="2"/>
  <c r="T1467" i="2" s="1"/>
  <c r="P1467" i="2"/>
  <c r="R1467" i="2" s="1"/>
  <c r="O1467" i="2"/>
  <c r="N1467" i="2"/>
  <c r="M1467" i="2"/>
  <c r="L1467" i="2"/>
  <c r="V1467" i="2" s="1"/>
  <c r="U1466" i="2"/>
  <c r="S1466" i="2"/>
  <c r="T1466" i="2" s="1"/>
  <c r="P1466" i="2"/>
  <c r="R1466" i="2" s="1"/>
  <c r="O1466" i="2"/>
  <c r="N1466" i="2"/>
  <c r="M1466" i="2"/>
  <c r="L1466" i="2"/>
  <c r="V1466" i="2" s="1"/>
  <c r="U1465" i="2"/>
  <c r="S1465" i="2"/>
  <c r="T1465" i="2" s="1"/>
  <c r="Q1465" i="2"/>
  <c r="P1465" i="2"/>
  <c r="R1465" i="2" s="1"/>
  <c r="O1465" i="2"/>
  <c r="N1465" i="2"/>
  <c r="M1465" i="2"/>
  <c r="L1465" i="2"/>
  <c r="V1465" i="2" s="1"/>
  <c r="U1464" i="2"/>
  <c r="S1464" i="2"/>
  <c r="T1464" i="2" s="1"/>
  <c r="Q1464" i="2"/>
  <c r="P1464" i="2"/>
  <c r="R1464" i="2" s="1"/>
  <c r="O1464" i="2"/>
  <c r="N1464" i="2"/>
  <c r="M1464" i="2"/>
  <c r="L1464" i="2"/>
  <c r="V1464" i="2" s="1"/>
  <c r="U1463" i="2"/>
  <c r="S1463" i="2"/>
  <c r="T1463" i="2" s="1"/>
  <c r="Q1463" i="2"/>
  <c r="P1463" i="2"/>
  <c r="R1463" i="2" s="1"/>
  <c r="O1463" i="2"/>
  <c r="N1463" i="2"/>
  <c r="M1463" i="2"/>
  <c r="L1463" i="2"/>
  <c r="V1463" i="2" s="1"/>
  <c r="U1462" i="2"/>
  <c r="S1462" i="2"/>
  <c r="T1462" i="2" s="1"/>
  <c r="Q1462" i="2"/>
  <c r="P1462" i="2"/>
  <c r="R1462" i="2" s="1"/>
  <c r="O1462" i="2"/>
  <c r="N1462" i="2"/>
  <c r="M1462" i="2"/>
  <c r="L1462" i="2"/>
  <c r="V1462" i="2" s="1"/>
  <c r="U1461" i="2"/>
  <c r="S1461" i="2"/>
  <c r="T1461" i="2" s="1"/>
  <c r="Q1461" i="2"/>
  <c r="P1461" i="2"/>
  <c r="R1461" i="2" s="1"/>
  <c r="O1461" i="2"/>
  <c r="N1461" i="2"/>
  <c r="M1461" i="2"/>
  <c r="L1461" i="2"/>
  <c r="V1461" i="2" s="1"/>
  <c r="U1460" i="2"/>
  <c r="S1460" i="2"/>
  <c r="T1460" i="2" s="1"/>
  <c r="P1460" i="2"/>
  <c r="R1460" i="2" s="1"/>
  <c r="O1460" i="2"/>
  <c r="N1460" i="2"/>
  <c r="M1460" i="2"/>
  <c r="L1460" i="2"/>
  <c r="V1460" i="2" s="1"/>
  <c r="U1459" i="2"/>
  <c r="S1459" i="2"/>
  <c r="T1459" i="2" s="1"/>
  <c r="P1459" i="2"/>
  <c r="R1459" i="2" s="1"/>
  <c r="O1459" i="2"/>
  <c r="N1459" i="2"/>
  <c r="M1459" i="2"/>
  <c r="L1459" i="2"/>
  <c r="V1459" i="2" s="1"/>
  <c r="U1458" i="2"/>
  <c r="S1458" i="2"/>
  <c r="T1458" i="2" s="1"/>
  <c r="Q1458" i="2"/>
  <c r="P1458" i="2"/>
  <c r="R1458" i="2" s="1"/>
  <c r="O1458" i="2"/>
  <c r="N1458" i="2"/>
  <c r="M1458" i="2"/>
  <c r="L1458" i="2"/>
  <c r="V1458" i="2" s="1"/>
  <c r="U1457" i="2"/>
  <c r="S1457" i="2"/>
  <c r="T1457" i="2" s="1"/>
  <c r="Q1457" i="2"/>
  <c r="P1457" i="2"/>
  <c r="R1457" i="2" s="1"/>
  <c r="O1457" i="2"/>
  <c r="N1457" i="2"/>
  <c r="M1457" i="2"/>
  <c r="L1457" i="2"/>
  <c r="V1457" i="2" s="1"/>
  <c r="U1456" i="2"/>
  <c r="S1456" i="2"/>
  <c r="T1456" i="2" s="1"/>
  <c r="Q1456" i="2"/>
  <c r="P1456" i="2"/>
  <c r="R1456" i="2" s="1"/>
  <c r="O1456" i="2"/>
  <c r="N1456" i="2"/>
  <c r="M1456" i="2"/>
  <c r="L1456" i="2"/>
  <c r="V1456" i="2" s="1"/>
  <c r="U1455" i="2"/>
  <c r="S1455" i="2"/>
  <c r="T1455" i="2" s="1"/>
  <c r="Q1455" i="2"/>
  <c r="P1455" i="2"/>
  <c r="R1455" i="2" s="1"/>
  <c r="O1455" i="2"/>
  <c r="N1455" i="2"/>
  <c r="M1455" i="2"/>
  <c r="L1455" i="2"/>
  <c r="V1455" i="2" s="1"/>
  <c r="U1454" i="2"/>
  <c r="S1454" i="2"/>
  <c r="T1454" i="2" s="1"/>
  <c r="P1454" i="2"/>
  <c r="R1454" i="2" s="1"/>
  <c r="O1454" i="2"/>
  <c r="N1454" i="2"/>
  <c r="M1454" i="2"/>
  <c r="L1454" i="2"/>
  <c r="V1454" i="2" s="1"/>
  <c r="U1453" i="2"/>
  <c r="S1453" i="2"/>
  <c r="T1453" i="2" s="1"/>
  <c r="Q1453" i="2"/>
  <c r="P1453" i="2"/>
  <c r="R1453" i="2" s="1"/>
  <c r="O1453" i="2"/>
  <c r="N1453" i="2"/>
  <c r="M1453" i="2"/>
  <c r="L1453" i="2"/>
  <c r="V1453" i="2" s="1"/>
  <c r="U1452" i="2"/>
  <c r="S1452" i="2"/>
  <c r="T1452" i="2" s="1"/>
  <c r="Q1452" i="2"/>
  <c r="P1452" i="2"/>
  <c r="R1452" i="2" s="1"/>
  <c r="O1452" i="2"/>
  <c r="N1452" i="2"/>
  <c r="M1452" i="2"/>
  <c r="L1452" i="2"/>
  <c r="V1452" i="2" s="1"/>
  <c r="U1451" i="2"/>
  <c r="S1451" i="2"/>
  <c r="T1451" i="2" s="1"/>
  <c r="Q1451" i="2"/>
  <c r="P1451" i="2"/>
  <c r="R1451" i="2" s="1"/>
  <c r="O1451" i="2"/>
  <c r="N1451" i="2"/>
  <c r="M1451" i="2"/>
  <c r="L1451" i="2"/>
  <c r="V1451" i="2" s="1"/>
  <c r="U1450" i="2"/>
  <c r="S1450" i="2"/>
  <c r="T1450" i="2" s="1"/>
  <c r="Q1450" i="2"/>
  <c r="P1450" i="2"/>
  <c r="R1450" i="2" s="1"/>
  <c r="O1450" i="2"/>
  <c r="N1450" i="2"/>
  <c r="M1450" i="2"/>
  <c r="L1450" i="2"/>
  <c r="V1450" i="2" s="1"/>
  <c r="U1449" i="2"/>
  <c r="S1449" i="2"/>
  <c r="T1449" i="2" s="1"/>
  <c r="Q1449" i="2"/>
  <c r="P1449" i="2"/>
  <c r="R1449" i="2" s="1"/>
  <c r="O1449" i="2"/>
  <c r="N1449" i="2"/>
  <c r="M1449" i="2"/>
  <c r="L1449" i="2"/>
  <c r="V1449" i="2" s="1"/>
  <c r="U1448" i="2"/>
  <c r="S1448" i="2"/>
  <c r="T1448" i="2" s="1"/>
  <c r="Q1448" i="2"/>
  <c r="P1448" i="2"/>
  <c r="R1448" i="2" s="1"/>
  <c r="O1448" i="2"/>
  <c r="N1448" i="2"/>
  <c r="M1448" i="2"/>
  <c r="L1448" i="2"/>
  <c r="V1448" i="2" s="1"/>
  <c r="U1447" i="2"/>
  <c r="S1447" i="2"/>
  <c r="T1447" i="2" s="1"/>
  <c r="P1447" i="2"/>
  <c r="R1447" i="2" s="1"/>
  <c r="O1447" i="2"/>
  <c r="N1447" i="2"/>
  <c r="M1447" i="2"/>
  <c r="L1447" i="2"/>
  <c r="V1447" i="2" s="1"/>
  <c r="U1446" i="2"/>
  <c r="S1446" i="2"/>
  <c r="T1446" i="2" s="1"/>
  <c r="Q1446" i="2"/>
  <c r="P1446" i="2"/>
  <c r="R1446" i="2" s="1"/>
  <c r="O1446" i="2"/>
  <c r="N1446" i="2"/>
  <c r="M1446" i="2"/>
  <c r="L1446" i="2"/>
  <c r="V1446" i="2" s="1"/>
  <c r="U1445" i="2"/>
  <c r="S1445" i="2"/>
  <c r="T1445" i="2" s="1"/>
  <c r="Q1445" i="2"/>
  <c r="P1445" i="2"/>
  <c r="R1445" i="2" s="1"/>
  <c r="O1445" i="2"/>
  <c r="N1445" i="2"/>
  <c r="M1445" i="2"/>
  <c r="L1445" i="2"/>
  <c r="V1445" i="2" s="1"/>
  <c r="U1444" i="2"/>
  <c r="S1444" i="2"/>
  <c r="T1444" i="2" s="1"/>
  <c r="P1444" i="2"/>
  <c r="R1444" i="2" s="1"/>
  <c r="O1444" i="2"/>
  <c r="N1444" i="2"/>
  <c r="M1444" i="2"/>
  <c r="L1444" i="2"/>
  <c r="V1444" i="2" s="1"/>
  <c r="U1443" i="2"/>
  <c r="S1443" i="2"/>
  <c r="T1443" i="2" s="1"/>
  <c r="Q1443" i="2"/>
  <c r="P1443" i="2"/>
  <c r="R1443" i="2" s="1"/>
  <c r="O1443" i="2"/>
  <c r="N1443" i="2"/>
  <c r="M1443" i="2"/>
  <c r="L1443" i="2"/>
  <c r="V1443" i="2" s="1"/>
  <c r="U1442" i="2"/>
  <c r="S1442" i="2"/>
  <c r="T1442" i="2" s="1"/>
  <c r="Q1442" i="2"/>
  <c r="P1442" i="2"/>
  <c r="R1442" i="2" s="1"/>
  <c r="O1442" i="2"/>
  <c r="N1442" i="2"/>
  <c r="M1442" i="2"/>
  <c r="L1442" i="2"/>
  <c r="V1442" i="2" s="1"/>
  <c r="U1441" i="2"/>
  <c r="S1441" i="2"/>
  <c r="T1441" i="2" s="1"/>
  <c r="P1441" i="2"/>
  <c r="R1441" i="2" s="1"/>
  <c r="O1441" i="2"/>
  <c r="N1441" i="2"/>
  <c r="M1441" i="2"/>
  <c r="L1441" i="2"/>
  <c r="V1441" i="2" s="1"/>
  <c r="U1440" i="2"/>
  <c r="S1440" i="2"/>
  <c r="T1440" i="2" s="1"/>
  <c r="Q1440" i="2"/>
  <c r="P1440" i="2"/>
  <c r="R1440" i="2" s="1"/>
  <c r="O1440" i="2"/>
  <c r="N1440" i="2"/>
  <c r="M1440" i="2"/>
  <c r="L1440" i="2"/>
  <c r="V1440" i="2" s="1"/>
  <c r="U1439" i="2"/>
  <c r="S1439" i="2"/>
  <c r="T1439" i="2" s="1"/>
  <c r="Q1439" i="2"/>
  <c r="P1439" i="2"/>
  <c r="R1439" i="2" s="1"/>
  <c r="O1439" i="2"/>
  <c r="N1439" i="2"/>
  <c r="M1439" i="2"/>
  <c r="L1439" i="2"/>
  <c r="V1439" i="2" s="1"/>
  <c r="U1438" i="2"/>
  <c r="S1438" i="2"/>
  <c r="T1438" i="2" s="1"/>
  <c r="Q1438" i="2"/>
  <c r="P1438" i="2"/>
  <c r="R1438" i="2" s="1"/>
  <c r="O1438" i="2"/>
  <c r="N1438" i="2"/>
  <c r="M1438" i="2"/>
  <c r="L1438" i="2"/>
  <c r="V1438" i="2" s="1"/>
  <c r="U1437" i="2"/>
  <c r="S1437" i="2"/>
  <c r="T1437" i="2" s="1"/>
  <c r="Q1437" i="2"/>
  <c r="P1437" i="2"/>
  <c r="R1437" i="2" s="1"/>
  <c r="O1437" i="2"/>
  <c r="N1437" i="2"/>
  <c r="M1437" i="2"/>
  <c r="L1437" i="2"/>
  <c r="V1437" i="2" s="1"/>
  <c r="U1436" i="2"/>
  <c r="S1436" i="2"/>
  <c r="T1436" i="2" s="1"/>
  <c r="Q1436" i="2"/>
  <c r="P1436" i="2"/>
  <c r="R1436" i="2" s="1"/>
  <c r="O1436" i="2"/>
  <c r="N1436" i="2"/>
  <c r="M1436" i="2"/>
  <c r="L1436" i="2"/>
  <c r="V1436" i="2" s="1"/>
  <c r="U1435" i="2"/>
  <c r="S1435" i="2"/>
  <c r="T1435" i="2" s="1"/>
  <c r="Q1435" i="2"/>
  <c r="P1435" i="2"/>
  <c r="R1435" i="2" s="1"/>
  <c r="O1435" i="2"/>
  <c r="N1435" i="2"/>
  <c r="M1435" i="2"/>
  <c r="L1435" i="2"/>
  <c r="V1435" i="2" s="1"/>
  <c r="U1434" i="2"/>
  <c r="S1434" i="2"/>
  <c r="T1434" i="2" s="1"/>
  <c r="P1434" i="2"/>
  <c r="R1434" i="2" s="1"/>
  <c r="O1434" i="2"/>
  <c r="N1434" i="2"/>
  <c r="M1434" i="2"/>
  <c r="L1434" i="2"/>
  <c r="V1434" i="2" s="1"/>
  <c r="U1433" i="2"/>
  <c r="S1433" i="2"/>
  <c r="T1433" i="2" s="1"/>
  <c r="Q1433" i="2"/>
  <c r="P1433" i="2"/>
  <c r="R1433" i="2" s="1"/>
  <c r="O1433" i="2"/>
  <c r="N1433" i="2"/>
  <c r="M1433" i="2"/>
  <c r="L1433" i="2"/>
  <c r="V1433" i="2" s="1"/>
  <c r="U1432" i="2"/>
  <c r="S1432" i="2"/>
  <c r="T1432" i="2" s="1"/>
  <c r="P1432" i="2"/>
  <c r="R1432" i="2" s="1"/>
  <c r="O1432" i="2"/>
  <c r="N1432" i="2"/>
  <c r="M1432" i="2"/>
  <c r="L1432" i="2"/>
  <c r="V1432" i="2" s="1"/>
  <c r="U1431" i="2"/>
  <c r="S1431" i="2"/>
  <c r="T1431" i="2" s="1"/>
  <c r="Q1431" i="2"/>
  <c r="P1431" i="2"/>
  <c r="R1431" i="2" s="1"/>
  <c r="O1431" i="2"/>
  <c r="N1431" i="2"/>
  <c r="M1431" i="2"/>
  <c r="L1431" i="2"/>
  <c r="V1431" i="2" s="1"/>
  <c r="U1430" i="2"/>
  <c r="S1430" i="2"/>
  <c r="T1430" i="2" s="1"/>
  <c r="Q1430" i="2"/>
  <c r="P1430" i="2"/>
  <c r="R1430" i="2" s="1"/>
  <c r="O1430" i="2"/>
  <c r="N1430" i="2"/>
  <c r="M1430" i="2"/>
  <c r="L1430" i="2"/>
  <c r="V1430" i="2" s="1"/>
  <c r="U1429" i="2"/>
  <c r="S1429" i="2"/>
  <c r="T1429" i="2" s="1"/>
  <c r="P1429" i="2"/>
  <c r="R1429" i="2" s="1"/>
  <c r="O1429" i="2"/>
  <c r="N1429" i="2"/>
  <c r="M1429" i="2"/>
  <c r="L1429" i="2"/>
  <c r="V1429" i="2" s="1"/>
  <c r="U1428" i="2"/>
  <c r="S1428" i="2"/>
  <c r="T1428" i="2" s="1"/>
  <c r="Q1428" i="2"/>
  <c r="P1428" i="2"/>
  <c r="R1428" i="2" s="1"/>
  <c r="O1428" i="2"/>
  <c r="N1428" i="2"/>
  <c r="M1428" i="2"/>
  <c r="L1428" i="2"/>
  <c r="V1428" i="2" s="1"/>
  <c r="U1427" i="2"/>
  <c r="S1427" i="2"/>
  <c r="T1427" i="2" s="1"/>
  <c r="Q1427" i="2"/>
  <c r="P1427" i="2"/>
  <c r="R1427" i="2" s="1"/>
  <c r="O1427" i="2"/>
  <c r="N1427" i="2"/>
  <c r="M1427" i="2"/>
  <c r="L1427" i="2"/>
  <c r="V1427" i="2" s="1"/>
  <c r="U1426" i="2"/>
  <c r="S1426" i="2"/>
  <c r="T1426" i="2" s="1"/>
  <c r="P1426" i="2"/>
  <c r="R1426" i="2" s="1"/>
  <c r="O1426" i="2"/>
  <c r="N1426" i="2"/>
  <c r="M1426" i="2"/>
  <c r="L1426" i="2"/>
  <c r="V1426" i="2" s="1"/>
  <c r="U1425" i="2"/>
  <c r="S1425" i="2"/>
  <c r="T1425" i="2" s="1"/>
  <c r="Q1425" i="2"/>
  <c r="P1425" i="2"/>
  <c r="R1425" i="2" s="1"/>
  <c r="O1425" i="2"/>
  <c r="N1425" i="2"/>
  <c r="M1425" i="2"/>
  <c r="L1425" i="2"/>
  <c r="V1425" i="2" s="1"/>
  <c r="U1424" i="2"/>
  <c r="S1424" i="2"/>
  <c r="T1424" i="2" s="1"/>
  <c r="Q1424" i="2"/>
  <c r="P1424" i="2"/>
  <c r="R1424" i="2" s="1"/>
  <c r="O1424" i="2"/>
  <c r="N1424" i="2"/>
  <c r="M1424" i="2"/>
  <c r="L1424" i="2"/>
  <c r="V1424" i="2" s="1"/>
  <c r="U1423" i="2"/>
  <c r="S1423" i="2"/>
  <c r="T1423" i="2" s="1"/>
  <c r="Q1423" i="2"/>
  <c r="P1423" i="2"/>
  <c r="R1423" i="2" s="1"/>
  <c r="O1423" i="2"/>
  <c r="N1423" i="2"/>
  <c r="M1423" i="2"/>
  <c r="L1423" i="2"/>
  <c r="V1423" i="2" s="1"/>
  <c r="U1422" i="2"/>
  <c r="S1422" i="2"/>
  <c r="T1422" i="2" s="1"/>
  <c r="Q1422" i="2"/>
  <c r="P1422" i="2"/>
  <c r="R1422" i="2" s="1"/>
  <c r="O1422" i="2"/>
  <c r="N1422" i="2"/>
  <c r="M1422" i="2"/>
  <c r="L1422" i="2"/>
  <c r="V1422" i="2" s="1"/>
  <c r="U1421" i="2"/>
  <c r="S1421" i="2"/>
  <c r="T1421" i="2" s="1"/>
  <c r="P1421" i="2"/>
  <c r="R1421" i="2" s="1"/>
  <c r="O1421" i="2"/>
  <c r="N1421" i="2"/>
  <c r="M1421" i="2"/>
  <c r="L1421" i="2"/>
  <c r="V1421" i="2" s="1"/>
  <c r="U1420" i="2"/>
  <c r="S1420" i="2"/>
  <c r="T1420" i="2" s="1"/>
  <c r="Q1420" i="2"/>
  <c r="P1420" i="2"/>
  <c r="R1420" i="2" s="1"/>
  <c r="O1420" i="2"/>
  <c r="N1420" i="2"/>
  <c r="M1420" i="2"/>
  <c r="L1420" i="2"/>
  <c r="V1420" i="2" s="1"/>
  <c r="U1419" i="2"/>
  <c r="S1419" i="2"/>
  <c r="T1419" i="2" s="1"/>
  <c r="P1419" i="2"/>
  <c r="R1419" i="2" s="1"/>
  <c r="O1419" i="2"/>
  <c r="N1419" i="2"/>
  <c r="M1419" i="2"/>
  <c r="L1419" i="2"/>
  <c r="V1419" i="2" s="1"/>
  <c r="U1418" i="2"/>
  <c r="S1418" i="2"/>
  <c r="T1418" i="2" s="1"/>
  <c r="Q1418" i="2"/>
  <c r="P1418" i="2"/>
  <c r="R1418" i="2" s="1"/>
  <c r="O1418" i="2"/>
  <c r="N1418" i="2"/>
  <c r="M1418" i="2"/>
  <c r="L1418" i="2"/>
  <c r="V1418" i="2" s="1"/>
  <c r="U1417" i="2"/>
  <c r="S1417" i="2"/>
  <c r="T1417" i="2" s="1"/>
  <c r="P1417" i="2"/>
  <c r="R1417" i="2" s="1"/>
  <c r="O1417" i="2"/>
  <c r="N1417" i="2"/>
  <c r="M1417" i="2"/>
  <c r="L1417" i="2"/>
  <c r="V1417" i="2" s="1"/>
  <c r="U1416" i="2"/>
  <c r="S1416" i="2"/>
  <c r="T1416" i="2" s="1"/>
  <c r="Q1416" i="2"/>
  <c r="P1416" i="2"/>
  <c r="R1416" i="2" s="1"/>
  <c r="O1416" i="2"/>
  <c r="N1416" i="2"/>
  <c r="M1416" i="2"/>
  <c r="L1416" i="2"/>
  <c r="V1416" i="2" s="1"/>
  <c r="U1415" i="2"/>
  <c r="S1415" i="2"/>
  <c r="T1415" i="2" s="1"/>
  <c r="Q1415" i="2"/>
  <c r="P1415" i="2"/>
  <c r="R1415" i="2" s="1"/>
  <c r="O1415" i="2"/>
  <c r="N1415" i="2"/>
  <c r="M1415" i="2"/>
  <c r="L1415" i="2"/>
  <c r="V1415" i="2" s="1"/>
  <c r="U1414" i="2"/>
  <c r="S1414" i="2"/>
  <c r="T1414" i="2" s="1"/>
  <c r="P1414" i="2"/>
  <c r="R1414" i="2" s="1"/>
  <c r="O1414" i="2"/>
  <c r="N1414" i="2"/>
  <c r="M1414" i="2"/>
  <c r="L1414" i="2"/>
  <c r="V1414" i="2" s="1"/>
  <c r="U1413" i="2"/>
  <c r="S1413" i="2"/>
  <c r="T1413" i="2" s="1"/>
  <c r="P1413" i="2"/>
  <c r="R1413" i="2" s="1"/>
  <c r="O1413" i="2"/>
  <c r="N1413" i="2"/>
  <c r="M1413" i="2"/>
  <c r="L1413" i="2"/>
  <c r="V1413" i="2" s="1"/>
  <c r="U1412" i="2"/>
  <c r="S1412" i="2"/>
  <c r="T1412" i="2" s="1"/>
  <c r="Q1412" i="2"/>
  <c r="P1412" i="2"/>
  <c r="R1412" i="2" s="1"/>
  <c r="O1412" i="2"/>
  <c r="N1412" i="2"/>
  <c r="M1412" i="2"/>
  <c r="L1412" i="2"/>
  <c r="V1412" i="2" s="1"/>
  <c r="U1411" i="2"/>
  <c r="S1411" i="2"/>
  <c r="T1411" i="2" s="1"/>
  <c r="P1411" i="2"/>
  <c r="R1411" i="2" s="1"/>
  <c r="O1411" i="2"/>
  <c r="N1411" i="2"/>
  <c r="M1411" i="2"/>
  <c r="L1411" i="2"/>
  <c r="V1411" i="2" s="1"/>
  <c r="U1410" i="2"/>
  <c r="S1410" i="2"/>
  <c r="T1410" i="2" s="1"/>
  <c r="Q1410" i="2"/>
  <c r="P1410" i="2"/>
  <c r="R1410" i="2" s="1"/>
  <c r="O1410" i="2"/>
  <c r="N1410" i="2"/>
  <c r="M1410" i="2"/>
  <c r="L1410" i="2"/>
  <c r="V1410" i="2" s="1"/>
  <c r="U1409" i="2"/>
  <c r="S1409" i="2"/>
  <c r="T1409" i="2" s="1"/>
  <c r="P1409" i="2"/>
  <c r="R1409" i="2" s="1"/>
  <c r="O1409" i="2"/>
  <c r="N1409" i="2"/>
  <c r="M1409" i="2"/>
  <c r="L1409" i="2"/>
  <c r="V1409" i="2" s="1"/>
  <c r="U1408" i="2"/>
  <c r="S1408" i="2"/>
  <c r="T1408" i="2" s="1"/>
  <c r="Q1408" i="2"/>
  <c r="P1408" i="2"/>
  <c r="R1408" i="2" s="1"/>
  <c r="O1408" i="2"/>
  <c r="N1408" i="2"/>
  <c r="M1408" i="2"/>
  <c r="L1408" i="2"/>
  <c r="V1408" i="2" s="1"/>
  <c r="U1407" i="2"/>
  <c r="S1407" i="2"/>
  <c r="T1407" i="2" s="1"/>
  <c r="P1407" i="2"/>
  <c r="R1407" i="2" s="1"/>
  <c r="O1407" i="2"/>
  <c r="N1407" i="2"/>
  <c r="M1407" i="2"/>
  <c r="L1407" i="2"/>
  <c r="V1407" i="2" s="1"/>
  <c r="U1406" i="2"/>
  <c r="S1406" i="2"/>
  <c r="T1406" i="2" s="1"/>
  <c r="Q1406" i="2"/>
  <c r="P1406" i="2"/>
  <c r="R1406" i="2" s="1"/>
  <c r="O1406" i="2"/>
  <c r="N1406" i="2"/>
  <c r="M1406" i="2"/>
  <c r="L1406" i="2"/>
  <c r="V1406" i="2" s="1"/>
  <c r="U1405" i="2"/>
  <c r="S1405" i="2"/>
  <c r="T1405" i="2" s="1"/>
  <c r="Q1405" i="2"/>
  <c r="P1405" i="2"/>
  <c r="R1405" i="2" s="1"/>
  <c r="O1405" i="2"/>
  <c r="N1405" i="2"/>
  <c r="M1405" i="2"/>
  <c r="L1405" i="2"/>
  <c r="V1405" i="2" s="1"/>
  <c r="U1404" i="2"/>
  <c r="S1404" i="2"/>
  <c r="T1404" i="2" s="1"/>
  <c r="Q1404" i="2"/>
  <c r="P1404" i="2"/>
  <c r="R1404" i="2" s="1"/>
  <c r="O1404" i="2"/>
  <c r="N1404" i="2"/>
  <c r="M1404" i="2"/>
  <c r="L1404" i="2"/>
  <c r="V1404" i="2" s="1"/>
  <c r="U1403" i="2"/>
  <c r="S1403" i="2"/>
  <c r="T1403" i="2" s="1"/>
  <c r="Q1403" i="2"/>
  <c r="P1403" i="2"/>
  <c r="R1403" i="2" s="1"/>
  <c r="O1403" i="2"/>
  <c r="N1403" i="2"/>
  <c r="M1403" i="2"/>
  <c r="L1403" i="2"/>
  <c r="V1403" i="2" s="1"/>
  <c r="U1402" i="2"/>
  <c r="S1402" i="2"/>
  <c r="T1402" i="2" s="1"/>
  <c r="Q1402" i="2"/>
  <c r="P1402" i="2"/>
  <c r="R1402" i="2" s="1"/>
  <c r="O1402" i="2"/>
  <c r="N1402" i="2"/>
  <c r="M1402" i="2"/>
  <c r="L1402" i="2"/>
  <c r="V1402" i="2" s="1"/>
  <c r="U1401" i="2"/>
  <c r="S1401" i="2"/>
  <c r="T1401" i="2" s="1"/>
  <c r="P1401" i="2"/>
  <c r="R1401" i="2" s="1"/>
  <c r="O1401" i="2"/>
  <c r="N1401" i="2"/>
  <c r="M1401" i="2"/>
  <c r="L1401" i="2"/>
  <c r="V1401" i="2" s="1"/>
  <c r="U1400" i="2"/>
  <c r="S1400" i="2"/>
  <c r="T1400" i="2" s="1"/>
  <c r="Q1400" i="2"/>
  <c r="P1400" i="2"/>
  <c r="R1400" i="2" s="1"/>
  <c r="O1400" i="2"/>
  <c r="N1400" i="2"/>
  <c r="M1400" i="2"/>
  <c r="L1400" i="2"/>
  <c r="V1400" i="2" s="1"/>
  <c r="U1399" i="2"/>
  <c r="S1399" i="2"/>
  <c r="T1399" i="2" s="1"/>
  <c r="Q1399" i="2"/>
  <c r="P1399" i="2"/>
  <c r="R1399" i="2" s="1"/>
  <c r="O1399" i="2"/>
  <c r="N1399" i="2"/>
  <c r="M1399" i="2"/>
  <c r="L1399" i="2"/>
  <c r="V1399" i="2" s="1"/>
  <c r="U1398" i="2"/>
  <c r="S1398" i="2"/>
  <c r="T1398" i="2" s="1"/>
  <c r="P1398" i="2"/>
  <c r="R1398" i="2" s="1"/>
  <c r="O1398" i="2"/>
  <c r="N1398" i="2"/>
  <c r="M1398" i="2"/>
  <c r="L1398" i="2"/>
  <c r="V1398" i="2" s="1"/>
  <c r="U1397" i="2"/>
  <c r="S1397" i="2"/>
  <c r="T1397" i="2" s="1"/>
  <c r="Q1397" i="2"/>
  <c r="P1397" i="2"/>
  <c r="R1397" i="2" s="1"/>
  <c r="O1397" i="2"/>
  <c r="N1397" i="2"/>
  <c r="M1397" i="2"/>
  <c r="L1397" i="2"/>
  <c r="V1397" i="2" s="1"/>
  <c r="U1396" i="2"/>
  <c r="S1396" i="2"/>
  <c r="T1396" i="2" s="1"/>
  <c r="Q1396" i="2"/>
  <c r="P1396" i="2"/>
  <c r="R1396" i="2" s="1"/>
  <c r="O1396" i="2"/>
  <c r="N1396" i="2"/>
  <c r="M1396" i="2"/>
  <c r="L1396" i="2"/>
  <c r="V1396" i="2" s="1"/>
  <c r="U1395" i="2"/>
  <c r="S1395" i="2"/>
  <c r="T1395" i="2" s="1"/>
  <c r="Q1395" i="2"/>
  <c r="P1395" i="2"/>
  <c r="R1395" i="2" s="1"/>
  <c r="O1395" i="2"/>
  <c r="N1395" i="2"/>
  <c r="M1395" i="2"/>
  <c r="L1395" i="2"/>
  <c r="V1395" i="2" s="1"/>
  <c r="U1394" i="2"/>
  <c r="S1394" i="2"/>
  <c r="T1394" i="2" s="1"/>
  <c r="Q1394" i="2"/>
  <c r="P1394" i="2"/>
  <c r="R1394" i="2" s="1"/>
  <c r="O1394" i="2"/>
  <c r="N1394" i="2"/>
  <c r="M1394" i="2"/>
  <c r="L1394" i="2"/>
  <c r="V1394" i="2" s="1"/>
  <c r="U1393" i="2"/>
  <c r="S1393" i="2"/>
  <c r="T1393" i="2" s="1"/>
  <c r="Q1393" i="2"/>
  <c r="P1393" i="2"/>
  <c r="R1393" i="2" s="1"/>
  <c r="O1393" i="2"/>
  <c r="N1393" i="2"/>
  <c r="M1393" i="2"/>
  <c r="L1393" i="2"/>
  <c r="V1393" i="2" s="1"/>
  <c r="U1392" i="2"/>
  <c r="S1392" i="2"/>
  <c r="T1392" i="2" s="1"/>
  <c r="Q1392" i="2"/>
  <c r="P1392" i="2"/>
  <c r="R1392" i="2" s="1"/>
  <c r="O1392" i="2"/>
  <c r="N1392" i="2"/>
  <c r="M1392" i="2"/>
  <c r="L1392" i="2"/>
  <c r="V1392" i="2" s="1"/>
  <c r="U1391" i="2"/>
  <c r="S1391" i="2"/>
  <c r="T1391" i="2" s="1"/>
  <c r="P1391" i="2"/>
  <c r="R1391" i="2" s="1"/>
  <c r="O1391" i="2"/>
  <c r="N1391" i="2"/>
  <c r="M1391" i="2"/>
  <c r="L1391" i="2"/>
  <c r="V1391" i="2" s="1"/>
  <c r="U1390" i="2"/>
  <c r="S1390" i="2"/>
  <c r="T1390" i="2" s="1"/>
  <c r="Q1390" i="2"/>
  <c r="P1390" i="2"/>
  <c r="R1390" i="2" s="1"/>
  <c r="O1390" i="2"/>
  <c r="N1390" i="2"/>
  <c r="M1390" i="2"/>
  <c r="L1390" i="2"/>
  <c r="V1390" i="2" s="1"/>
  <c r="U1389" i="2"/>
  <c r="S1389" i="2"/>
  <c r="T1389" i="2" s="1"/>
  <c r="P1389" i="2"/>
  <c r="R1389" i="2" s="1"/>
  <c r="O1389" i="2"/>
  <c r="N1389" i="2"/>
  <c r="M1389" i="2"/>
  <c r="L1389" i="2"/>
  <c r="V1389" i="2" s="1"/>
  <c r="U1388" i="2"/>
  <c r="S1388" i="2"/>
  <c r="T1388" i="2" s="1"/>
  <c r="P1388" i="2"/>
  <c r="R1388" i="2" s="1"/>
  <c r="O1388" i="2"/>
  <c r="N1388" i="2"/>
  <c r="M1388" i="2"/>
  <c r="L1388" i="2"/>
  <c r="V1388" i="2" s="1"/>
  <c r="U1387" i="2"/>
  <c r="S1387" i="2"/>
  <c r="T1387" i="2" s="1"/>
  <c r="Q1387" i="2"/>
  <c r="P1387" i="2"/>
  <c r="R1387" i="2" s="1"/>
  <c r="O1387" i="2"/>
  <c r="N1387" i="2"/>
  <c r="M1387" i="2"/>
  <c r="L1387" i="2"/>
  <c r="V1387" i="2" s="1"/>
  <c r="U1386" i="2"/>
  <c r="S1386" i="2"/>
  <c r="T1386" i="2" s="1"/>
  <c r="Q1386" i="2"/>
  <c r="P1386" i="2"/>
  <c r="R1386" i="2" s="1"/>
  <c r="O1386" i="2"/>
  <c r="N1386" i="2"/>
  <c r="M1386" i="2"/>
  <c r="L1386" i="2"/>
  <c r="V1386" i="2" s="1"/>
  <c r="U1385" i="2"/>
  <c r="S1385" i="2"/>
  <c r="T1385" i="2" s="1"/>
  <c r="P1385" i="2"/>
  <c r="R1385" i="2" s="1"/>
  <c r="O1385" i="2"/>
  <c r="N1385" i="2"/>
  <c r="M1385" i="2"/>
  <c r="L1385" i="2"/>
  <c r="V1385" i="2" s="1"/>
  <c r="U1384" i="2"/>
  <c r="S1384" i="2"/>
  <c r="T1384" i="2" s="1"/>
  <c r="Q1384" i="2"/>
  <c r="P1384" i="2"/>
  <c r="R1384" i="2" s="1"/>
  <c r="O1384" i="2"/>
  <c r="N1384" i="2"/>
  <c r="M1384" i="2"/>
  <c r="L1384" i="2"/>
  <c r="V1384" i="2" s="1"/>
  <c r="U1383" i="2"/>
  <c r="S1383" i="2"/>
  <c r="T1383" i="2" s="1"/>
  <c r="Q1383" i="2"/>
  <c r="P1383" i="2"/>
  <c r="R1383" i="2" s="1"/>
  <c r="O1383" i="2"/>
  <c r="N1383" i="2"/>
  <c r="M1383" i="2"/>
  <c r="L1383" i="2"/>
  <c r="V1383" i="2" s="1"/>
  <c r="U1382" i="2"/>
  <c r="S1382" i="2"/>
  <c r="T1382" i="2" s="1"/>
  <c r="Q1382" i="2"/>
  <c r="P1382" i="2"/>
  <c r="R1382" i="2" s="1"/>
  <c r="O1382" i="2"/>
  <c r="N1382" i="2"/>
  <c r="M1382" i="2"/>
  <c r="L1382" i="2"/>
  <c r="V1382" i="2" s="1"/>
  <c r="U1381" i="2"/>
  <c r="S1381" i="2"/>
  <c r="T1381" i="2" s="1"/>
  <c r="P1381" i="2"/>
  <c r="R1381" i="2" s="1"/>
  <c r="O1381" i="2"/>
  <c r="N1381" i="2"/>
  <c r="M1381" i="2"/>
  <c r="L1381" i="2"/>
  <c r="V1381" i="2" s="1"/>
  <c r="U1380" i="2"/>
  <c r="S1380" i="2"/>
  <c r="T1380" i="2" s="1"/>
  <c r="Q1380" i="2"/>
  <c r="P1380" i="2"/>
  <c r="R1380" i="2" s="1"/>
  <c r="O1380" i="2"/>
  <c r="N1380" i="2"/>
  <c r="M1380" i="2"/>
  <c r="L1380" i="2"/>
  <c r="V1380" i="2" s="1"/>
  <c r="U1379" i="2"/>
  <c r="S1379" i="2"/>
  <c r="T1379" i="2" s="1"/>
  <c r="Q1379" i="2"/>
  <c r="P1379" i="2"/>
  <c r="R1379" i="2" s="1"/>
  <c r="O1379" i="2"/>
  <c r="N1379" i="2"/>
  <c r="M1379" i="2"/>
  <c r="L1379" i="2"/>
  <c r="V1379" i="2" s="1"/>
  <c r="U1378" i="2"/>
  <c r="S1378" i="2"/>
  <c r="T1378" i="2" s="1"/>
  <c r="Q1378" i="2"/>
  <c r="P1378" i="2"/>
  <c r="R1378" i="2" s="1"/>
  <c r="O1378" i="2"/>
  <c r="N1378" i="2"/>
  <c r="M1378" i="2"/>
  <c r="L1378" i="2"/>
  <c r="V1378" i="2" s="1"/>
  <c r="U1377" i="2"/>
  <c r="S1377" i="2"/>
  <c r="T1377" i="2" s="1"/>
  <c r="Q1377" i="2"/>
  <c r="P1377" i="2"/>
  <c r="R1377" i="2" s="1"/>
  <c r="O1377" i="2"/>
  <c r="N1377" i="2"/>
  <c r="M1377" i="2"/>
  <c r="L1377" i="2"/>
  <c r="V1377" i="2" s="1"/>
  <c r="U1376" i="2"/>
  <c r="S1376" i="2"/>
  <c r="T1376" i="2" s="1"/>
  <c r="Q1376" i="2"/>
  <c r="P1376" i="2"/>
  <c r="R1376" i="2" s="1"/>
  <c r="O1376" i="2"/>
  <c r="N1376" i="2"/>
  <c r="M1376" i="2"/>
  <c r="L1376" i="2"/>
  <c r="V1376" i="2" s="1"/>
  <c r="U1375" i="2"/>
  <c r="S1375" i="2"/>
  <c r="T1375" i="2" s="1"/>
  <c r="Q1375" i="2"/>
  <c r="P1375" i="2"/>
  <c r="R1375" i="2" s="1"/>
  <c r="O1375" i="2"/>
  <c r="N1375" i="2"/>
  <c r="M1375" i="2"/>
  <c r="L1375" i="2"/>
  <c r="V1375" i="2" s="1"/>
  <c r="U1374" i="2"/>
  <c r="S1374" i="2"/>
  <c r="T1374" i="2" s="1"/>
  <c r="P1374" i="2"/>
  <c r="R1374" i="2" s="1"/>
  <c r="O1374" i="2"/>
  <c r="N1374" i="2"/>
  <c r="M1374" i="2"/>
  <c r="L1374" i="2"/>
  <c r="V1374" i="2" s="1"/>
  <c r="U1373" i="2"/>
  <c r="S1373" i="2"/>
  <c r="T1373" i="2" s="1"/>
  <c r="Q1373" i="2"/>
  <c r="P1373" i="2"/>
  <c r="R1373" i="2" s="1"/>
  <c r="O1373" i="2"/>
  <c r="N1373" i="2"/>
  <c r="M1373" i="2"/>
  <c r="L1373" i="2"/>
  <c r="V1373" i="2" s="1"/>
  <c r="U1372" i="2"/>
  <c r="S1372" i="2"/>
  <c r="T1372" i="2" s="1"/>
  <c r="Q1372" i="2"/>
  <c r="P1372" i="2"/>
  <c r="R1372" i="2" s="1"/>
  <c r="O1372" i="2"/>
  <c r="N1372" i="2"/>
  <c r="M1372" i="2"/>
  <c r="L1372" i="2"/>
  <c r="V1372" i="2" s="1"/>
  <c r="U1371" i="2"/>
  <c r="S1371" i="2"/>
  <c r="T1371" i="2" s="1"/>
  <c r="Q1371" i="2"/>
  <c r="P1371" i="2"/>
  <c r="R1371" i="2" s="1"/>
  <c r="O1371" i="2"/>
  <c r="N1371" i="2"/>
  <c r="M1371" i="2"/>
  <c r="L1371" i="2"/>
  <c r="V1371" i="2" s="1"/>
  <c r="U1370" i="2"/>
  <c r="S1370" i="2"/>
  <c r="T1370" i="2" s="1"/>
  <c r="Q1370" i="2"/>
  <c r="P1370" i="2"/>
  <c r="R1370" i="2" s="1"/>
  <c r="O1370" i="2"/>
  <c r="N1370" i="2"/>
  <c r="M1370" i="2"/>
  <c r="L1370" i="2"/>
  <c r="V1370" i="2" s="1"/>
  <c r="U1369" i="2"/>
  <c r="S1369" i="2"/>
  <c r="T1369" i="2" s="1"/>
  <c r="Q1369" i="2"/>
  <c r="P1369" i="2"/>
  <c r="R1369" i="2" s="1"/>
  <c r="O1369" i="2"/>
  <c r="N1369" i="2"/>
  <c r="M1369" i="2"/>
  <c r="L1369" i="2"/>
  <c r="V1369" i="2" s="1"/>
  <c r="U1368" i="2"/>
  <c r="S1368" i="2"/>
  <c r="T1368" i="2" s="1"/>
  <c r="Q1368" i="2"/>
  <c r="P1368" i="2"/>
  <c r="R1368" i="2" s="1"/>
  <c r="O1368" i="2"/>
  <c r="N1368" i="2"/>
  <c r="M1368" i="2"/>
  <c r="L1368" i="2"/>
  <c r="V1368" i="2" s="1"/>
  <c r="U1367" i="2"/>
  <c r="S1367" i="2"/>
  <c r="T1367" i="2" s="1"/>
  <c r="P1367" i="2"/>
  <c r="R1367" i="2" s="1"/>
  <c r="O1367" i="2"/>
  <c r="N1367" i="2"/>
  <c r="M1367" i="2"/>
  <c r="L1367" i="2"/>
  <c r="V1367" i="2" s="1"/>
  <c r="U1366" i="2"/>
  <c r="S1366" i="2"/>
  <c r="T1366" i="2" s="1"/>
  <c r="Q1366" i="2"/>
  <c r="P1366" i="2"/>
  <c r="R1366" i="2" s="1"/>
  <c r="O1366" i="2"/>
  <c r="N1366" i="2"/>
  <c r="M1366" i="2"/>
  <c r="L1366" i="2"/>
  <c r="V1366" i="2" s="1"/>
  <c r="U1365" i="2"/>
  <c r="S1365" i="2"/>
  <c r="T1365" i="2" s="1"/>
  <c r="Q1365" i="2"/>
  <c r="P1365" i="2"/>
  <c r="R1365" i="2" s="1"/>
  <c r="O1365" i="2"/>
  <c r="N1365" i="2"/>
  <c r="M1365" i="2"/>
  <c r="L1365" i="2"/>
  <c r="V1365" i="2" s="1"/>
  <c r="U1364" i="2"/>
  <c r="S1364" i="2"/>
  <c r="T1364" i="2" s="1"/>
  <c r="Q1364" i="2"/>
  <c r="P1364" i="2"/>
  <c r="R1364" i="2" s="1"/>
  <c r="O1364" i="2"/>
  <c r="N1364" i="2"/>
  <c r="M1364" i="2"/>
  <c r="L1364" i="2"/>
  <c r="V1364" i="2" s="1"/>
  <c r="U1363" i="2"/>
  <c r="S1363" i="2"/>
  <c r="T1363" i="2" s="1"/>
  <c r="R1363" i="2"/>
  <c r="Q1363" i="2"/>
  <c r="P1363" i="2"/>
  <c r="O1363" i="2"/>
  <c r="N1363" i="2"/>
  <c r="M1363" i="2"/>
  <c r="L1363" i="2"/>
  <c r="V1363" i="2" s="1"/>
  <c r="U1362" i="2"/>
  <c r="S1362" i="2"/>
  <c r="T1362" i="2" s="1"/>
  <c r="P1362" i="2"/>
  <c r="R1362" i="2" s="1"/>
  <c r="O1362" i="2"/>
  <c r="N1362" i="2"/>
  <c r="M1362" i="2"/>
  <c r="L1362" i="2"/>
  <c r="V1362" i="2" s="1"/>
  <c r="U1361" i="2"/>
  <c r="S1361" i="2"/>
  <c r="T1361" i="2" s="1"/>
  <c r="Q1361" i="2"/>
  <c r="P1361" i="2"/>
  <c r="R1361" i="2" s="1"/>
  <c r="O1361" i="2"/>
  <c r="N1361" i="2"/>
  <c r="M1361" i="2"/>
  <c r="L1361" i="2"/>
  <c r="V1361" i="2" s="1"/>
  <c r="U1360" i="2"/>
  <c r="S1360" i="2"/>
  <c r="T1360" i="2" s="1"/>
  <c r="P1360" i="2"/>
  <c r="R1360" i="2" s="1"/>
  <c r="O1360" i="2"/>
  <c r="N1360" i="2"/>
  <c r="M1360" i="2"/>
  <c r="L1360" i="2"/>
  <c r="V1360" i="2" s="1"/>
  <c r="U1359" i="2"/>
  <c r="S1359" i="2"/>
  <c r="T1359" i="2" s="1"/>
  <c r="Q1359" i="2"/>
  <c r="P1359" i="2"/>
  <c r="R1359" i="2" s="1"/>
  <c r="O1359" i="2"/>
  <c r="N1359" i="2"/>
  <c r="M1359" i="2"/>
  <c r="L1359" i="2"/>
  <c r="V1359" i="2" s="1"/>
  <c r="U1358" i="2"/>
  <c r="S1358" i="2"/>
  <c r="T1358" i="2" s="1"/>
  <c r="Q1358" i="2"/>
  <c r="P1358" i="2"/>
  <c r="R1358" i="2" s="1"/>
  <c r="O1358" i="2"/>
  <c r="N1358" i="2"/>
  <c r="M1358" i="2"/>
  <c r="L1358" i="2"/>
  <c r="V1358" i="2" s="1"/>
  <c r="U1357" i="2"/>
  <c r="S1357" i="2"/>
  <c r="T1357" i="2" s="1"/>
  <c r="P1357" i="2"/>
  <c r="R1357" i="2" s="1"/>
  <c r="O1357" i="2"/>
  <c r="N1357" i="2"/>
  <c r="M1357" i="2"/>
  <c r="L1357" i="2"/>
  <c r="V1357" i="2" s="1"/>
  <c r="U1356" i="2"/>
  <c r="S1356" i="2"/>
  <c r="T1356" i="2" s="1"/>
  <c r="Q1356" i="2"/>
  <c r="P1356" i="2"/>
  <c r="R1356" i="2" s="1"/>
  <c r="O1356" i="2"/>
  <c r="N1356" i="2"/>
  <c r="M1356" i="2"/>
  <c r="L1356" i="2"/>
  <c r="V1356" i="2" s="1"/>
  <c r="U1355" i="2"/>
  <c r="S1355" i="2"/>
  <c r="T1355" i="2" s="1"/>
  <c r="Q1355" i="2"/>
  <c r="P1355" i="2"/>
  <c r="R1355" i="2" s="1"/>
  <c r="O1355" i="2"/>
  <c r="N1355" i="2"/>
  <c r="M1355" i="2"/>
  <c r="L1355" i="2"/>
  <c r="V1355" i="2" s="1"/>
  <c r="U1354" i="2"/>
  <c r="S1354" i="2"/>
  <c r="T1354" i="2" s="1"/>
  <c r="Q1354" i="2"/>
  <c r="P1354" i="2"/>
  <c r="R1354" i="2" s="1"/>
  <c r="O1354" i="2"/>
  <c r="N1354" i="2"/>
  <c r="M1354" i="2"/>
  <c r="L1354" i="2"/>
  <c r="V1354" i="2" s="1"/>
  <c r="U1353" i="2"/>
  <c r="S1353" i="2"/>
  <c r="T1353" i="2" s="1"/>
  <c r="Q1353" i="2"/>
  <c r="P1353" i="2"/>
  <c r="R1353" i="2" s="1"/>
  <c r="O1353" i="2"/>
  <c r="N1353" i="2"/>
  <c r="M1353" i="2"/>
  <c r="L1353" i="2"/>
  <c r="V1353" i="2" s="1"/>
  <c r="U1352" i="2"/>
  <c r="S1352" i="2"/>
  <c r="T1352" i="2" s="1"/>
  <c r="Q1352" i="2"/>
  <c r="P1352" i="2"/>
  <c r="R1352" i="2" s="1"/>
  <c r="O1352" i="2"/>
  <c r="N1352" i="2"/>
  <c r="M1352" i="2"/>
  <c r="L1352" i="2"/>
  <c r="V1352" i="2" s="1"/>
  <c r="U1351" i="2"/>
  <c r="S1351" i="2"/>
  <c r="T1351" i="2" s="1"/>
  <c r="Q1351" i="2"/>
  <c r="P1351" i="2"/>
  <c r="R1351" i="2" s="1"/>
  <c r="O1351" i="2"/>
  <c r="N1351" i="2"/>
  <c r="M1351" i="2"/>
  <c r="L1351" i="2"/>
  <c r="V1351" i="2" s="1"/>
  <c r="U1350" i="2"/>
  <c r="S1350" i="2"/>
  <c r="T1350" i="2" s="1"/>
  <c r="P1350" i="2"/>
  <c r="R1350" i="2" s="1"/>
  <c r="O1350" i="2"/>
  <c r="N1350" i="2"/>
  <c r="M1350" i="2"/>
  <c r="L1350" i="2"/>
  <c r="V1350" i="2" s="1"/>
  <c r="U1349" i="2"/>
  <c r="S1349" i="2"/>
  <c r="T1349" i="2" s="1"/>
  <c r="Q1349" i="2"/>
  <c r="P1349" i="2"/>
  <c r="R1349" i="2" s="1"/>
  <c r="O1349" i="2"/>
  <c r="N1349" i="2"/>
  <c r="M1349" i="2"/>
  <c r="L1349" i="2"/>
  <c r="V1349" i="2" s="1"/>
  <c r="U1348" i="2"/>
  <c r="S1348" i="2"/>
  <c r="T1348" i="2" s="1"/>
  <c r="P1348" i="2"/>
  <c r="R1348" i="2" s="1"/>
  <c r="O1348" i="2"/>
  <c r="N1348" i="2"/>
  <c r="M1348" i="2"/>
  <c r="L1348" i="2"/>
  <c r="V1348" i="2" s="1"/>
  <c r="U1347" i="2"/>
  <c r="S1347" i="2"/>
  <c r="T1347" i="2" s="1"/>
  <c r="P1347" i="2"/>
  <c r="R1347" i="2" s="1"/>
  <c r="O1347" i="2"/>
  <c r="N1347" i="2"/>
  <c r="M1347" i="2"/>
  <c r="L1347" i="2"/>
  <c r="V1347" i="2" s="1"/>
  <c r="U1346" i="2"/>
  <c r="S1346" i="2"/>
  <c r="T1346" i="2" s="1"/>
  <c r="Q1346" i="2"/>
  <c r="P1346" i="2"/>
  <c r="R1346" i="2" s="1"/>
  <c r="O1346" i="2"/>
  <c r="N1346" i="2"/>
  <c r="M1346" i="2"/>
  <c r="L1346" i="2"/>
  <c r="V1346" i="2" s="1"/>
  <c r="U1345" i="2"/>
  <c r="S1345" i="2"/>
  <c r="T1345" i="2" s="1"/>
  <c r="Q1345" i="2"/>
  <c r="P1345" i="2"/>
  <c r="R1345" i="2" s="1"/>
  <c r="O1345" i="2"/>
  <c r="N1345" i="2"/>
  <c r="M1345" i="2"/>
  <c r="L1345" i="2"/>
  <c r="V1345" i="2" s="1"/>
  <c r="U1344" i="2"/>
  <c r="S1344" i="2"/>
  <c r="T1344" i="2" s="1"/>
  <c r="Q1344" i="2"/>
  <c r="P1344" i="2"/>
  <c r="R1344" i="2" s="1"/>
  <c r="O1344" i="2"/>
  <c r="N1344" i="2"/>
  <c r="M1344" i="2"/>
  <c r="L1344" i="2"/>
  <c r="V1344" i="2" s="1"/>
  <c r="U1343" i="2"/>
  <c r="S1343" i="2"/>
  <c r="T1343" i="2" s="1"/>
  <c r="P1343" i="2"/>
  <c r="R1343" i="2" s="1"/>
  <c r="O1343" i="2"/>
  <c r="N1343" i="2"/>
  <c r="M1343" i="2"/>
  <c r="L1343" i="2"/>
  <c r="V1343" i="2" s="1"/>
  <c r="U1342" i="2"/>
  <c r="S1342" i="2"/>
  <c r="T1342" i="2" s="1"/>
  <c r="P1342" i="2"/>
  <c r="R1342" i="2" s="1"/>
  <c r="O1342" i="2"/>
  <c r="N1342" i="2"/>
  <c r="M1342" i="2"/>
  <c r="L1342" i="2"/>
  <c r="V1342" i="2" s="1"/>
  <c r="U1341" i="2"/>
  <c r="S1341" i="2"/>
  <c r="T1341" i="2" s="1"/>
  <c r="Q1341" i="2"/>
  <c r="P1341" i="2"/>
  <c r="R1341" i="2" s="1"/>
  <c r="O1341" i="2"/>
  <c r="N1341" i="2"/>
  <c r="M1341" i="2"/>
  <c r="L1341" i="2"/>
  <c r="V1341" i="2" s="1"/>
  <c r="U1340" i="2"/>
  <c r="S1340" i="2"/>
  <c r="T1340" i="2" s="1"/>
  <c r="Q1340" i="2"/>
  <c r="P1340" i="2"/>
  <c r="R1340" i="2" s="1"/>
  <c r="O1340" i="2"/>
  <c r="N1340" i="2"/>
  <c r="M1340" i="2"/>
  <c r="L1340" i="2"/>
  <c r="V1340" i="2" s="1"/>
  <c r="U1339" i="2"/>
  <c r="S1339" i="2"/>
  <c r="T1339" i="2" s="1"/>
  <c r="P1339" i="2"/>
  <c r="R1339" i="2" s="1"/>
  <c r="O1339" i="2"/>
  <c r="N1339" i="2"/>
  <c r="M1339" i="2"/>
  <c r="L1339" i="2"/>
  <c r="V1339" i="2" s="1"/>
  <c r="U1338" i="2"/>
  <c r="S1338" i="2"/>
  <c r="T1338" i="2" s="1"/>
  <c r="Q1338" i="2"/>
  <c r="P1338" i="2"/>
  <c r="R1338" i="2" s="1"/>
  <c r="O1338" i="2"/>
  <c r="N1338" i="2"/>
  <c r="M1338" i="2"/>
  <c r="L1338" i="2"/>
  <c r="V1338" i="2" s="1"/>
  <c r="U1337" i="2"/>
  <c r="S1337" i="2"/>
  <c r="T1337" i="2" s="1"/>
  <c r="Q1337" i="2"/>
  <c r="P1337" i="2"/>
  <c r="R1337" i="2" s="1"/>
  <c r="O1337" i="2"/>
  <c r="N1337" i="2"/>
  <c r="M1337" i="2"/>
  <c r="L1337" i="2"/>
  <c r="V1337" i="2" s="1"/>
  <c r="U1336" i="2"/>
  <c r="S1336" i="2"/>
  <c r="T1336" i="2" s="1"/>
  <c r="P1336" i="2"/>
  <c r="R1336" i="2" s="1"/>
  <c r="O1336" i="2"/>
  <c r="N1336" i="2"/>
  <c r="M1336" i="2"/>
  <c r="L1336" i="2"/>
  <c r="V1336" i="2" s="1"/>
  <c r="U1335" i="2"/>
  <c r="S1335" i="2"/>
  <c r="T1335" i="2" s="1"/>
  <c r="Q1335" i="2"/>
  <c r="P1335" i="2"/>
  <c r="R1335" i="2" s="1"/>
  <c r="O1335" i="2"/>
  <c r="N1335" i="2"/>
  <c r="M1335" i="2"/>
  <c r="L1335" i="2"/>
  <c r="V1335" i="2" s="1"/>
  <c r="U1334" i="2"/>
  <c r="S1334" i="2"/>
  <c r="T1334" i="2" s="1"/>
  <c r="P1334" i="2"/>
  <c r="R1334" i="2" s="1"/>
  <c r="O1334" i="2"/>
  <c r="N1334" i="2"/>
  <c r="M1334" i="2"/>
  <c r="L1334" i="2"/>
  <c r="V1334" i="2" s="1"/>
  <c r="U1333" i="2"/>
  <c r="S1333" i="2"/>
  <c r="T1333" i="2" s="1"/>
  <c r="Q1333" i="2"/>
  <c r="P1333" i="2"/>
  <c r="R1333" i="2" s="1"/>
  <c r="O1333" i="2"/>
  <c r="N1333" i="2"/>
  <c r="M1333" i="2"/>
  <c r="L1333" i="2"/>
  <c r="V1333" i="2" s="1"/>
  <c r="U1332" i="2"/>
  <c r="S1332" i="2"/>
  <c r="T1332" i="2" s="1"/>
  <c r="Q1332" i="2"/>
  <c r="P1332" i="2"/>
  <c r="R1332" i="2" s="1"/>
  <c r="O1332" i="2"/>
  <c r="N1332" i="2"/>
  <c r="M1332" i="2"/>
  <c r="L1332" i="2"/>
  <c r="V1332" i="2" s="1"/>
  <c r="U1331" i="2"/>
  <c r="S1331" i="2"/>
  <c r="T1331" i="2" s="1"/>
  <c r="Q1331" i="2"/>
  <c r="P1331" i="2"/>
  <c r="R1331" i="2" s="1"/>
  <c r="O1331" i="2"/>
  <c r="N1331" i="2"/>
  <c r="M1331" i="2"/>
  <c r="L1331" i="2"/>
  <c r="V1331" i="2" s="1"/>
  <c r="U1330" i="2"/>
  <c r="S1330" i="2"/>
  <c r="T1330" i="2" s="1"/>
  <c r="Q1330" i="2"/>
  <c r="P1330" i="2"/>
  <c r="R1330" i="2" s="1"/>
  <c r="O1330" i="2"/>
  <c r="N1330" i="2"/>
  <c r="M1330" i="2"/>
  <c r="L1330" i="2"/>
  <c r="V1330" i="2" s="1"/>
  <c r="U1329" i="2"/>
  <c r="S1329" i="2"/>
  <c r="T1329" i="2" s="1"/>
  <c r="Q1329" i="2"/>
  <c r="P1329" i="2"/>
  <c r="R1329" i="2" s="1"/>
  <c r="O1329" i="2"/>
  <c r="N1329" i="2"/>
  <c r="M1329" i="2"/>
  <c r="L1329" i="2"/>
  <c r="V1329" i="2" s="1"/>
  <c r="U1328" i="2"/>
  <c r="S1328" i="2"/>
  <c r="T1328" i="2" s="1"/>
  <c r="Q1328" i="2"/>
  <c r="P1328" i="2"/>
  <c r="R1328" i="2" s="1"/>
  <c r="O1328" i="2"/>
  <c r="N1328" i="2"/>
  <c r="M1328" i="2"/>
  <c r="L1328" i="2"/>
  <c r="V1328" i="2" s="1"/>
  <c r="U1327" i="2"/>
  <c r="S1327" i="2"/>
  <c r="T1327" i="2" s="1"/>
  <c r="Q1327" i="2"/>
  <c r="P1327" i="2"/>
  <c r="R1327" i="2" s="1"/>
  <c r="O1327" i="2"/>
  <c r="N1327" i="2"/>
  <c r="M1327" i="2"/>
  <c r="L1327" i="2"/>
  <c r="V1327" i="2" s="1"/>
  <c r="U1326" i="2"/>
  <c r="S1326" i="2"/>
  <c r="T1326" i="2" s="1"/>
  <c r="Q1326" i="2"/>
  <c r="P1326" i="2"/>
  <c r="R1326" i="2" s="1"/>
  <c r="O1326" i="2"/>
  <c r="N1326" i="2"/>
  <c r="M1326" i="2"/>
  <c r="L1326" i="2"/>
  <c r="V1326" i="2" s="1"/>
  <c r="U1325" i="2"/>
  <c r="S1325" i="2"/>
  <c r="T1325" i="2" s="1"/>
  <c r="Q1325" i="2"/>
  <c r="P1325" i="2"/>
  <c r="R1325" i="2" s="1"/>
  <c r="O1325" i="2"/>
  <c r="N1325" i="2"/>
  <c r="M1325" i="2"/>
  <c r="L1325" i="2"/>
  <c r="V1325" i="2" s="1"/>
  <c r="U1324" i="2"/>
  <c r="S1324" i="2"/>
  <c r="T1324" i="2" s="1"/>
  <c r="Q1324" i="2"/>
  <c r="P1324" i="2"/>
  <c r="R1324" i="2" s="1"/>
  <c r="O1324" i="2"/>
  <c r="N1324" i="2"/>
  <c r="M1324" i="2"/>
  <c r="L1324" i="2"/>
  <c r="V1324" i="2" s="1"/>
  <c r="U1323" i="2"/>
  <c r="S1323" i="2"/>
  <c r="T1323" i="2" s="1"/>
  <c r="P1323" i="2"/>
  <c r="R1323" i="2" s="1"/>
  <c r="O1323" i="2"/>
  <c r="N1323" i="2"/>
  <c r="M1323" i="2"/>
  <c r="L1323" i="2"/>
  <c r="V1323" i="2" s="1"/>
  <c r="U1322" i="2"/>
  <c r="S1322" i="2"/>
  <c r="T1322" i="2" s="1"/>
  <c r="Q1322" i="2"/>
  <c r="P1322" i="2"/>
  <c r="R1322" i="2" s="1"/>
  <c r="O1322" i="2"/>
  <c r="N1322" i="2"/>
  <c r="M1322" i="2"/>
  <c r="L1322" i="2"/>
  <c r="V1322" i="2" s="1"/>
  <c r="U1321" i="2"/>
  <c r="S1321" i="2"/>
  <c r="T1321" i="2" s="1"/>
  <c r="Q1321" i="2"/>
  <c r="P1321" i="2"/>
  <c r="R1321" i="2" s="1"/>
  <c r="O1321" i="2"/>
  <c r="N1321" i="2"/>
  <c r="M1321" i="2"/>
  <c r="L1321" i="2"/>
  <c r="V1321" i="2" s="1"/>
  <c r="U1320" i="2"/>
  <c r="S1320" i="2"/>
  <c r="T1320" i="2" s="1"/>
  <c r="Q1320" i="2"/>
  <c r="P1320" i="2"/>
  <c r="R1320" i="2" s="1"/>
  <c r="O1320" i="2"/>
  <c r="N1320" i="2"/>
  <c r="M1320" i="2"/>
  <c r="L1320" i="2"/>
  <c r="V1320" i="2" s="1"/>
  <c r="U1319" i="2"/>
  <c r="S1319" i="2"/>
  <c r="T1319" i="2" s="1"/>
  <c r="Q1319" i="2"/>
  <c r="P1319" i="2"/>
  <c r="R1319" i="2" s="1"/>
  <c r="O1319" i="2"/>
  <c r="N1319" i="2"/>
  <c r="M1319" i="2"/>
  <c r="L1319" i="2"/>
  <c r="V1319" i="2" s="1"/>
  <c r="U1318" i="2"/>
  <c r="S1318" i="2"/>
  <c r="T1318" i="2" s="1"/>
  <c r="P1318" i="2"/>
  <c r="R1318" i="2" s="1"/>
  <c r="O1318" i="2"/>
  <c r="N1318" i="2"/>
  <c r="M1318" i="2"/>
  <c r="L1318" i="2"/>
  <c r="V1318" i="2" s="1"/>
  <c r="U1317" i="2"/>
  <c r="S1317" i="2"/>
  <c r="T1317" i="2" s="1"/>
  <c r="Q1317" i="2"/>
  <c r="P1317" i="2"/>
  <c r="R1317" i="2" s="1"/>
  <c r="O1317" i="2"/>
  <c r="N1317" i="2"/>
  <c r="M1317" i="2"/>
  <c r="L1317" i="2"/>
  <c r="V1317" i="2" s="1"/>
  <c r="U1316" i="2"/>
  <c r="S1316" i="2"/>
  <c r="T1316" i="2" s="1"/>
  <c r="Q1316" i="2"/>
  <c r="P1316" i="2"/>
  <c r="R1316" i="2" s="1"/>
  <c r="O1316" i="2"/>
  <c r="N1316" i="2"/>
  <c r="M1316" i="2"/>
  <c r="L1316" i="2"/>
  <c r="V1316" i="2" s="1"/>
  <c r="U1315" i="2"/>
  <c r="S1315" i="2"/>
  <c r="T1315" i="2" s="1"/>
  <c r="Q1315" i="2"/>
  <c r="P1315" i="2"/>
  <c r="R1315" i="2" s="1"/>
  <c r="O1315" i="2"/>
  <c r="N1315" i="2"/>
  <c r="M1315" i="2"/>
  <c r="L1315" i="2"/>
  <c r="V1315" i="2" s="1"/>
  <c r="U1314" i="2"/>
  <c r="S1314" i="2"/>
  <c r="T1314" i="2" s="1"/>
  <c r="Q1314" i="2"/>
  <c r="P1314" i="2"/>
  <c r="R1314" i="2" s="1"/>
  <c r="O1314" i="2"/>
  <c r="N1314" i="2"/>
  <c r="M1314" i="2"/>
  <c r="L1314" i="2"/>
  <c r="V1314" i="2" s="1"/>
  <c r="U1313" i="2"/>
  <c r="S1313" i="2"/>
  <c r="T1313" i="2" s="1"/>
  <c r="Q1313" i="2"/>
  <c r="P1313" i="2"/>
  <c r="R1313" i="2" s="1"/>
  <c r="O1313" i="2"/>
  <c r="N1313" i="2"/>
  <c r="M1313" i="2"/>
  <c r="L1313" i="2"/>
  <c r="V1313" i="2" s="1"/>
  <c r="U1312" i="2"/>
  <c r="S1312" i="2"/>
  <c r="T1312" i="2" s="1"/>
  <c r="Q1312" i="2"/>
  <c r="P1312" i="2"/>
  <c r="R1312" i="2" s="1"/>
  <c r="O1312" i="2"/>
  <c r="N1312" i="2"/>
  <c r="M1312" i="2"/>
  <c r="L1312" i="2"/>
  <c r="V1312" i="2" s="1"/>
  <c r="U1311" i="2"/>
  <c r="S1311" i="2"/>
  <c r="T1311" i="2" s="1"/>
  <c r="P1311" i="2"/>
  <c r="R1311" i="2" s="1"/>
  <c r="O1311" i="2"/>
  <c r="N1311" i="2"/>
  <c r="M1311" i="2"/>
  <c r="L1311" i="2"/>
  <c r="V1311" i="2" s="1"/>
  <c r="U1310" i="2"/>
  <c r="S1310" i="2"/>
  <c r="T1310" i="2" s="1"/>
  <c r="Q1310" i="2"/>
  <c r="P1310" i="2"/>
  <c r="R1310" i="2" s="1"/>
  <c r="O1310" i="2"/>
  <c r="N1310" i="2"/>
  <c r="M1310" i="2"/>
  <c r="L1310" i="2"/>
  <c r="V1310" i="2" s="1"/>
  <c r="U1309" i="2"/>
  <c r="S1309" i="2"/>
  <c r="T1309" i="2" s="1"/>
  <c r="Q1309" i="2"/>
  <c r="P1309" i="2"/>
  <c r="R1309" i="2" s="1"/>
  <c r="O1309" i="2"/>
  <c r="N1309" i="2"/>
  <c r="M1309" i="2"/>
  <c r="L1309" i="2"/>
  <c r="V1309" i="2" s="1"/>
  <c r="U1308" i="2"/>
  <c r="S1308" i="2"/>
  <c r="T1308" i="2" s="1"/>
  <c r="Q1308" i="2"/>
  <c r="P1308" i="2"/>
  <c r="R1308" i="2" s="1"/>
  <c r="O1308" i="2"/>
  <c r="N1308" i="2"/>
  <c r="M1308" i="2"/>
  <c r="L1308" i="2"/>
  <c r="V1308" i="2" s="1"/>
  <c r="U1307" i="2"/>
  <c r="S1307" i="2"/>
  <c r="T1307" i="2" s="1"/>
  <c r="Q1307" i="2"/>
  <c r="P1307" i="2"/>
  <c r="R1307" i="2" s="1"/>
  <c r="O1307" i="2"/>
  <c r="N1307" i="2"/>
  <c r="M1307" i="2"/>
  <c r="L1307" i="2"/>
  <c r="V1307" i="2" s="1"/>
  <c r="U1306" i="2"/>
  <c r="S1306" i="2"/>
  <c r="T1306" i="2" s="1"/>
  <c r="Q1306" i="2"/>
  <c r="P1306" i="2"/>
  <c r="R1306" i="2" s="1"/>
  <c r="O1306" i="2"/>
  <c r="N1306" i="2"/>
  <c r="M1306" i="2"/>
  <c r="L1306" i="2"/>
  <c r="V1306" i="2" s="1"/>
  <c r="U1305" i="2"/>
  <c r="S1305" i="2"/>
  <c r="T1305" i="2" s="1"/>
  <c r="Q1305" i="2"/>
  <c r="P1305" i="2"/>
  <c r="R1305" i="2" s="1"/>
  <c r="O1305" i="2"/>
  <c r="N1305" i="2"/>
  <c r="M1305" i="2"/>
  <c r="L1305" i="2"/>
  <c r="V1305" i="2" s="1"/>
  <c r="U1304" i="2"/>
  <c r="S1304" i="2"/>
  <c r="T1304" i="2" s="1"/>
  <c r="Q1304" i="2"/>
  <c r="P1304" i="2"/>
  <c r="R1304" i="2" s="1"/>
  <c r="O1304" i="2"/>
  <c r="N1304" i="2"/>
  <c r="M1304" i="2"/>
  <c r="L1304" i="2"/>
  <c r="V1304" i="2" s="1"/>
  <c r="U1303" i="2"/>
  <c r="S1303" i="2"/>
  <c r="T1303" i="2" s="1"/>
  <c r="P1303" i="2"/>
  <c r="R1303" i="2" s="1"/>
  <c r="O1303" i="2"/>
  <c r="N1303" i="2"/>
  <c r="M1303" i="2"/>
  <c r="L1303" i="2"/>
  <c r="V1303" i="2" s="1"/>
  <c r="U1302" i="2"/>
  <c r="S1302" i="2"/>
  <c r="T1302" i="2" s="1"/>
  <c r="Q1302" i="2"/>
  <c r="P1302" i="2"/>
  <c r="R1302" i="2" s="1"/>
  <c r="O1302" i="2"/>
  <c r="N1302" i="2"/>
  <c r="M1302" i="2"/>
  <c r="L1302" i="2"/>
  <c r="V1302" i="2" s="1"/>
  <c r="U1301" i="2"/>
  <c r="S1301" i="2"/>
  <c r="T1301" i="2" s="1"/>
  <c r="P1301" i="2"/>
  <c r="R1301" i="2" s="1"/>
  <c r="O1301" i="2"/>
  <c r="N1301" i="2"/>
  <c r="M1301" i="2"/>
  <c r="L1301" i="2"/>
  <c r="V1301" i="2" s="1"/>
  <c r="U1300" i="2"/>
  <c r="S1300" i="2"/>
  <c r="T1300" i="2" s="1"/>
  <c r="Q1300" i="2"/>
  <c r="P1300" i="2"/>
  <c r="R1300" i="2" s="1"/>
  <c r="O1300" i="2"/>
  <c r="N1300" i="2"/>
  <c r="M1300" i="2"/>
  <c r="L1300" i="2"/>
  <c r="V1300" i="2" s="1"/>
  <c r="U1299" i="2"/>
  <c r="S1299" i="2"/>
  <c r="T1299" i="2" s="1"/>
  <c r="Q1299" i="2"/>
  <c r="P1299" i="2"/>
  <c r="R1299" i="2" s="1"/>
  <c r="O1299" i="2"/>
  <c r="N1299" i="2"/>
  <c r="M1299" i="2"/>
  <c r="L1299" i="2"/>
  <c r="V1299" i="2" s="1"/>
  <c r="U1298" i="2"/>
  <c r="S1298" i="2"/>
  <c r="T1298" i="2" s="1"/>
  <c r="Q1298" i="2"/>
  <c r="P1298" i="2"/>
  <c r="R1298" i="2" s="1"/>
  <c r="O1298" i="2"/>
  <c r="N1298" i="2"/>
  <c r="M1298" i="2"/>
  <c r="L1298" i="2"/>
  <c r="V1298" i="2" s="1"/>
  <c r="U1297" i="2"/>
  <c r="S1297" i="2"/>
  <c r="T1297" i="2" s="1"/>
  <c r="Q1297" i="2"/>
  <c r="P1297" i="2"/>
  <c r="R1297" i="2" s="1"/>
  <c r="O1297" i="2"/>
  <c r="N1297" i="2"/>
  <c r="M1297" i="2"/>
  <c r="L1297" i="2"/>
  <c r="V1297" i="2" s="1"/>
  <c r="U1296" i="2"/>
  <c r="S1296" i="2"/>
  <c r="T1296" i="2" s="1"/>
  <c r="Q1296" i="2"/>
  <c r="P1296" i="2"/>
  <c r="R1296" i="2" s="1"/>
  <c r="O1296" i="2"/>
  <c r="N1296" i="2"/>
  <c r="M1296" i="2"/>
  <c r="L1296" i="2"/>
  <c r="V1296" i="2" s="1"/>
  <c r="U1295" i="2"/>
  <c r="S1295" i="2"/>
  <c r="T1295" i="2" s="1"/>
  <c r="Q1295" i="2"/>
  <c r="P1295" i="2"/>
  <c r="R1295" i="2" s="1"/>
  <c r="O1295" i="2"/>
  <c r="N1295" i="2"/>
  <c r="M1295" i="2"/>
  <c r="L1295" i="2"/>
  <c r="V1295" i="2" s="1"/>
  <c r="U1294" i="2"/>
  <c r="S1294" i="2"/>
  <c r="T1294" i="2" s="1"/>
  <c r="P1294" i="2"/>
  <c r="R1294" i="2" s="1"/>
  <c r="O1294" i="2"/>
  <c r="N1294" i="2"/>
  <c r="M1294" i="2"/>
  <c r="L1294" i="2"/>
  <c r="V1294" i="2" s="1"/>
  <c r="U1293" i="2"/>
  <c r="S1293" i="2"/>
  <c r="T1293" i="2" s="1"/>
  <c r="Q1293" i="2"/>
  <c r="P1293" i="2"/>
  <c r="R1293" i="2" s="1"/>
  <c r="O1293" i="2"/>
  <c r="N1293" i="2"/>
  <c r="M1293" i="2"/>
  <c r="L1293" i="2"/>
  <c r="V1293" i="2" s="1"/>
  <c r="U1292" i="2"/>
  <c r="S1292" i="2"/>
  <c r="T1292" i="2" s="1"/>
  <c r="P1292" i="2"/>
  <c r="R1292" i="2" s="1"/>
  <c r="O1292" i="2"/>
  <c r="N1292" i="2"/>
  <c r="M1292" i="2"/>
  <c r="L1292" i="2"/>
  <c r="V1292" i="2" s="1"/>
  <c r="U1291" i="2"/>
  <c r="S1291" i="2"/>
  <c r="T1291" i="2" s="1"/>
  <c r="P1291" i="2"/>
  <c r="R1291" i="2" s="1"/>
  <c r="O1291" i="2"/>
  <c r="N1291" i="2"/>
  <c r="M1291" i="2"/>
  <c r="L1291" i="2"/>
  <c r="V1291" i="2" s="1"/>
  <c r="U1290" i="2"/>
  <c r="S1290" i="2"/>
  <c r="T1290" i="2" s="1"/>
  <c r="Q1290" i="2"/>
  <c r="P1290" i="2"/>
  <c r="R1290" i="2" s="1"/>
  <c r="O1290" i="2"/>
  <c r="N1290" i="2"/>
  <c r="M1290" i="2"/>
  <c r="L1290" i="2"/>
  <c r="V1290" i="2" s="1"/>
  <c r="U1289" i="2"/>
  <c r="S1289" i="2"/>
  <c r="T1289" i="2" s="1"/>
  <c r="Q1289" i="2"/>
  <c r="P1289" i="2"/>
  <c r="R1289" i="2" s="1"/>
  <c r="O1289" i="2"/>
  <c r="N1289" i="2"/>
  <c r="M1289" i="2"/>
  <c r="L1289" i="2"/>
  <c r="V1289" i="2" s="1"/>
  <c r="U1288" i="2"/>
  <c r="S1288" i="2"/>
  <c r="T1288" i="2" s="1"/>
  <c r="P1288" i="2"/>
  <c r="R1288" i="2" s="1"/>
  <c r="O1288" i="2"/>
  <c r="N1288" i="2"/>
  <c r="M1288" i="2"/>
  <c r="L1288" i="2"/>
  <c r="V1288" i="2" s="1"/>
  <c r="U1287" i="2"/>
  <c r="T1287" i="2"/>
  <c r="S1287" i="2"/>
  <c r="P1287" i="2"/>
  <c r="R1287" i="2" s="1"/>
  <c r="O1287" i="2"/>
  <c r="N1287" i="2"/>
  <c r="M1287" i="2"/>
  <c r="L1287" i="2"/>
  <c r="V1287" i="2" s="1"/>
  <c r="U1286" i="2"/>
  <c r="S1286" i="2"/>
  <c r="T1286" i="2" s="1"/>
  <c r="P1286" i="2"/>
  <c r="R1286" i="2" s="1"/>
  <c r="O1286" i="2"/>
  <c r="N1286" i="2"/>
  <c r="M1286" i="2"/>
  <c r="L1286" i="2"/>
  <c r="V1286" i="2" s="1"/>
  <c r="U1285" i="2"/>
  <c r="S1285" i="2"/>
  <c r="T1285" i="2" s="1"/>
  <c r="Q1285" i="2"/>
  <c r="P1285" i="2"/>
  <c r="R1285" i="2" s="1"/>
  <c r="O1285" i="2"/>
  <c r="N1285" i="2"/>
  <c r="M1285" i="2"/>
  <c r="L1285" i="2"/>
  <c r="V1285" i="2" s="1"/>
  <c r="U1284" i="2"/>
  <c r="S1284" i="2"/>
  <c r="T1284" i="2" s="1"/>
  <c r="P1284" i="2"/>
  <c r="R1284" i="2" s="1"/>
  <c r="O1284" i="2"/>
  <c r="N1284" i="2"/>
  <c r="M1284" i="2"/>
  <c r="L1284" i="2"/>
  <c r="V1284" i="2" s="1"/>
  <c r="U1283" i="2"/>
  <c r="S1283" i="2"/>
  <c r="T1283" i="2" s="1"/>
  <c r="Q1283" i="2"/>
  <c r="P1283" i="2"/>
  <c r="R1283" i="2" s="1"/>
  <c r="O1283" i="2"/>
  <c r="N1283" i="2"/>
  <c r="M1283" i="2"/>
  <c r="L1283" i="2"/>
  <c r="V1283" i="2" s="1"/>
  <c r="U1282" i="2"/>
  <c r="T1282" i="2"/>
  <c r="S1282" i="2"/>
  <c r="Q1282" i="2"/>
  <c r="P1282" i="2"/>
  <c r="R1282" i="2" s="1"/>
  <c r="O1282" i="2"/>
  <c r="N1282" i="2"/>
  <c r="M1282" i="2"/>
  <c r="L1282" i="2"/>
  <c r="V1282" i="2" s="1"/>
  <c r="U1281" i="2"/>
  <c r="S1281" i="2"/>
  <c r="T1281" i="2" s="1"/>
  <c r="Q1281" i="2"/>
  <c r="P1281" i="2"/>
  <c r="R1281" i="2" s="1"/>
  <c r="O1281" i="2"/>
  <c r="N1281" i="2"/>
  <c r="M1281" i="2"/>
  <c r="L1281" i="2"/>
  <c r="V1281" i="2" s="1"/>
  <c r="U1280" i="2"/>
  <c r="S1280" i="2"/>
  <c r="T1280" i="2" s="1"/>
  <c r="Q1280" i="2"/>
  <c r="P1280" i="2"/>
  <c r="R1280" i="2" s="1"/>
  <c r="O1280" i="2"/>
  <c r="N1280" i="2"/>
  <c r="M1280" i="2"/>
  <c r="L1280" i="2"/>
  <c r="V1280" i="2" s="1"/>
  <c r="U1279" i="2"/>
  <c r="S1279" i="2"/>
  <c r="T1279" i="2" s="1"/>
  <c r="Q1279" i="2"/>
  <c r="P1279" i="2"/>
  <c r="R1279" i="2" s="1"/>
  <c r="O1279" i="2"/>
  <c r="N1279" i="2"/>
  <c r="M1279" i="2"/>
  <c r="L1279" i="2"/>
  <c r="V1279" i="2" s="1"/>
  <c r="U1278" i="2"/>
  <c r="S1278" i="2"/>
  <c r="T1278" i="2" s="1"/>
  <c r="Q1278" i="2"/>
  <c r="P1278" i="2"/>
  <c r="R1278" i="2" s="1"/>
  <c r="O1278" i="2"/>
  <c r="N1278" i="2"/>
  <c r="M1278" i="2"/>
  <c r="L1278" i="2"/>
  <c r="V1278" i="2" s="1"/>
  <c r="U1277" i="2"/>
  <c r="S1277" i="2"/>
  <c r="T1277" i="2" s="1"/>
  <c r="P1277" i="2"/>
  <c r="R1277" i="2" s="1"/>
  <c r="O1277" i="2"/>
  <c r="N1277" i="2"/>
  <c r="M1277" i="2"/>
  <c r="L1277" i="2"/>
  <c r="V1277" i="2" s="1"/>
  <c r="U1276" i="2"/>
  <c r="S1276" i="2"/>
  <c r="T1276" i="2" s="1"/>
  <c r="Q1276" i="2"/>
  <c r="P1276" i="2"/>
  <c r="R1276" i="2" s="1"/>
  <c r="O1276" i="2"/>
  <c r="N1276" i="2"/>
  <c r="M1276" i="2"/>
  <c r="L1276" i="2"/>
  <c r="V1276" i="2" s="1"/>
  <c r="U1275" i="2"/>
  <c r="S1275" i="2"/>
  <c r="T1275" i="2" s="1"/>
  <c r="Q1275" i="2"/>
  <c r="P1275" i="2"/>
  <c r="R1275" i="2" s="1"/>
  <c r="O1275" i="2"/>
  <c r="N1275" i="2"/>
  <c r="M1275" i="2"/>
  <c r="L1275" i="2"/>
  <c r="V1275" i="2" s="1"/>
  <c r="U1274" i="2"/>
  <c r="S1274" i="2"/>
  <c r="T1274" i="2" s="1"/>
  <c r="Q1274" i="2"/>
  <c r="P1274" i="2"/>
  <c r="R1274" i="2" s="1"/>
  <c r="O1274" i="2"/>
  <c r="N1274" i="2"/>
  <c r="M1274" i="2"/>
  <c r="L1274" i="2"/>
  <c r="V1274" i="2" s="1"/>
  <c r="U1273" i="2"/>
  <c r="S1273" i="2"/>
  <c r="T1273" i="2" s="1"/>
  <c r="Q1273" i="2"/>
  <c r="P1273" i="2"/>
  <c r="R1273" i="2" s="1"/>
  <c r="O1273" i="2"/>
  <c r="N1273" i="2"/>
  <c r="M1273" i="2"/>
  <c r="L1273" i="2"/>
  <c r="V1273" i="2" s="1"/>
  <c r="U1272" i="2"/>
  <c r="S1272" i="2"/>
  <c r="T1272" i="2" s="1"/>
  <c r="Q1272" i="2"/>
  <c r="P1272" i="2"/>
  <c r="R1272" i="2" s="1"/>
  <c r="O1272" i="2"/>
  <c r="N1272" i="2"/>
  <c r="M1272" i="2"/>
  <c r="L1272" i="2"/>
  <c r="V1272" i="2" s="1"/>
  <c r="U1271" i="2"/>
  <c r="S1271" i="2"/>
  <c r="T1271" i="2" s="1"/>
  <c r="P1271" i="2"/>
  <c r="R1271" i="2" s="1"/>
  <c r="O1271" i="2"/>
  <c r="N1271" i="2"/>
  <c r="M1271" i="2"/>
  <c r="L1271" i="2"/>
  <c r="V1271" i="2" s="1"/>
  <c r="U1270" i="2"/>
  <c r="S1270" i="2"/>
  <c r="T1270" i="2" s="1"/>
  <c r="Q1270" i="2"/>
  <c r="P1270" i="2"/>
  <c r="R1270" i="2" s="1"/>
  <c r="O1270" i="2"/>
  <c r="N1270" i="2"/>
  <c r="M1270" i="2"/>
  <c r="L1270" i="2"/>
  <c r="V1270" i="2" s="1"/>
  <c r="U1269" i="2"/>
  <c r="S1269" i="2"/>
  <c r="T1269" i="2" s="1"/>
  <c r="Q1269" i="2"/>
  <c r="P1269" i="2"/>
  <c r="R1269" i="2" s="1"/>
  <c r="O1269" i="2"/>
  <c r="N1269" i="2"/>
  <c r="M1269" i="2"/>
  <c r="L1269" i="2"/>
  <c r="V1269" i="2" s="1"/>
  <c r="U1268" i="2"/>
  <c r="S1268" i="2"/>
  <c r="T1268" i="2" s="1"/>
  <c r="Q1268" i="2"/>
  <c r="P1268" i="2"/>
  <c r="R1268" i="2" s="1"/>
  <c r="O1268" i="2"/>
  <c r="N1268" i="2"/>
  <c r="M1268" i="2"/>
  <c r="L1268" i="2"/>
  <c r="V1268" i="2" s="1"/>
  <c r="U1267" i="2"/>
  <c r="S1267" i="2"/>
  <c r="T1267" i="2" s="1"/>
  <c r="Q1267" i="2"/>
  <c r="P1267" i="2"/>
  <c r="R1267" i="2" s="1"/>
  <c r="O1267" i="2"/>
  <c r="N1267" i="2"/>
  <c r="M1267" i="2"/>
  <c r="L1267" i="2"/>
  <c r="V1267" i="2" s="1"/>
  <c r="U1266" i="2"/>
  <c r="S1266" i="2"/>
  <c r="T1266" i="2" s="1"/>
  <c r="P1266" i="2"/>
  <c r="R1266" i="2" s="1"/>
  <c r="O1266" i="2"/>
  <c r="N1266" i="2"/>
  <c r="M1266" i="2"/>
  <c r="L1266" i="2"/>
  <c r="V1266" i="2" s="1"/>
  <c r="U1265" i="2"/>
  <c r="S1265" i="2"/>
  <c r="T1265" i="2" s="1"/>
  <c r="Q1265" i="2"/>
  <c r="P1265" i="2"/>
  <c r="R1265" i="2" s="1"/>
  <c r="O1265" i="2"/>
  <c r="N1265" i="2"/>
  <c r="M1265" i="2"/>
  <c r="L1265" i="2"/>
  <c r="V1265" i="2" s="1"/>
  <c r="U1264" i="2"/>
  <c r="S1264" i="2"/>
  <c r="T1264" i="2" s="1"/>
  <c r="Q1264" i="2"/>
  <c r="P1264" i="2"/>
  <c r="R1264" i="2" s="1"/>
  <c r="O1264" i="2"/>
  <c r="N1264" i="2"/>
  <c r="M1264" i="2"/>
  <c r="L1264" i="2"/>
  <c r="V1264" i="2" s="1"/>
  <c r="U1263" i="2"/>
  <c r="S1263" i="2"/>
  <c r="T1263" i="2" s="1"/>
  <c r="P1263" i="2"/>
  <c r="R1263" i="2" s="1"/>
  <c r="O1263" i="2"/>
  <c r="N1263" i="2"/>
  <c r="M1263" i="2"/>
  <c r="L1263" i="2"/>
  <c r="V1263" i="2" s="1"/>
  <c r="U1262" i="2"/>
  <c r="S1262" i="2"/>
  <c r="T1262" i="2" s="1"/>
  <c r="Q1262" i="2"/>
  <c r="P1262" i="2"/>
  <c r="R1262" i="2" s="1"/>
  <c r="O1262" i="2"/>
  <c r="N1262" i="2"/>
  <c r="M1262" i="2"/>
  <c r="L1262" i="2"/>
  <c r="V1262" i="2" s="1"/>
  <c r="U1261" i="2"/>
  <c r="S1261" i="2"/>
  <c r="T1261" i="2" s="1"/>
  <c r="Q1261" i="2"/>
  <c r="P1261" i="2"/>
  <c r="R1261" i="2" s="1"/>
  <c r="O1261" i="2"/>
  <c r="N1261" i="2"/>
  <c r="M1261" i="2"/>
  <c r="L1261" i="2"/>
  <c r="V1261" i="2" s="1"/>
  <c r="U1260" i="2"/>
  <c r="S1260" i="2"/>
  <c r="T1260" i="2" s="1"/>
  <c r="Q1260" i="2"/>
  <c r="P1260" i="2"/>
  <c r="R1260" i="2" s="1"/>
  <c r="O1260" i="2"/>
  <c r="N1260" i="2"/>
  <c r="M1260" i="2"/>
  <c r="L1260" i="2"/>
  <c r="V1260" i="2" s="1"/>
  <c r="U1259" i="2"/>
  <c r="S1259" i="2"/>
  <c r="T1259" i="2" s="1"/>
  <c r="Q1259" i="2"/>
  <c r="P1259" i="2"/>
  <c r="R1259" i="2" s="1"/>
  <c r="O1259" i="2"/>
  <c r="N1259" i="2"/>
  <c r="M1259" i="2"/>
  <c r="L1259" i="2"/>
  <c r="V1259" i="2" s="1"/>
  <c r="U1258" i="2"/>
  <c r="S1258" i="2"/>
  <c r="T1258" i="2" s="1"/>
  <c r="Q1258" i="2"/>
  <c r="P1258" i="2"/>
  <c r="R1258" i="2" s="1"/>
  <c r="O1258" i="2"/>
  <c r="N1258" i="2"/>
  <c r="M1258" i="2"/>
  <c r="L1258" i="2"/>
  <c r="V1258" i="2" s="1"/>
  <c r="U1257" i="2"/>
  <c r="S1257" i="2"/>
  <c r="T1257" i="2" s="1"/>
  <c r="Q1257" i="2"/>
  <c r="P1257" i="2"/>
  <c r="R1257" i="2" s="1"/>
  <c r="O1257" i="2"/>
  <c r="N1257" i="2"/>
  <c r="M1257" i="2"/>
  <c r="L1257" i="2"/>
  <c r="V1257" i="2" s="1"/>
  <c r="U1256" i="2"/>
  <c r="S1256" i="2"/>
  <c r="T1256" i="2" s="1"/>
  <c r="Q1256" i="2"/>
  <c r="P1256" i="2"/>
  <c r="R1256" i="2" s="1"/>
  <c r="O1256" i="2"/>
  <c r="N1256" i="2"/>
  <c r="M1256" i="2"/>
  <c r="L1256" i="2"/>
  <c r="V1256" i="2" s="1"/>
  <c r="U1255" i="2"/>
  <c r="S1255" i="2"/>
  <c r="T1255" i="2" s="1"/>
  <c r="Q1255" i="2"/>
  <c r="P1255" i="2"/>
  <c r="R1255" i="2" s="1"/>
  <c r="O1255" i="2"/>
  <c r="N1255" i="2"/>
  <c r="M1255" i="2"/>
  <c r="L1255" i="2"/>
  <c r="V1255" i="2" s="1"/>
  <c r="U1254" i="2"/>
  <c r="S1254" i="2"/>
  <c r="T1254" i="2" s="1"/>
  <c r="Q1254" i="2"/>
  <c r="P1254" i="2"/>
  <c r="R1254" i="2" s="1"/>
  <c r="O1254" i="2"/>
  <c r="N1254" i="2"/>
  <c r="M1254" i="2"/>
  <c r="L1254" i="2"/>
  <c r="V1254" i="2" s="1"/>
  <c r="U1253" i="2"/>
  <c r="S1253" i="2"/>
  <c r="T1253" i="2" s="1"/>
  <c r="Q1253" i="2"/>
  <c r="P1253" i="2"/>
  <c r="R1253" i="2" s="1"/>
  <c r="O1253" i="2"/>
  <c r="N1253" i="2"/>
  <c r="M1253" i="2"/>
  <c r="L1253" i="2"/>
  <c r="V1253" i="2" s="1"/>
  <c r="U1252" i="2"/>
  <c r="S1252" i="2"/>
  <c r="T1252" i="2" s="1"/>
  <c r="Q1252" i="2"/>
  <c r="P1252" i="2"/>
  <c r="R1252" i="2" s="1"/>
  <c r="O1252" i="2"/>
  <c r="N1252" i="2"/>
  <c r="M1252" i="2"/>
  <c r="L1252" i="2"/>
  <c r="V1252" i="2" s="1"/>
  <c r="U1251" i="2"/>
  <c r="S1251" i="2"/>
  <c r="T1251" i="2" s="1"/>
  <c r="P1251" i="2"/>
  <c r="R1251" i="2" s="1"/>
  <c r="O1251" i="2"/>
  <c r="N1251" i="2"/>
  <c r="M1251" i="2"/>
  <c r="L1251" i="2"/>
  <c r="V1251" i="2" s="1"/>
  <c r="U1250" i="2"/>
  <c r="S1250" i="2"/>
  <c r="T1250" i="2" s="1"/>
  <c r="Q1250" i="2"/>
  <c r="P1250" i="2"/>
  <c r="R1250" i="2" s="1"/>
  <c r="O1250" i="2"/>
  <c r="N1250" i="2"/>
  <c r="M1250" i="2"/>
  <c r="L1250" i="2"/>
  <c r="V1250" i="2" s="1"/>
  <c r="U1249" i="2"/>
  <c r="S1249" i="2"/>
  <c r="T1249" i="2" s="1"/>
  <c r="Q1249" i="2"/>
  <c r="P1249" i="2"/>
  <c r="R1249" i="2" s="1"/>
  <c r="O1249" i="2"/>
  <c r="N1249" i="2"/>
  <c r="M1249" i="2"/>
  <c r="L1249" i="2"/>
  <c r="V1249" i="2" s="1"/>
  <c r="U1248" i="2"/>
  <c r="S1248" i="2"/>
  <c r="T1248" i="2" s="1"/>
  <c r="P1248" i="2"/>
  <c r="R1248" i="2" s="1"/>
  <c r="O1248" i="2"/>
  <c r="N1248" i="2"/>
  <c r="M1248" i="2"/>
  <c r="L1248" i="2"/>
  <c r="V1248" i="2" s="1"/>
  <c r="U1247" i="2"/>
  <c r="S1247" i="2"/>
  <c r="T1247" i="2" s="1"/>
  <c r="P1247" i="2"/>
  <c r="R1247" i="2" s="1"/>
  <c r="O1247" i="2"/>
  <c r="N1247" i="2"/>
  <c r="M1247" i="2"/>
  <c r="L1247" i="2"/>
  <c r="V1247" i="2" s="1"/>
  <c r="U1246" i="2"/>
  <c r="S1246" i="2"/>
  <c r="T1246" i="2" s="1"/>
  <c r="Q1246" i="2"/>
  <c r="P1246" i="2"/>
  <c r="R1246" i="2" s="1"/>
  <c r="O1246" i="2"/>
  <c r="N1246" i="2"/>
  <c r="M1246" i="2"/>
  <c r="L1246" i="2"/>
  <c r="V1246" i="2" s="1"/>
  <c r="U1245" i="2"/>
  <c r="S1245" i="2"/>
  <c r="T1245" i="2" s="1"/>
  <c r="P1245" i="2"/>
  <c r="R1245" i="2" s="1"/>
  <c r="O1245" i="2"/>
  <c r="N1245" i="2"/>
  <c r="M1245" i="2"/>
  <c r="L1245" i="2"/>
  <c r="V1245" i="2" s="1"/>
  <c r="U1244" i="2"/>
  <c r="S1244" i="2"/>
  <c r="T1244" i="2" s="1"/>
  <c r="P1244" i="2"/>
  <c r="R1244" i="2" s="1"/>
  <c r="O1244" i="2"/>
  <c r="N1244" i="2"/>
  <c r="M1244" i="2"/>
  <c r="L1244" i="2"/>
  <c r="V1244" i="2" s="1"/>
  <c r="U1243" i="2"/>
  <c r="S1243" i="2"/>
  <c r="T1243" i="2" s="1"/>
  <c r="P1243" i="2"/>
  <c r="R1243" i="2" s="1"/>
  <c r="O1243" i="2"/>
  <c r="N1243" i="2"/>
  <c r="M1243" i="2"/>
  <c r="L1243" i="2"/>
  <c r="V1243" i="2" s="1"/>
  <c r="U1242" i="2"/>
  <c r="S1242" i="2"/>
  <c r="T1242" i="2" s="1"/>
  <c r="Q1242" i="2"/>
  <c r="P1242" i="2"/>
  <c r="R1242" i="2" s="1"/>
  <c r="O1242" i="2"/>
  <c r="N1242" i="2"/>
  <c r="M1242" i="2"/>
  <c r="L1242" i="2"/>
  <c r="V1242" i="2" s="1"/>
  <c r="U1241" i="2"/>
  <c r="S1241" i="2"/>
  <c r="T1241" i="2" s="1"/>
  <c r="Q1241" i="2"/>
  <c r="P1241" i="2"/>
  <c r="R1241" i="2" s="1"/>
  <c r="O1241" i="2"/>
  <c r="N1241" i="2"/>
  <c r="M1241" i="2"/>
  <c r="L1241" i="2"/>
  <c r="V1241" i="2" s="1"/>
  <c r="U1240" i="2"/>
  <c r="S1240" i="2"/>
  <c r="T1240" i="2" s="1"/>
  <c r="Q1240" i="2"/>
  <c r="P1240" i="2"/>
  <c r="R1240" i="2" s="1"/>
  <c r="O1240" i="2"/>
  <c r="N1240" i="2"/>
  <c r="M1240" i="2"/>
  <c r="L1240" i="2"/>
  <c r="V1240" i="2" s="1"/>
  <c r="U1239" i="2"/>
  <c r="S1239" i="2"/>
  <c r="T1239" i="2" s="1"/>
  <c r="Q1239" i="2"/>
  <c r="P1239" i="2"/>
  <c r="R1239" i="2" s="1"/>
  <c r="O1239" i="2"/>
  <c r="N1239" i="2"/>
  <c r="M1239" i="2"/>
  <c r="L1239" i="2"/>
  <c r="V1239" i="2" s="1"/>
  <c r="U1238" i="2"/>
  <c r="S1238" i="2"/>
  <c r="T1238" i="2" s="1"/>
  <c r="Q1238" i="2"/>
  <c r="P1238" i="2"/>
  <c r="R1238" i="2" s="1"/>
  <c r="O1238" i="2"/>
  <c r="N1238" i="2"/>
  <c r="M1238" i="2"/>
  <c r="L1238" i="2"/>
  <c r="V1238" i="2" s="1"/>
  <c r="U1237" i="2"/>
  <c r="S1237" i="2"/>
  <c r="T1237" i="2" s="1"/>
  <c r="Q1237" i="2"/>
  <c r="P1237" i="2"/>
  <c r="R1237" i="2" s="1"/>
  <c r="O1237" i="2"/>
  <c r="N1237" i="2"/>
  <c r="M1237" i="2"/>
  <c r="L1237" i="2"/>
  <c r="V1237" i="2" s="1"/>
  <c r="U1236" i="2"/>
  <c r="S1236" i="2"/>
  <c r="T1236" i="2" s="1"/>
  <c r="Q1236" i="2"/>
  <c r="P1236" i="2"/>
  <c r="R1236" i="2" s="1"/>
  <c r="O1236" i="2"/>
  <c r="N1236" i="2"/>
  <c r="M1236" i="2"/>
  <c r="L1236" i="2"/>
  <c r="V1236" i="2" s="1"/>
  <c r="U1235" i="2"/>
  <c r="S1235" i="2"/>
  <c r="T1235" i="2" s="1"/>
  <c r="P1235" i="2"/>
  <c r="R1235" i="2" s="1"/>
  <c r="O1235" i="2"/>
  <c r="N1235" i="2"/>
  <c r="M1235" i="2"/>
  <c r="L1235" i="2"/>
  <c r="V1235" i="2" s="1"/>
  <c r="U1234" i="2"/>
  <c r="S1234" i="2"/>
  <c r="T1234" i="2" s="1"/>
  <c r="P1234" i="2"/>
  <c r="R1234" i="2" s="1"/>
  <c r="O1234" i="2"/>
  <c r="N1234" i="2"/>
  <c r="M1234" i="2"/>
  <c r="L1234" i="2"/>
  <c r="V1234" i="2" s="1"/>
  <c r="U1233" i="2"/>
  <c r="S1233" i="2"/>
  <c r="T1233" i="2" s="1"/>
  <c r="Q1233" i="2"/>
  <c r="P1233" i="2"/>
  <c r="R1233" i="2" s="1"/>
  <c r="O1233" i="2"/>
  <c r="N1233" i="2"/>
  <c r="M1233" i="2"/>
  <c r="L1233" i="2"/>
  <c r="V1233" i="2" s="1"/>
  <c r="U1232" i="2"/>
  <c r="S1232" i="2"/>
  <c r="T1232" i="2" s="1"/>
  <c r="P1232" i="2"/>
  <c r="R1232" i="2" s="1"/>
  <c r="O1232" i="2"/>
  <c r="N1232" i="2"/>
  <c r="M1232" i="2"/>
  <c r="L1232" i="2"/>
  <c r="V1232" i="2" s="1"/>
  <c r="U1231" i="2"/>
  <c r="S1231" i="2"/>
  <c r="T1231" i="2" s="1"/>
  <c r="Q1231" i="2"/>
  <c r="P1231" i="2"/>
  <c r="R1231" i="2" s="1"/>
  <c r="O1231" i="2"/>
  <c r="N1231" i="2"/>
  <c r="M1231" i="2"/>
  <c r="L1231" i="2"/>
  <c r="V1231" i="2" s="1"/>
  <c r="U1230" i="2"/>
  <c r="S1230" i="2"/>
  <c r="T1230" i="2" s="1"/>
  <c r="Q1230" i="2"/>
  <c r="P1230" i="2"/>
  <c r="R1230" i="2" s="1"/>
  <c r="O1230" i="2"/>
  <c r="N1230" i="2"/>
  <c r="M1230" i="2"/>
  <c r="L1230" i="2"/>
  <c r="V1230" i="2" s="1"/>
  <c r="U1229" i="2"/>
  <c r="S1229" i="2"/>
  <c r="T1229" i="2" s="1"/>
  <c r="P1229" i="2"/>
  <c r="R1229" i="2" s="1"/>
  <c r="O1229" i="2"/>
  <c r="N1229" i="2"/>
  <c r="M1229" i="2"/>
  <c r="L1229" i="2"/>
  <c r="V1229" i="2" s="1"/>
  <c r="U1228" i="2"/>
  <c r="S1228" i="2"/>
  <c r="T1228" i="2" s="1"/>
  <c r="Q1228" i="2"/>
  <c r="P1228" i="2"/>
  <c r="R1228" i="2" s="1"/>
  <c r="O1228" i="2"/>
  <c r="N1228" i="2"/>
  <c r="M1228" i="2"/>
  <c r="L1228" i="2"/>
  <c r="V1228" i="2" s="1"/>
  <c r="V1227" i="2"/>
  <c r="U1227" i="2"/>
  <c r="S1227" i="2"/>
  <c r="T1227" i="2" s="1"/>
  <c r="Q1227" i="2"/>
  <c r="P1227" i="2"/>
  <c r="R1227" i="2" s="1"/>
  <c r="O1227" i="2"/>
  <c r="N1227" i="2"/>
  <c r="M1227" i="2"/>
  <c r="L1227" i="2"/>
  <c r="U1226" i="2"/>
  <c r="S1226" i="2"/>
  <c r="T1226" i="2" s="1"/>
  <c r="Q1226" i="2"/>
  <c r="P1226" i="2"/>
  <c r="R1226" i="2" s="1"/>
  <c r="O1226" i="2"/>
  <c r="N1226" i="2"/>
  <c r="M1226" i="2"/>
  <c r="L1226" i="2"/>
  <c r="V1226" i="2" s="1"/>
  <c r="U1225" i="2"/>
  <c r="S1225" i="2"/>
  <c r="T1225" i="2" s="1"/>
  <c r="Q1225" i="2"/>
  <c r="P1225" i="2"/>
  <c r="R1225" i="2" s="1"/>
  <c r="O1225" i="2"/>
  <c r="N1225" i="2"/>
  <c r="M1225" i="2"/>
  <c r="L1225" i="2"/>
  <c r="V1225" i="2" s="1"/>
  <c r="U1224" i="2"/>
  <c r="S1224" i="2"/>
  <c r="T1224" i="2" s="1"/>
  <c r="Q1224" i="2"/>
  <c r="P1224" i="2"/>
  <c r="R1224" i="2" s="1"/>
  <c r="O1224" i="2"/>
  <c r="N1224" i="2"/>
  <c r="M1224" i="2"/>
  <c r="L1224" i="2"/>
  <c r="V1224" i="2" s="1"/>
  <c r="U1223" i="2"/>
  <c r="S1223" i="2"/>
  <c r="T1223" i="2" s="1"/>
  <c r="Q1223" i="2"/>
  <c r="P1223" i="2"/>
  <c r="R1223" i="2" s="1"/>
  <c r="O1223" i="2"/>
  <c r="N1223" i="2"/>
  <c r="M1223" i="2"/>
  <c r="L1223" i="2"/>
  <c r="V1223" i="2" s="1"/>
  <c r="U1222" i="2"/>
  <c r="S1222" i="2"/>
  <c r="T1222" i="2" s="1"/>
  <c r="P1222" i="2"/>
  <c r="R1222" i="2" s="1"/>
  <c r="O1222" i="2"/>
  <c r="N1222" i="2"/>
  <c r="M1222" i="2"/>
  <c r="L1222" i="2"/>
  <c r="V1222" i="2" s="1"/>
  <c r="U1221" i="2"/>
  <c r="S1221" i="2"/>
  <c r="T1221" i="2" s="1"/>
  <c r="Q1221" i="2"/>
  <c r="P1221" i="2"/>
  <c r="R1221" i="2" s="1"/>
  <c r="O1221" i="2"/>
  <c r="N1221" i="2"/>
  <c r="M1221" i="2"/>
  <c r="L1221" i="2"/>
  <c r="V1221" i="2" s="1"/>
  <c r="U1220" i="2"/>
  <c r="S1220" i="2"/>
  <c r="T1220" i="2" s="1"/>
  <c r="Q1220" i="2"/>
  <c r="P1220" i="2"/>
  <c r="R1220" i="2" s="1"/>
  <c r="O1220" i="2"/>
  <c r="N1220" i="2"/>
  <c r="M1220" i="2"/>
  <c r="L1220" i="2"/>
  <c r="V1220" i="2" s="1"/>
  <c r="U1219" i="2"/>
  <c r="S1219" i="2"/>
  <c r="T1219" i="2" s="1"/>
  <c r="P1219" i="2"/>
  <c r="R1219" i="2" s="1"/>
  <c r="O1219" i="2"/>
  <c r="N1219" i="2"/>
  <c r="M1219" i="2"/>
  <c r="L1219" i="2"/>
  <c r="V1219" i="2" s="1"/>
  <c r="U1218" i="2"/>
  <c r="S1218" i="2"/>
  <c r="T1218" i="2" s="1"/>
  <c r="P1218" i="2"/>
  <c r="R1218" i="2" s="1"/>
  <c r="O1218" i="2"/>
  <c r="N1218" i="2"/>
  <c r="M1218" i="2"/>
  <c r="L1218" i="2"/>
  <c r="V1218" i="2" s="1"/>
  <c r="U1217" i="2"/>
  <c r="S1217" i="2"/>
  <c r="T1217" i="2" s="1"/>
  <c r="Q1217" i="2"/>
  <c r="P1217" i="2"/>
  <c r="R1217" i="2" s="1"/>
  <c r="O1217" i="2"/>
  <c r="N1217" i="2"/>
  <c r="M1217" i="2"/>
  <c r="L1217" i="2"/>
  <c r="V1217" i="2" s="1"/>
  <c r="U1216" i="2"/>
  <c r="S1216" i="2"/>
  <c r="T1216" i="2" s="1"/>
  <c r="Q1216" i="2"/>
  <c r="P1216" i="2"/>
  <c r="R1216" i="2" s="1"/>
  <c r="O1216" i="2"/>
  <c r="N1216" i="2"/>
  <c r="M1216" i="2"/>
  <c r="L1216" i="2"/>
  <c r="V1216" i="2" s="1"/>
  <c r="U1215" i="2"/>
  <c r="S1215" i="2"/>
  <c r="T1215" i="2" s="1"/>
  <c r="Q1215" i="2"/>
  <c r="P1215" i="2"/>
  <c r="R1215" i="2" s="1"/>
  <c r="O1215" i="2"/>
  <c r="N1215" i="2"/>
  <c r="M1215" i="2"/>
  <c r="L1215" i="2"/>
  <c r="V1215" i="2" s="1"/>
  <c r="U1214" i="2"/>
  <c r="S1214" i="2"/>
  <c r="T1214" i="2" s="1"/>
  <c r="Q1214" i="2"/>
  <c r="P1214" i="2"/>
  <c r="R1214" i="2" s="1"/>
  <c r="O1214" i="2"/>
  <c r="N1214" i="2"/>
  <c r="M1214" i="2"/>
  <c r="L1214" i="2"/>
  <c r="V1214" i="2" s="1"/>
  <c r="U1213" i="2"/>
  <c r="S1213" i="2"/>
  <c r="T1213" i="2" s="1"/>
  <c r="Q1213" i="2"/>
  <c r="P1213" i="2"/>
  <c r="R1213" i="2" s="1"/>
  <c r="O1213" i="2"/>
  <c r="N1213" i="2"/>
  <c r="M1213" i="2"/>
  <c r="L1213" i="2"/>
  <c r="V1213" i="2" s="1"/>
  <c r="U1212" i="2"/>
  <c r="S1212" i="2"/>
  <c r="T1212" i="2" s="1"/>
  <c r="Q1212" i="2"/>
  <c r="P1212" i="2"/>
  <c r="R1212" i="2" s="1"/>
  <c r="O1212" i="2"/>
  <c r="N1212" i="2"/>
  <c r="M1212" i="2"/>
  <c r="L1212" i="2"/>
  <c r="V1212" i="2" s="1"/>
  <c r="U1211" i="2"/>
  <c r="S1211" i="2"/>
  <c r="T1211" i="2" s="1"/>
  <c r="Q1211" i="2"/>
  <c r="P1211" i="2"/>
  <c r="R1211" i="2" s="1"/>
  <c r="O1211" i="2"/>
  <c r="N1211" i="2"/>
  <c r="M1211" i="2"/>
  <c r="L1211" i="2"/>
  <c r="V1211" i="2" s="1"/>
  <c r="U1210" i="2"/>
  <c r="S1210" i="2"/>
  <c r="T1210" i="2" s="1"/>
  <c r="Q1210" i="2"/>
  <c r="P1210" i="2"/>
  <c r="R1210" i="2" s="1"/>
  <c r="O1210" i="2"/>
  <c r="N1210" i="2"/>
  <c r="M1210" i="2"/>
  <c r="L1210" i="2"/>
  <c r="V1210" i="2" s="1"/>
  <c r="U1209" i="2"/>
  <c r="S1209" i="2"/>
  <c r="T1209" i="2" s="1"/>
  <c r="Q1209" i="2"/>
  <c r="P1209" i="2"/>
  <c r="R1209" i="2" s="1"/>
  <c r="O1209" i="2"/>
  <c r="N1209" i="2"/>
  <c r="M1209" i="2"/>
  <c r="L1209" i="2"/>
  <c r="V1209" i="2" s="1"/>
  <c r="U1208" i="2"/>
  <c r="S1208" i="2"/>
  <c r="T1208" i="2" s="1"/>
  <c r="Q1208" i="2"/>
  <c r="P1208" i="2"/>
  <c r="R1208" i="2" s="1"/>
  <c r="O1208" i="2"/>
  <c r="N1208" i="2"/>
  <c r="M1208" i="2"/>
  <c r="L1208" i="2"/>
  <c r="V1208" i="2" s="1"/>
  <c r="U1207" i="2"/>
  <c r="S1207" i="2"/>
  <c r="T1207" i="2" s="1"/>
  <c r="Q1207" i="2"/>
  <c r="P1207" i="2"/>
  <c r="R1207" i="2" s="1"/>
  <c r="O1207" i="2"/>
  <c r="N1207" i="2"/>
  <c r="M1207" i="2"/>
  <c r="L1207" i="2"/>
  <c r="V1207" i="2" s="1"/>
  <c r="U1206" i="2"/>
  <c r="S1206" i="2"/>
  <c r="T1206" i="2" s="1"/>
  <c r="Q1206" i="2"/>
  <c r="P1206" i="2"/>
  <c r="R1206" i="2" s="1"/>
  <c r="O1206" i="2"/>
  <c r="N1206" i="2"/>
  <c r="M1206" i="2"/>
  <c r="L1206" i="2"/>
  <c r="V1206" i="2" s="1"/>
  <c r="U1205" i="2"/>
  <c r="S1205" i="2"/>
  <c r="T1205" i="2" s="1"/>
  <c r="Q1205" i="2"/>
  <c r="P1205" i="2"/>
  <c r="R1205" i="2" s="1"/>
  <c r="O1205" i="2"/>
  <c r="N1205" i="2"/>
  <c r="M1205" i="2"/>
  <c r="L1205" i="2"/>
  <c r="V1205" i="2" s="1"/>
  <c r="U1204" i="2"/>
  <c r="S1204" i="2"/>
  <c r="T1204" i="2" s="1"/>
  <c r="Q1204" i="2"/>
  <c r="P1204" i="2"/>
  <c r="R1204" i="2" s="1"/>
  <c r="O1204" i="2"/>
  <c r="N1204" i="2"/>
  <c r="M1204" i="2"/>
  <c r="L1204" i="2"/>
  <c r="V1204" i="2" s="1"/>
  <c r="U1203" i="2"/>
  <c r="S1203" i="2"/>
  <c r="T1203" i="2" s="1"/>
  <c r="Q1203" i="2"/>
  <c r="P1203" i="2"/>
  <c r="R1203" i="2" s="1"/>
  <c r="O1203" i="2"/>
  <c r="N1203" i="2"/>
  <c r="M1203" i="2"/>
  <c r="L1203" i="2"/>
  <c r="V1203" i="2" s="1"/>
  <c r="U1202" i="2"/>
  <c r="S1202" i="2"/>
  <c r="T1202" i="2" s="1"/>
  <c r="Q1202" i="2"/>
  <c r="P1202" i="2"/>
  <c r="R1202" i="2" s="1"/>
  <c r="O1202" i="2"/>
  <c r="N1202" i="2"/>
  <c r="M1202" i="2"/>
  <c r="L1202" i="2"/>
  <c r="V1202" i="2" s="1"/>
  <c r="U1201" i="2"/>
  <c r="S1201" i="2"/>
  <c r="T1201" i="2" s="1"/>
  <c r="Q1201" i="2"/>
  <c r="P1201" i="2"/>
  <c r="R1201" i="2" s="1"/>
  <c r="O1201" i="2"/>
  <c r="N1201" i="2"/>
  <c r="M1201" i="2"/>
  <c r="L1201" i="2"/>
  <c r="V1201" i="2" s="1"/>
  <c r="U1200" i="2"/>
  <c r="S1200" i="2"/>
  <c r="T1200" i="2" s="1"/>
  <c r="Q1200" i="2"/>
  <c r="P1200" i="2"/>
  <c r="R1200" i="2" s="1"/>
  <c r="O1200" i="2"/>
  <c r="N1200" i="2"/>
  <c r="M1200" i="2"/>
  <c r="L1200" i="2"/>
  <c r="V1200" i="2" s="1"/>
  <c r="U1199" i="2"/>
  <c r="S1199" i="2"/>
  <c r="T1199" i="2" s="1"/>
  <c r="Q1199" i="2"/>
  <c r="P1199" i="2"/>
  <c r="R1199" i="2" s="1"/>
  <c r="O1199" i="2"/>
  <c r="N1199" i="2"/>
  <c r="M1199" i="2"/>
  <c r="L1199" i="2"/>
  <c r="V1199" i="2" s="1"/>
  <c r="U1198" i="2"/>
  <c r="S1198" i="2"/>
  <c r="T1198" i="2" s="1"/>
  <c r="P1198" i="2"/>
  <c r="R1198" i="2" s="1"/>
  <c r="O1198" i="2"/>
  <c r="N1198" i="2"/>
  <c r="M1198" i="2"/>
  <c r="L1198" i="2"/>
  <c r="V1198" i="2" s="1"/>
  <c r="U1197" i="2"/>
  <c r="S1197" i="2"/>
  <c r="T1197" i="2" s="1"/>
  <c r="Q1197" i="2"/>
  <c r="P1197" i="2"/>
  <c r="R1197" i="2" s="1"/>
  <c r="O1197" i="2"/>
  <c r="N1197" i="2"/>
  <c r="M1197" i="2"/>
  <c r="L1197" i="2"/>
  <c r="V1197" i="2" s="1"/>
  <c r="U1196" i="2"/>
  <c r="S1196" i="2"/>
  <c r="T1196" i="2" s="1"/>
  <c r="Q1196" i="2"/>
  <c r="P1196" i="2"/>
  <c r="R1196" i="2" s="1"/>
  <c r="O1196" i="2"/>
  <c r="N1196" i="2"/>
  <c r="M1196" i="2"/>
  <c r="L1196" i="2"/>
  <c r="V1196" i="2" s="1"/>
  <c r="U1195" i="2"/>
  <c r="S1195" i="2"/>
  <c r="T1195" i="2" s="1"/>
  <c r="Q1195" i="2"/>
  <c r="P1195" i="2"/>
  <c r="R1195" i="2" s="1"/>
  <c r="O1195" i="2"/>
  <c r="N1195" i="2"/>
  <c r="M1195" i="2"/>
  <c r="L1195" i="2"/>
  <c r="V1195" i="2" s="1"/>
  <c r="U1194" i="2"/>
  <c r="S1194" i="2"/>
  <c r="T1194" i="2" s="1"/>
  <c r="Q1194" i="2"/>
  <c r="P1194" i="2"/>
  <c r="R1194" i="2" s="1"/>
  <c r="O1194" i="2"/>
  <c r="N1194" i="2"/>
  <c r="M1194" i="2"/>
  <c r="L1194" i="2"/>
  <c r="V1194" i="2" s="1"/>
  <c r="U1193" i="2"/>
  <c r="S1193" i="2"/>
  <c r="T1193" i="2" s="1"/>
  <c r="Q1193" i="2"/>
  <c r="P1193" i="2"/>
  <c r="R1193" i="2" s="1"/>
  <c r="O1193" i="2"/>
  <c r="N1193" i="2"/>
  <c r="M1193" i="2"/>
  <c r="L1193" i="2"/>
  <c r="V1193" i="2" s="1"/>
  <c r="U1192" i="2"/>
  <c r="S1192" i="2"/>
  <c r="T1192" i="2" s="1"/>
  <c r="Q1192" i="2"/>
  <c r="P1192" i="2"/>
  <c r="R1192" i="2" s="1"/>
  <c r="O1192" i="2"/>
  <c r="N1192" i="2"/>
  <c r="M1192" i="2"/>
  <c r="L1192" i="2"/>
  <c r="V1192" i="2" s="1"/>
  <c r="U1191" i="2"/>
  <c r="S1191" i="2"/>
  <c r="T1191" i="2" s="1"/>
  <c r="Q1191" i="2"/>
  <c r="P1191" i="2"/>
  <c r="R1191" i="2" s="1"/>
  <c r="O1191" i="2"/>
  <c r="N1191" i="2"/>
  <c r="M1191" i="2"/>
  <c r="L1191" i="2"/>
  <c r="V1191" i="2" s="1"/>
  <c r="U1190" i="2"/>
  <c r="S1190" i="2"/>
  <c r="T1190" i="2" s="1"/>
  <c r="Q1190" i="2"/>
  <c r="P1190" i="2"/>
  <c r="R1190" i="2" s="1"/>
  <c r="O1190" i="2"/>
  <c r="N1190" i="2"/>
  <c r="M1190" i="2"/>
  <c r="L1190" i="2"/>
  <c r="V1190" i="2" s="1"/>
  <c r="U1189" i="2"/>
  <c r="S1189" i="2"/>
  <c r="T1189" i="2" s="1"/>
  <c r="P1189" i="2"/>
  <c r="R1189" i="2" s="1"/>
  <c r="O1189" i="2"/>
  <c r="N1189" i="2"/>
  <c r="M1189" i="2"/>
  <c r="L1189" i="2"/>
  <c r="V1189" i="2" s="1"/>
  <c r="U1188" i="2"/>
  <c r="S1188" i="2"/>
  <c r="T1188" i="2" s="1"/>
  <c r="Q1188" i="2"/>
  <c r="P1188" i="2"/>
  <c r="R1188" i="2" s="1"/>
  <c r="O1188" i="2"/>
  <c r="N1188" i="2"/>
  <c r="M1188" i="2"/>
  <c r="L1188" i="2"/>
  <c r="V1188" i="2" s="1"/>
  <c r="U1187" i="2"/>
  <c r="S1187" i="2"/>
  <c r="T1187" i="2" s="1"/>
  <c r="Q1187" i="2"/>
  <c r="P1187" i="2"/>
  <c r="R1187" i="2" s="1"/>
  <c r="O1187" i="2"/>
  <c r="N1187" i="2"/>
  <c r="M1187" i="2"/>
  <c r="L1187" i="2"/>
  <c r="V1187" i="2" s="1"/>
  <c r="U1186" i="2"/>
  <c r="S1186" i="2"/>
  <c r="T1186" i="2" s="1"/>
  <c r="P1186" i="2"/>
  <c r="R1186" i="2" s="1"/>
  <c r="O1186" i="2"/>
  <c r="N1186" i="2"/>
  <c r="M1186" i="2"/>
  <c r="L1186" i="2"/>
  <c r="V1186" i="2" s="1"/>
  <c r="U1185" i="2"/>
  <c r="S1185" i="2"/>
  <c r="T1185" i="2" s="1"/>
  <c r="Q1185" i="2"/>
  <c r="P1185" i="2"/>
  <c r="R1185" i="2" s="1"/>
  <c r="O1185" i="2"/>
  <c r="N1185" i="2"/>
  <c r="M1185" i="2"/>
  <c r="L1185" i="2"/>
  <c r="V1185" i="2" s="1"/>
  <c r="U1184" i="2"/>
  <c r="S1184" i="2"/>
  <c r="T1184" i="2" s="1"/>
  <c r="Q1184" i="2"/>
  <c r="P1184" i="2"/>
  <c r="R1184" i="2" s="1"/>
  <c r="O1184" i="2"/>
  <c r="N1184" i="2"/>
  <c r="M1184" i="2"/>
  <c r="L1184" i="2"/>
  <c r="V1184" i="2" s="1"/>
  <c r="U1183" i="2"/>
  <c r="S1183" i="2"/>
  <c r="T1183" i="2" s="1"/>
  <c r="P1183" i="2"/>
  <c r="R1183" i="2" s="1"/>
  <c r="O1183" i="2"/>
  <c r="N1183" i="2"/>
  <c r="M1183" i="2"/>
  <c r="L1183" i="2"/>
  <c r="V1183" i="2" s="1"/>
  <c r="U1182" i="2"/>
  <c r="S1182" i="2"/>
  <c r="T1182" i="2" s="1"/>
  <c r="Q1182" i="2"/>
  <c r="P1182" i="2"/>
  <c r="R1182" i="2" s="1"/>
  <c r="O1182" i="2"/>
  <c r="N1182" i="2"/>
  <c r="M1182" i="2"/>
  <c r="L1182" i="2"/>
  <c r="V1182" i="2" s="1"/>
  <c r="U1181" i="2"/>
  <c r="S1181" i="2"/>
  <c r="T1181" i="2" s="1"/>
  <c r="P1181" i="2"/>
  <c r="R1181" i="2" s="1"/>
  <c r="O1181" i="2"/>
  <c r="N1181" i="2"/>
  <c r="M1181" i="2"/>
  <c r="L1181" i="2"/>
  <c r="V1181" i="2" s="1"/>
  <c r="U1180" i="2"/>
  <c r="S1180" i="2"/>
  <c r="T1180" i="2" s="1"/>
  <c r="Q1180" i="2"/>
  <c r="P1180" i="2"/>
  <c r="R1180" i="2" s="1"/>
  <c r="O1180" i="2"/>
  <c r="N1180" i="2"/>
  <c r="M1180" i="2"/>
  <c r="L1180" i="2"/>
  <c r="V1180" i="2" s="1"/>
  <c r="U1179" i="2"/>
  <c r="S1179" i="2"/>
  <c r="T1179" i="2" s="1"/>
  <c r="Q1179" i="2"/>
  <c r="P1179" i="2"/>
  <c r="R1179" i="2" s="1"/>
  <c r="O1179" i="2"/>
  <c r="N1179" i="2"/>
  <c r="M1179" i="2"/>
  <c r="L1179" i="2"/>
  <c r="V1179" i="2" s="1"/>
  <c r="U1178" i="2"/>
  <c r="S1178" i="2"/>
  <c r="T1178" i="2" s="1"/>
  <c r="P1178" i="2"/>
  <c r="R1178" i="2" s="1"/>
  <c r="O1178" i="2"/>
  <c r="N1178" i="2"/>
  <c r="M1178" i="2"/>
  <c r="L1178" i="2"/>
  <c r="V1178" i="2" s="1"/>
  <c r="U1177" i="2"/>
  <c r="S1177" i="2"/>
  <c r="T1177" i="2" s="1"/>
  <c r="Q1177" i="2"/>
  <c r="P1177" i="2"/>
  <c r="R1177" i="2" s="1"/>
  <c r="O1177" i="2"/>
  <c r="N1177" i="2"/>
  <c r="M1177" i="2"/>
  <c r="L1177" i="2"/>
  <c r="V1177" i="2" s="1"/>
  <c r="U1176" i="2"/>
  <c r="S1176" i="2"/>
  <c r="T1176" i="2" s="1"/>
  <c r="P1176" i="2"/>
  <c r="R1176" i="2" s="1"/>
  <c r="O1176" i="2"/>
  <c r="N1176" i="2"/>
  <c r="M1176" i="2"/>
  <c r="L1176" i="2"/>
  <c r="V1176" i="2" s="1"/>
  <c r="U1175" i="2"/>
  <c r="S1175" i="2"/>
  <c r="T1175" i="2" s="1"/>
  <c r="P1175" i="2"/>
  <c r="R1175" i="2" s="1"/>
  <c r="O1175" i="2"/>
  <c r="N1175" i="2"/>
  <c r="M1175" i="2"/>
  <c r="L1175" i="2"/>
  <c r="V1175" i="2" s="1"/>
  <c r="U1174" i="2"/>
  <c r="S1174" i="2"/>
  <c r="T1174" i="2" s="1"/>
  <c r="Q1174" i="2"/>
  <c r="P1174" i="2"/>
  <c r="R1174" i="2" s="1"/>
  <c r="O1174" i="2"/>
  <c r="N1174" i="2"/>
  <c r="M1174" i="2"/>
  <c r="L1174" i="2"/>
  <c r="V1174" i="2" s="1"/>
  <c r="U1173" i="2"/>
  <c r="S1173" i="2"/>
  <c r="T1173" i="2" s="1"/>
  <c r="Q1173" i="2"/>
  <c r="P1173" i="2"/>
  <c r="R1173" i="2" s="1"/>
  <c r="O1173" i="2"/>
  <c r="N1173" i="2"/>
  <c r="M1173" i="2"/>
  <c r="L1173" i="2"/>
  <c r="V1173" i="2" s="1"/>
  <c r="U1172" i="2"/>
  <c r="S1172" i="2"/>
  <c r="T1172" i="2" s="1"/>
  <c r="Q1172" i="2"/>
  <c r="P1172" i="2"/>
  <c r="R1172" i="2" s="1"/>
  <c r="O1172" i="2"/>
  <c r="N1172" i="2"/>
  <c r="M1172" i="2"/>
  <c r="L1172" i="2"/>
  <c r="V1172" i="2" s="1"/>
  <c r="U1171" i="2"/>
  <c r="S1171" i="2"/>
  <c r="T1171" i="2" s="1"/>
  <c r="R1171" i="2"/>
  <c r="Q1171" i="2"/>
  <c r="P1171" i="2"/>
  <c r="O1171" i="2"/>
  <c r="N1171" i="2"/>
  <c r="M1171" i="2"/>
  <c r="L1171" i="2"/>
  <c r="V1171" i="2" s="1"/>
  <c r="U1170" i="2"/>
  <c r="S1170" i="2"/>
  <c r="T1170" i="2" s="1"/>
  <c r="Q1170" i="2"/>
  <c r="P1170" i="2"/>
  <c r="R1170" i="2" s="1"/>
  <c r="O1170" i="2"/>
  <c r="N1170" i="2"/>
  <c r="M1170" i="2"/>
  <c r="L1170" i="2"/>
  <c r="V1170" i="2" s="1"/>
  <c r="U1169" i="2"/>
  <c r="S1169" i="2"/>
  <c r="T1169" i="2" s="1"/>
  <c r="P1169" i="2"/>
  <c r="R1169" i="2" s="1"/>
  <c r="O1169" i="2"/>
  <c r="N1169" i="2"/>
  <c r="M1169" i="2"/>
  <c r="L1169" i="2"/>
  <c r="V1169" i="2" s="1"/>
  <c r="U1168" i="2"/>
  <c r="S1168" i="2"/>
  <c r="T1168" i="2" s="1"/>
  <c r="Q1168" i="2"/>
  <c r="P1168" i="2"/>
  <c r="R1168" i="2" s="1"/>
  <c r="O1168" i="2"/>
  <c r="N1168" i="2"/>
  <c r="M1168" i="2"/>
  <c r="L1168" i="2"/>
  <c r="V1168" i="2" s="1"/>
  <c r="U1167" i="2"/>
  <c r="S1167" i="2"/>
  <c r="T1167" i="2" s="1"/>
  <c r="Q1167" i="2"/>
  <c r="P1167" i="2"/>
  <c r="R1167" i="2" s="1"/>
  <c r="O1167" i="2"/>
  <c r="N1167" i="2"/>
  <c r="M1167" i="2"/>
  <c r="L1167" i="2"/>
  <c r="V1167" i="2" s="1"/>
  <c r="U1166" i="2"/>
  <c r="S1166" i="2"/>
  <c r="T1166" i="2" s="1"/>
  <c r="P1166" i="2"/>
  <c r="R1166" i="2" s="1"/>
  <c r="O1166" i="2"/>
  <c r="N1166" i="2"/>
  <c r="M1166" i="2"/>
  <c r="L1166" i="2"/>
  <c r="V1166" i="2" s="1"/>
  <c r="U1165" i="2"/>
  <c r="S1165" i="2"/>
  <c r="T1165" i="2" s="1"/>
  <c r="Q1165" i="2"/>
  <c r="P1165" i="2"/>
  <c r="R1165" i="2" s="1"/>
  <c r="O1165" i="2"/>
  <c r="N1165" i="2"/>
  <c r="M1165" i="2"/>
  <c r="L1165" i="2"/>
  <c r="V1165" i="2" s="1"/>
  <c r="U1164" i="2"/>
  <c r="S1164" i="2"/>
  <c r="T1164" i="2" s="1"/>
  <c r="Q1164" i="2"/>
  <c r="P1164" i="2"/>
  <c r="R1164" i="2" s="1"/>
  <c r="O1164" i="2"/>
  <c r="N1164" i="2"/>
  <c r="M1164" i="2"/>
  <c r="L1164" i="2"/>
  <c r="V1164" i="2" s="1"/>
  <c r="U1163" i="2"/>
  <c r="S1163" i="2"/>
  <c r="T1163" i="2" s="1"/>
  <c r="P1163" i="2"/>
  <c r="R1163" i="2" s="1"/>
  <c r="O1163" i="2"/>
  <c r="N1163" i="2"/>
  <c r="M1163" i="2"/>
  <c r="L1163" i="2"/>
  <c r="V1163" i="2" s="1"/>
  <c r="U1162" i="2"/>
  <c r="S1162" i="2"/>
  <c r="T1162" i="2" s="1"/>
  <c r="Q1162" i="2"/>
  <c r="P1162" i="2"/>
  <c r="R1162" i="2" s="1"/>
  <c r="O1162" i="2"/>
  <c r="N1162" i="2"/>
  <c r="M1162" i="2"/>
  <c r="L1162" i="2"/>
  <c r="V1162" i="2" s="1"/>
  <c r="U1161" i="2"/>
  <c r="S1161" i="2"/>
  <c r="T1161" i="2" s="1"/>
  <c r="Q1161" i="2"/>
  <c r="P1161" i="2"/>
  <c r="R1161" i="2" s="1"/>
  <c r="O1161" i="2"/>
  <c r="N1161" i="2"/>
  <c r="M1161" i="2"/>
  <c r="L1161" i="2"/>
  <c r="V1161" i="2" s="1"/>
  <c r="U1160" i="2"/>
  <c r="S1160" i="2"/>
  <c r="T1160" i="2" s="1"/>
  <c r="Q1160" i="2"/>
  <c r="P1160" i="2"/>
  <c r="R1160" i="2" s="1"/>
  <c r="O1160" i="2"/>
  <c r="N1160" i="2"/>
  <c r="M1160" i="2"/>
  <c r="L1160" i="2"/>
  <c r="V1160" i="2" s="1"/>
  <c r="U1159" i="2"/>
  <c r="S1159" i="2"/>
  <c r="T1159" i="2" s="1"/>
  <c r="P1159" i="2"/>
  <c r="R1159" i="2" s="1"/>
  <c r="O1159" i="2"/>
  <c r="N1159" i="2"/>
  <c r="M1159" i="2"/>
  <c r="L1159" i="2"/>
  <c r="V1159" i="2" s="1"/>
  <c r="U1158" i="2"/>
  <c r="S1158" i="2"/>
  <c r="T1158" i="2" s="1"/>
  <c r="Q1158" i="2"/>
  <c r="P1158" i="2"/>
  <c r="R1158" i="2" s="1"/>
  <c r="O1158" i="2"/>
  <c r="N1158" i="2"/>
  <c r="M1158" i="2"/>
  <c r="L1158" i="2"/>
  <c r="V1158" i="2" s="1"/>
  <c r="U1157" i="2"/>
  <c r="S1157" i="2"/>
  <c r="T1157" i="2" s="1"/>
  <c r="Q1157" i="2"/>
  <c r="P1157" i="2"/>
  <c r="R1157" i="2" s="1"/>
  <c r="O1157" i="2"/>
  <c r="N1157" i="2"/>
  <c r="M1157" i="2"/>
  <c r="L1157" i="2"/>
  <c r="V1157" i="2" s="1"/>
  <c r="U1156" i="2"/>
  <c r="S1156" i="2"/>
  <c r="T1156" i="2" s="1"/>
  <c r="Q1156" i="2"/>
  <c r="P1156" i="2"/>
  <c r="R1156" i="2" s="1"/>
  <c r="O1156" i="2"/>
  <c r="N1156" i="2"/>
  <c r="M1156" i="2"/>
  <c r="L1156" i="2"/>
  <c r="V1156" i="2" s="1"/>
  <c r="U1155" i="2"/>
  <c r="S1155" i="2"/>
  <c r="T1155" i="2" s="1"/>
  <c r="Q1155" i="2"/>
  <c r="P1155" i="2"/>
  <c r="R1155" i="2" s="1"/>
  <c r="O1155" i="2"/>
  <c r="N1155" i="2"/>
  <c r="M1155" i="2"/>
  <c r="L1155" i="2"/>
  <c r="V1155" i="2" s="1"/>
  <c r="U1154" i="2"/>
  <c r="S1154" i="2"/>
  <c r="T1154" i="2" s="1"/>
  <c r="Q1154" i="2"/>
  <c r="P1154" i="2"/>
  <c r="R1154" i="2" s="1"/>
  <c r="O1154" i="2"/>
  <c r="N1154" i="2"/>
  <c r="M1154" i="2"/>
  <c r="L1154" i="2"/>
  <c r="V1154" i="2" s="1"/>
  <c r="U1153" i="2"/>
  <c r="S1153" i="2"/>
  <c r="T1153" i="2" s="1"/>
  <c r="Q1153" i="2"/>
  <c r="P1153" i="2"/>
  <c r="R1153" i="2" s="1"/>
  <c r="O1153" i="2"/>
  <c r="N1153" i="2"/>
  <c r="M1153" i="2"/>
  <c r="L1153" i="2"/>
  <c r="V1153" i="2" s="1"/>
  <c r="U1152" i="2"/>
  <c r="S1152" i="2"/>
  <c r="T1152" i="2" s="1"/>
  <c r="Q1152" i="2"/>
  <c r="P1152" i="2"/>
  <c r="R1152" i="2" s="1"/>
  <c r="O1152" i="2"/>
  <c r="N1152" i="2"/>
  <c r="M1152" i="2"/>
  <c r="L1152" i="2"/>
  <c r="V1152" i="2" s="1"/>
  <c r="U1151" i="2"/>
  <c r="S1151" i="2"/>
  <c r="T1151" i="2" s="1"/>
  <c r="Q1151" i="2"/>
  <c r="P1151" i="2"/>
  <c r="R1151" i="2" s="1"/>
  <c r="O1151" i="2"/>
  <c r="N1151" i="2"/>
  <c r="M1151" i="2"/>
  <c r="L1151" i="2"/>
  <c r="V1151" i="2" s="1"/>
  <c r="U1150" i="2"/>
  <c r="S1150" i="2"/>
  <c r="T1150" i="2" s="1"/>
  <c r="Q1150" i="2"/>
  <c r="P1150" i="2"/>
  <c r="R1150" i="2" s="1"/>
  <c r="O1150" i="2"/>
  <c r="N1150" i="2"/>
  <c r="M1150" i="2"/>
  <c r="L1150" i="2"/>
  <c r="V1150" i="2" s="1"/>
  <c r="U1149" i="2"/>
  <c r="S1149" i="2"/>
  <c r="T1149" i="2" s="1"/>
  <c r="Q1149" i="2"/>
  <c r="P1149" i="2"/>
  <c r="R1149" i="2" s="1"/>
  <c r="O1149" i="2"/>
  <c r="N1149" i="2"/>
  <c r="M1149" i="2"/>
  <c r="L1149" i="2"/>
  <c r="V1149" i="2" s="1"/>
  <c r="U1148" i="2"/>
  <c r="S1148" i="2"/>
  <c r="T1148" i="2" s="1"/>
  <c r="Q1148" i="2"/>
  <c r="P1148" i="2"/>
  <c r="R1148" i="2" s="1"/>
  <c r="O1148" i="2"/>
  <c r="N1148" i="2"/>
  <c r="M1148" i="2"/>
  <c r="L1148" i="2"/>
  <c r="V1148" i="2" s="1"/>
  <c r="U1147" i="2"/>
  <c r="S1147" i="2"/>
  <c r="T1147" i="2" s="1"/>
  <c r="Q1147" i="2"/>
  <c r="P1147" i="2"/>
  <c r="R1147" i="2" s="1"/>
  <c r="O1147" i="2"/>
  <c r="N1147" i="2"/>
  <c r="M1147" i="2"/>
  <c r="L1147" i="2"/>
  <c r="V1147" i="2" s="1"/>
  <c r="U1146" i="2"/>
  <c r="S1146" i="2"/>
  <c r="T1146" i="2" s="1"/>
  <c r="Q1146" i="2"/>
  <c r="P1146" i="2"/>
  <c r="R1146" i="2" s="1"/>
  <c r="O1146" i="2"/>
  <c r="N1146" i="2"/>
  <c r="M1146" i="2"/>
  <c r="L1146" i="2"/>
  <c r="V1146" i="2" s="1"/>
  <c r="U1145" i="2"/>
  <c r="S1145" i="2"/>
  <c r="T1145" i="2" s="1"/>
  <c r="Q1145" i="2"/>
  <c r="P1145" i="2"/>
  <c r="R1145" i="2" s="1"/>
  <c r="O1145" i="2"/>
  <c r="N1145" i="2"/>
  <c r="M1145" i="2"/>
  <c r="L1145" i="2"/>
  <c r="V1145" i="2" s="1"/>
  <c r="U1144" i="2"/>
  <c r="S1144" i="2"/>
  <c r="T1144" i="2" s="1"/>
  <c r="Q1144" i="2"/>
  <c r="P1144" i="2"/>
  <c r="R1144" i="2" s="1"/>
  <c r="O1144" i="2"/>
  <c r="N1144" i="2"/>
  <c r="M1144" i="2"/>
  <c r="L1144" i="2"/>
  <c r="V1144" i="2" s="1"/>
  <c r="U1143" i="2"/>
  <c r="S1143" i="2"/>
  <c r="T1143" i="2" s="1"/>
  <c r="P1143" i="2"/>
  <c r="R1143" i="2" s="1"/>
  <c r="O1143" i="2"/>
  <c r="N1143" i="2"/>
  <c r="M1143" i="2"/>
  <c r="L1143" i="2"/>
  <c r="V1143" i="2" s="1"/>
  <c r="U1142" i="2"/>
  <c r="S1142" i="2"/>
  <c r="T1142" i="2" s="1"/>
  <c r="P1142" i="2"/>
  <c r="R1142" i="2" s="1"/>
  <c r="O1142" i="2"/>
  <c r="N1142" i="2"/>
  <c r="M1142" i="2"/>
  <c r="L1142" i="2"/>
  <c r="V1142" i="2" s="1"/>
  <c r="U1141" i="2"/>
  <c r="S1141" i="2"/>
  <c r="T1141" i="2" s="1"/>
  <c r="Q1141" i="2"/>
  <c r="P1141" i="2"/>
  <c r="R1141" i="2" s="1"/>
  <c r="O1141" i="2"/>
  <c r="N1141" i="2"/>
  <c r="M1141" i="2"/>
  <c r="L1141" i="2"/>
  <c r="V1141" i="2" s="1"/>
  <c r="U1140" i="2"/>
  <c r="S1140" i="2"/>
  <c r="T1140" i="2" s="1"/>
  <c r="Q1140" i="2"/>
  <c r="P1140" i="2"/>
  <c r="R1140" i="2" s="1"/>
  <c r="O1140" i="2"/>
  <c r="N1140" i="2"/>
  <c r="M1140" i="2"/>
  <c r="L1140" i="2"/>
  <c r="V1140" i="2" s="1"/>
  <c r="U1139" i="2"/>
  <c r="S1139" i="2"/>
  <c r="T1139" i="2" s="1"/>
  <c r="Q1139" i="2"/>
  <c r="P1139" i="2"/>
  <c r="R1139" i="2" s="1"/>
  <c r="O1139" i="2"/>
  <c r="N1139" i="2"/>
  <c r="M1139" i="2"/>
  <c r="L1139" i="2"/>
  <c r="V1139" i="2" s="1"/>
  <c r="U1138" i="2"/>
  <c r="S1138" i="2"/>
  <c r="T1138" i="2" s="1"/>
  <c r="Q1138" i="2"/>
  <c r="P1138" i="2"/>
  <c r="R1138" i="2" s="1"/>
  <c r="O1138" i="2"/>
  <c r="N1138" i="2"/>
  <c r="M1138" i="2"/>
  <c r="L1138" i="2"/>
  <c r="V1138" i="2" s="1"/>
  <c r="U1137" i="2"/>
  <c r="S1137" i="2"/>
  <c r="T1137" i="2" s="1"/>
  <c r="Q1137" i="2"/>
  <c r="P1137" i="2"/>
  <c r="R1137" i="2" s="1"/>
  <c r="O1137" i="2"/>
  <c r="N1137" i="2"/>
  <c r="M1137" i="2"/>
  <c r="L1137" i="2"/>
  <c r="V1137" i="2" s="1"/>
  <c r="U1136" i="2"/>
  <c r="S1136" i="2"/>
  <c r="T1136" i="2" s="1"/>
  <c r="Q1136" i="2"/>
  <c r="P1136" i="2"/>
  <c r="R1136" i="2" s="1"/>
  <c r="O1136" i="2"/>
  <c r="N1136" i="2"/>
  <c r="M1136" i="2"/>
  <c r="L1136" i="2"/>
  <c r="V1136" i="2" s="1"/>
  <c r="U1135" i="2"/>
  <c r="S1135" i="2"/>
  <c r="T1135" i="2" s="1"/>
  <c r="Q1135" i="2"/>
  <c r="P1135" i="2"/>
  <c r="R1135" i="2" s="1"/>
  <c r="O1135" i="2"/>
  <c r="N1135" i="2"/>
  <c r="M1135" i="2"/>
  <c r="L1135" i="2"/>
  <c r="V1135" i="2" s="1"/>
  <c r="U1134" i="2"/>
  <c r="S1134" i="2"/>
  <c r="T1134" i="2" s="1"/>
  <c r="Q1134" i="2"/>
  <c r="P1134" i="2"/>
  <c r="R1134" i="2" s="1"/>
  <c r="O1134" i="2"/>
  <c r="N1134" i="2"/>
  <c r="M1134" i="2"/>
  <c r="L1134" i="2"/>
  <c r="V1134" i="2" s="1"/>
  <c r="U1133" i="2"/>
  <c r="S1133" i="2"/>
  <c r="T1133" i="2" s="1"/>
  <c r="Q1133" i="2"/>
  <c r="P1133" i="2"/>
  <c r="R1133" i="2" s="1"/>
  <c r="O1133" i="2"/>
  <c r="N1133" i="2"/>
  <c r="M1133" i="2"/>
  <c r="L1133" i="2"/>
  <c r="V1133" i="2" s="1"/>
  <c r="U1132" i="2"/>
  <c r="S1132" i="2"/>
  <c r="T1132" i="2" s="1"/>
  <c r="Q1132" i="2"/>
  <c r="P1132" i="2"/>
  <c r="R1132" i="2" s="1"/>
  <c r="O1132" i="2"/>
  <c r="N1132" i="2"/>
  <c r="M1132" i="2"/>
  <c r="L1132" i="2"/>
  <c r="V1132" i="2" s="1"/>
  <c r="U1131" i="2"/>
  <c r="S1131" i="2"/>
  <c r="T1131" i="2" s="1"/>
  <c r="P1131" i="2"/>
  <c r="R1131" i="2" s="1"/>
  <c r="O1131" i="2"/>
  <c r="N1131" i="2"/>
  <c r="M1131" i="2"/>
  <c r="L1131" i="2"/>
  <c r="V1131" i="2" s="1"/>
  <c r="U1130" i="2"/>
  <c r="S1130" i="2"/>
  <c r="T1130" i="2" s="1"/>
  <c r="Q1130" i="2"/>
  <c r="P1130" i="2"/>
  <c r="R1130" i="2" s="1"/>
  <c r="O1130" i="2"/>
  <c r="N1130" i="2"/>
  <c r="M1130" i="2"/>
  <c r="L1130" i="2"/>
  <c r="V1130" i="2" s="1"/>
  <c r="U1129" i="2"/>
  <c r="S1129" i="2"/>
  <c r="T1129" i="2" s="1"/>
  <c r="Q1129" i="2"/>
  <c r="P1129" i="2"/>
  <c r="R1129" i="2" s="1"/>
  <c r="O1129" i="2"/>
  <c r="N1129" i="2"/>
  <c r="M1129" i="2"/>
  <c r="L1129" i="2"/>
  <c r="V1129" i="2" s="1"/>
  <c r="U1128" i="2"/>
  <c r="S1128" i="2"/>
  <c r="T1128" i="2" s="1"/>
  <c r="P1128" i="2"/>
  <c r="R1128" i="2" s="1"/>
  <c r="O1128" i="2"/>
  <c r="N1128" i="2"/>
  <c r="M1128" i="2"/>
  <c r="L1128" i="2"/>
  <c r="V1128" i="2" s="1"/>
  <c r="U1127" i="2"/>
  <c r="S1127" i="2"/>
  <c r="T1127" i="2" s="1"/>
  <c r="Q1127" i="2"/>
  <c r="P1127" i="2"/>
  <c r="R1127" i="2" s="1"/>
  <c r="O1127" i="2"/>
  <c r="N1127" i="2"/>
  <c r="M1127" i="2"/>
  <c r="L1127" i="2"/>
  <c r="V1127" i="2" s="1"/>
  <c r="U1126" i="2"/>
  <c r="S1126" i="2"/>
  <c r="T1126" i="2" s="1"/>
  <c r="Q1126" i="2"/>
  <c r="P1126" i="2"/>
  <c r="R1126" i="2" s="1"/>
  <c r="O1126" i="2"/>
  <c r="N1126" i="2"/>
  <c r="M1126" i="2"/>
  <c r="L1126" i="2"/>
  <c r="V1126" i="2" s="1"/>
  <c r="U1125" i="2"/>
  <c r="S1125" i="2"/>
  <c r="T1125" i="2" s="1"/>
  <c r="Q1125" i="2"/>
  <c r="P1125" i="2"/>
  <c r="R1125" i="2" s="1"/>
  <c r="O1125" i="2"/>
  <c r="N1125" i="2"/>
  <c r="M1125" i="2"/>
  <c r="L1125" i="2"/>
  <c r="V1125" i="2" s="1"/>
  <c r="U1124" i="2"/>
  <c r="S1124" i="2"/>
  <c r="T1124" i="2" s="1"/>
  <c r="Q1124" i="2"/>
  <c r="P1124" i="2"/>
  <c r="R1124" i="2" s="1"/>
  <c r="O1124" i="2"/>
  <c r="N1124" i="2"/>
  <c r="M1124" i="2"/>
  <c r="L1124" i="2"/>
  <c r="V1124" i="2" s="1"/>
  <c r="U1123" i="2"/>
  <c r="S1123" i="2"/>
  <c r="T1123" i="2" s="1"/>
  <c r="Q1123" i="2"/>
  <c r="P1123" i="2"/>
  <c r="R1123" i="2" s="1"/>
  <c r="O1123" i="2"/>
  <c r="N1123" i="2"/>
  <c r="M1123" i="2"/>
  <c r="L1123" i="2"/>
  <c r="V1123" i="2" s="1"/>
  <c r="U1122" i="2"/>
  <c r="S1122" i="2"/>
  <c r="T1122" i="2" s="1"/>
  <c r="Q1122" i="2"/>
  <c r="P1122" i="2"/>
  <c r="R1122" i="2" s="1"/>
  <c r="O1122" i="2"/>
  <c r="N1122" i="2"/>
  <c r="M1122" i="2"/>
  <c r="L1122" i="2"/>
  <c r="V1122" i="2" s="1"/>
  <c r="U1121" i="2"/>
  <c r="S1121" i="2"/>
  <c r="T1121" i="2" s="1"/>
  <c r="Q1121" i="2"/>
  <c r="P1121" i="2"/>
  <c r="R1121" i="2" s="1"/>
  <c r="O1121" i="2"/>
  <c r="N1121" i="2"/>
  <c r="M1121" i="2"/>
  <c r="L1121" i="2"/>
  <c r="V1121" i="2" s="1"/>
  <c r="U1120" i="2"/>
  <c r="S1120" i="2"/>
  <c r="T1120" i="2" s="1"/>
  <c r="P1120" i="2"/>
  <c r="R1120" i="2" s="1"/>
  <c r="O1120" i="2"/>
  <c r="N1120" i="2"/>
  <c r="M1120" i="2"/>
  <c r="L1120" i="2"/>
  <c r="V1120" i="2" s="1"/>
  <c r="U1119" i="2"/>
  <c r="S1119" i="2"/>
  <c r="T1119" i="2" s="1"/>
  <c r="Q1119" i="2"/>
  <c r="P1119" i="2"/>
  <c r="R1119" i="2" s="1"/>
  <c r="O1119" i="2"/>
  <c r="N1119" i="2"/>
  <c r="M1119" i="2"/>
  <c r="L1119" i="2"/>
  <c r="V1119" i="2" s="1"/>
  <c r="U1118" i="2"/>
  <c r="S1118" i="2"/>
  <c r="T1118" i="2" s="1"/>
  <c r="Q1118" i="2"/>
  <c r="P1118" i="2"/>
  <c r="R1118" i="2" s="1"/>
  <c r="O1118" i="2"/>
  <c r="N1118" i="2"/>
  <c r="M1118" i="2"/>
  <c r="L1118" i="2"/>
  <c r="V1118" i="2" s="1"/>
  <c r="U1117" i="2"/>
  <c r="S1117" i="2"/>
  <c r="T1117" i="2" s="1"/>
  <c r="P1117" i="2"/>
  <c r="R1117" i="2" s="1"/>
  <c r="O1117" i="2"/>
  <c r="N1117" i="2"/>
  <c r="M1117" i="2"/>
  <c r="L1117" i="2"/>
  <c r="V1117" i="2" s="1"/>
  <c r="U1116" i="2"/>
  <c r="S1116" i="2"/>
  <c r="T1116" i="2" s="1"/>
  <c r="Q1116" i="2"/>
  <c r="P1116" i="2"/>
  <c r="R1116" i="2" s="1"/>
  <c r="O1116" i="2"/>
  <c r="N1116" i="2"/>
  <c r="M1116" i="2"/>
  <c r="L1116" i="2"/>
  <c r="V1116" i="2" s="1"/>
  <c r="U1115" i="2"/>
  <c r="S1115" i="2"/>
  <c r="T1115" i="2" s="1"/>
  <c r="Q1115" i="2"/>
  <c r="P1115" i="2"/>
  <c r="R1115" i="2" s="1"/>
  <c r="O1115" i="2"/>
  <c r="N1115" i="2"/>
  <c r="M1115" i="2"/>
  <c r="L1115" i="2"/>
  <c r="V1115" i="2" s="1"/>
  <c r="U1114" i="2"/>
  <c r="S1114" i="2"/>
  <c r="T1114" i="2" s="1"/>
  <c r="P1114" i="2"/>
  <c r="R1114" i="2" s="1"/>
  <c r="O1114" i="2"/>
  <c r="N1114" i="2"/>
  <c r="M1114" i="2"/>
  <c r="L1114" i="2"/>
  <c r="V1114" i="2" s="1"/>
  <c r="U1113" i="2"/>
  <c r="S1113" i="2"/>
  <c r="T1113" i="2" s="1"/>
  <c r="Q1113" i="2"/>
  <c r="P1113" i="2"/>
  <c r="R1113" i="2" s="1"/>
  <c r="O1113" i="2"/>
  <c r="N1113" i="2"/>
  <c r="M1113" i="2"/>
  <c r="L1113" i="2"/>
  <c r="V1113" i="2" s="1"/>
  <c r="U1112" i="2"/>
  <c r="S1112" i="2"/>
  <c r="T1112" i="2" s="1"/>
  <c r="Q1112" i="2"/>
  <c r="P1112" i="2"/>
  <c r="R1112" i="2" s="1"/>
  <c r="O1112" i="2"/>
  <c r="N1112" i="2"/>
  <c r="M1112" i="2"/>
  <c r="L1112" i="2"/>
  <c r="V1112" i="2" s="1"/>
  <c r="U1111" i="2"/>
  <c r="S1111" i="2"/>
  <c r="T1111" i="2" s="1"/>
  <c r="P1111" i="2"/>
  <c r="R1111" i="2" s="1"/>
  <c r="O1111" i="2"/>
  <c r="N1111" i="2"/>
  <c r="M1111" i="2"/>
  <c r="L1111" i="2"/>
  <c r="V1111" i="2" s="1"/>
  <c r="U1110" i="2"/>
  <c r="S1110" i="2"/>
  <c r="T1110" i="2" s="1"/>
  <c r="Q1110" i="2"/>
  <c r="P1110" i="2"/>
  <c r="R1110" i="2" s="1"/>
  <c r="O1110" i="2"/>
  <c r="N1110" i="2"/>
  <c r="M1110" i="2"/>
  <c r="L1110" i="2"/>
  <c r="V1110" i="2" s="1"/>
  <c r="U1109" i="2"/>
  <c r="S1109" i="2"/>
  <c r="T1109" i="2" s="1"/>
  <c r="P1109" i="2"/>
  <c r="R1109" i="2" s="1"/>
  <c r="O1109" i="2"/>
  <c r="N1109" i="2"/>
  <c r="M1109" i="2"/>
  <c r="L1109" i="2"/>
  <c r="V1109" i="2" s="1"/>
  <c r="U1108" i="2"/>
  <c r="T1108" i="2"/>
  <c r="S1108" i="2"/>
  <c r="P1108" i="2"/>
  <c r="R1108" i="2" s="1"/>
  <c r="O1108" i="2"/>
  <c r="N1108" i="2"/>
  <c r="M1108" i="2"/>
  <c r="L1108" i="2"/>
  <c r="V1108" i="2" s="1"/>
  <c r="U1107" i="2"/>
  <c r="S1107" i="2"/>
  <c r="T1107" i="2" s="1"/>
  <c r="Q1107" i="2"/>
  <c r="P1107" i="2"/>
  <c r="R1107" i="2" s="1"/>
  <c r="O1107" i="2"/>
  <c r="N1107" i="2"/>
  <c r="M1107" i="2"/>
  <c r="L1107" i="2"/>
  <c r="V1107" i="2" s="1"/>
  <c r="U1106" i="2"/>
  <c r="S1106" i="2"/>
  <c r="T1106" i="2" s="1"/>
  <c r="Q1106" i="2"/>
  <c r="P1106" i="2"/>
  <c r="R1106" i="2" s="1"/>
  <c r="O1106" i="2"/>
  <c r="N1106" i="2"/>
  <c r="M1106" i="2"/>
  <c r="L1106" i="2"/>
  <c r="V1106" i="2" s="1"/>
  <c r="U1105" i="2"/>
  <c r="S1105" i="2"/>
  <c r="T1105" i="2" s="1"/>
  <c r="P1105" i="2"/>
  <c r="R1105" i="2" s="1"/>
  <c r="O1105" i="2"/>
  <c r="N1105" i="2"/>
  <c r="M1105" i="2"/>
  <c r="L1105" i="2"/>
  <c r="V1105" i="2" s="1"/>
  <c r="U1104" i="2"/>
  <c r="S1104" i="2"/>
  <c r="T1104" i="2" s="1"/>
  <c r="Q1104" i="2"/>
  <c r="P1104" i="2"/>
  <c r="R1104" i="2" s="1"/>
  <c r="O1104" i="2"/>
  <c r="N1104" i="2"/>
  <c r="M1104" i="2"/>
  <c r="L1104" i="2"/>
  <c r="V1104" i="2" s="1"/>
  <c r="U1103" i="2"/>
  <c r="S1103" i="2"/>
  <c r="T1103" i="2" s="1"/>
  <c r="Q1103" i="2"/>
  <c r="P1103" i="2"/>
  <c r="R1103" i="2" s="1"/>
  <c r="O1103" i="2"/>
  <c r="N1103" i="2"/>
  <c r="M1103" i="2"/>
  <c r="L1103" i="2"/>
  <c r="V1103" i="2" s="1"/>
  <c r="U1102" i="2"/>
  <c r="S1102" i="2"/>
  <c r="T1102" i="2" s="1"/>
  <c r="Q1102" i="2"/>
  <c r="P1102" i="2"/>
  <c r="R1102" i="2" s="1"/>
  <c r="O1102" i="2"/>
  <c r="N1102" i="2"/>
  <c r="M1102" i="2"/>
  <c r="L1102" i="2"/>
  <c r="V1102" i="2" s="1"/>
  <c r="U1101" i="2"/>
  <c r="S1101" i="2"/>
  <c r="T1101" i="2" s="1"/>
  <c r="Q1101" i="2"/>
  <c r="P1101" i="2"/>
  <c r="R1101" i="2" s="1"/>
  <c r="O1101" i="2"/>
  <c r="N1101" i="2"/>
  <c r="M1101" i="2"/>
  <c r="L1101" i="2"/>
  <c r="V1101" i="2" s="1"/>
  <c r="U1100" i="2"/>
  <c r="S1100" i="2"/>
  <c r="T1100" i="2" s="1"/>
  <c r="Q1100" i="2"/>
  <c r="P1100" i="2"/>
  <c r="R1100" i="2" s="1"/>
  <c r="O1100" i="2"/>
  <c r="N1100" i="2"/>
  <c r="M1100" i="2"/>
  <c r="L1100" i="2"/>
  <c r="V1100" i="2" s="1"/>
  <c r="U1099" i="2"/>
  <c r="S1099" i="2"/>
  <c r="T1099" i="2" s="1"/>
  <c r="Q1099" i="2"/>
  <c r="P1099" i="2"/>
  <c r="R1099" i="2" s="1"/>
  <c r="O1099" i="2"/>
  <c r="N1099" i="2"/>
  <c r="M1099" i="2"/>
  <c r="L1099" i="2"/>
  <c r="V1099" i="2" s="1"/>
  <c r="U1098" i="2"/>
  <c r="S1098" i="2"/>
  <c r="T1098" i="2" s="1"/>
  <c r="Q1098" i="2"/>
  <c r="P1098" i="2"/>
  <c r="R1098" i="2" s="1"/>
  <c r="O1098" i="2"/>
  <c r="N1098" i="2"/>
  <c r="M1098" i="2"/>
  <c r="L1098" i="2"/>
  <c r="V1098" i="2" s="1"/>
  <c r="U1097" i="2"/>
  <c r="S1097" i="2"/>
  <c r="T1097" i="2" s="1"/>
  <c r="Q1097" i="2"/>
  <c r="P1097" i="2"/>
  <c r="R1097" i="2" s="1"/>
  <c r="O1097" i="2"/>
  <c r="N1097" i="2"/>
  <c r="M1097" i="2"/>
  <c r="L1097" i="2"/>
  <c r="V1097" i="2" s="1"/>
  <c r="U1096" i="2"/>
  <c r="S1096" i="2"/>
  <c r="T1096" i="2" s="1"/>
  <c r="P1096" i="2"/>
  <c r="R1096" i="2" s="1"/>
  <c r="O1096" i="2"/>
  <c r="N1096" i="2"/>
  <c r="M1096" i="2"/>
  <c r="L1096" i="2"/>
  <c r="V1096" i="2" s="1"/>
  <c r="U1095" i="2"/>
  <c r="S1095" i="2"/>
  <c r="T1095" i="2" s="1"/>
  <c r="Q1095" i="2"/>
  <c r="P1095" i="2"/>
  <c r="R1095" i="2" s="1"/>
  <c r="O1095" i="2"/>
  <c r="N1095" i="2"/>
  <c r="M1095" i="2"/>
  <c r="L1095" i="2"/>
  <c r="V1095" i="2" s="1"/>
  <c r="U1094" i="2"/>
  <c r="S1094" i="2"/>
  <c r="T1094" i="2" s="1"/>
  <c r="Q1094" i="2"/>
  <c r="P1094" i="2"/>
  <c r="R1094" i="2" s="1"/>
  <c r="O1094" i="2"/>
  <c r="N1094" i="2"/>
  <c r="M1094" i="2"/>
  <c r="L1094" i="2"/>
  <c r="V1094" i="2" s="1"/>
  <c r="U1093" i="2"/>
  <c r="S1093" i="2"/>
  <c r="T1093" i="2" s="1"/>
  <c r="Q1093" i="2"/>
  <c r="P1093" i="2"/>
  <c r="R1093" i="2" s="1"/>
  <c r="O1093" i="2"/>
  <c r="N1093" i="2"/>
  <c r="M1093" i="2"/>
  <c r="L1093" i="2"/>
  <c r="V1093" i="2" s="1"/>
  <c r="U1092" i="2"/>
  <c r="S1092" i="2"/>
  <c r="T1092" i="2" s="1"/>
  <c r="Q1092" i="2"/>
  <c r="P1092" i="2"/>
  <c r="R1092" i="2" s="1"/>
  <c r="O1092" i="2"/>
  <c r="N1092" i="2"/>
  <c r="M1092" i="2"/>
  <c r="L1092" i="2"/>
  <c r="V1092" i="2" s="1"/>
  <c r="U1091" i="2"/>
  <c r="S1091" i="2"/>
  <c r="T1091" i="2" s="1"/>
  <c r="Q1091" i="2"/>
  <c r="P1091" i="2"/>
  <c r="R1091" i="2" s="1"/>
  <c r="O1091" i="2"/>
  <c r="N1091" i="2"/>
  <c r="M1091" i="2"/>
  <c r="L1091" i="2"/>
  <c r="V1091" i="2" s="1"/>
  <c r="U1090" i="2"/>
  <c r="S1090" i="2"/>
  <c r="T1090" i="2" s="1"/>
  <c r="Q1090" i="2"/>
  <c r="P1090" i="2"/>
  <c r="R1090" i="2" s="1"/>
  <c r="O1090" i="2"/>
  <c r="N1090" i="2"/>
  <c r="M1090" i="2"/>
  <c r="L1090" i="2"/>
  <c r="V1090" i="2" s="1"/>
  <c r="U1089" i="2"/>
  <c r="S1089" i="2"/>
  <c r="T1089" i="2" s="1"/>
  <c r="Q1089" i="2"/>
  <c r="P1089" i="2"/>
  <c r="R1089" i="2" s="1"/>
  <c r="O1089" i="2"/>
  <c r="N1089" i="2"/>
  <c r="M1089" i="2"/>
  <c r="L1089" i="2"/>
  <c r="V1089" i="2" s="1"/>
  <c r="U1088" i="2"/>
  <c r="S1088" i="2"/>
  <c r="T1088" i="2" s="1"/>
  <c r="Q1088" i="2"/>
  <c r="P1088" i="2"/>
  <c r="R1088" i="2" s="1"/>
  <c r="O1088" i="2"/>
  <c r="N1088" i="2"/>
  <c r="M1088" i="2"/>
  <c r="L1088" i="2"/>
  <c r="V1088" i="2" s="1"/>
  <c r="U1087" i="2"/>
  <c r="S1087" i="2"/>
  <c r="T1087" i="2" s="1"/>
  <c r="Q1087" i="2"/>
  <c r="P1087" i="2"/>
  <c r="R1087" i="2" s="1"/>
  <c r="O1087" i="2"/>
  <c r="N1087" i="2"/>
  <c r="M1087" i="2"/>
  <c r="L1087" i="2"/>
  <c r="V1087" i="2" s="1"/>
  <c r="U1086" i="2"/>
  <c r="S1086" i="2"/>
  <c r="T1086" i="2" s="1"/>
  <c r="Q1086" i="2"/>
  <c r="P1086" i="2"/>
  <c r="R1086" i="2" s="1"/>
  <c r="O1086" i="2"/>
  <c r="N1086" i="2"/>
  <c r="M1086" i="2"/>
  <c r="L1086" i="2"/>
  <c r="V1086" i="2" s="1"/>
  <c r="U1085" i="2"/>
  <c r="S1085" i="2"/>
  <c r="T1085" i="2" s="1"/>
  <c r="Q1085" i="2"/>
  <c r="P1085" i="2"/>
  <c r="R1085" i="2" s="1"/>
  <c r="O1085" i="2"/>
  <c r="N1085" i="2"/>
  <c r="M1085" i="2"/>
  <c r="L1085" i="2"/>
  <c r="V1085" i="2" s="1"/>
  <c r="U1084" i="2"/>
  <c r="S1084" i="2"/>
  <c r="T1084" i="2" s="1"/>
  <c r="Q1084" i="2"/>
  <c r="P1084" i="2"/>
  <c r="R1084" i="2" s="1"/>
  <c r="O1084" i="2"/>
  <c r="N1084" i="2"/>
  <c r="M1084" i="2"/>
  <c r="L1084" i="2"/>
  <c r="V1084" i="2" s="1"/>
  <c r="U1083" i="2"/>
  <c r="S1083" i="2"/>
  <c r="T1083" i="2" s="1"/>
  <c r="Q1083" i="2"/>
  <c r="P1083" i="2"/>
  <c r="R1083" i="2" s="1"/>
  <c r="O1083" i="2"/>
  <c r="N1083" i="2"/>
  <c r="M1083" i="2"/>
  <c r="L1083" i="2"/>
  <c r="V1083" i="2" s="1"/>
  <c r="U1082" i="2"/>
  <c r="S1082" i="2"/>
  <c r="T1082" i="2" s="1"/>
  <c r="Q1082" i="2"/>
  <c r="P1082" i="2"/>
  <c r="R1082" i="2" s="1"/>
  <c r="O1082" i="2"/>
  <c r="N1082" i="2"/>
  <c r="M1082" i="2"/>
  <c r="L1082" i="2"/>
  <c r="V1082" i="2" s="1"/>
  <c r="U1081" i="2"/>
  <c r="S1081" i="2"/>
  <c r="T1081" i="2" s="1"/>
  <c r="Q1081" i="2"/>
  <c r="P1081" i="2"/>
  <c r="R1081" i="2" s="1"/>
  <c r="O1081" i="2"/>
  <c r="N1081" i="2"/>
  <c r="M1081" i="2"/>
  <c r="L1081" i="2"/>
  <c r="V1081" i="2" s="1"/>
  <c r="U1080" i="2"/>
  <c r="S1080" i="2"/>
  <c r="T1080" i="2" s="1"/>
  <c r="Q1080" i="2"/>
  <c r="P1080" i="2"/>
  <c r="R1080" i="2" s="1"/>
  <c r="O1080" i="2"/>
  <c r="N1080" i="2"/>
  <c r="M1080" i="2"/>
  <c r="L1080" i="2"/>
  <c r="V1080" i="2" s="1"/>
  <c r="U1079" i="2"/>
  <c r="S1079" i="2"/>
  <c r="T1079" i="2" s="1"/>
  <c r="Q1079" i="2"/>
  <c r="P1079" i="2"/>
  <c r="R1079" i="2" s="1"/>
  <c r="O1079" i="2"/>
  <c r="N1079" i="2"/>
  <c r="M1079" i="2"/>
  <c r="L1079" i="2"/>
  <c r="V1079" i="2" s="1"/>
  <c r="U1078" i="2"/>
  <c r="S1078" i="2"/>
  <c r="T1078" i="2" s="1"/>
  <c r="Q1078" i="2"/>
  <c r="P1078" i="2"/>
  <c r="R1078" i="2" s="1"/>
  <c r="O1078" i="2"/>
  <c r="N1078" i="2"/>
  <c r="M1078" i="2"/>
  <c r="L1078" i="2"/>
  <c r="V1078" i="2" s="1"/>
  <c r="U1077" i="2"/>
  <c r="S1077" i="2"/>
  <c r="T1077" i="2" s="1"/>
  <c r="Q1077" i="2"/>
  <c r="P1077" i="2"/>
  <c r="R1077" i="2" s="1"/>
  <c r="O1077" i="2"/>
  <c r="N1077" i="2"/>
  <c r="M1077" i="2"/>
  <c r="L1077" i="2"/>
  <c r="V1077" i="2" s="1"/>
  <c r="U1076" i="2"/>
  <c r="S1076" i="2"/>
  <c r="T1076" i="2" s="1"/>
  <c r="Q1076" i="2"/>
  <c r="P1076" i="2"/>
  <c r="R1076" i="2" s="1"/>
  <c r="O1076" i="2"/>
  <c r="N1076" i="2"/>
  <c r="M1076" i="2"/>
  <c r="L1076" i="2"/>
  <c r="V1076" i="2" s="1"/>
  <c r="U1075" i="2"/>
  <c r="S1075" i="2"/>
  <c r="T1075" i="2" s="1"/>
  <c r="P1075" i="2"/>
  <c r="R1075" i="2" s="1"/>
  <c r="O1075" i="2"/>
  <c r="N1075" i="2"/>
  <c r="M1075" i="2"/>
  <c r="L1075" i="2"/>
  <c r="V1075" i="2" s="1"/>
  <c r="U1074" i="2"/>
  <c r="S1074" i="2"/>
  <c r="T1074" i="2" s="1"/>
  <c r="P1074" i="2"/>
  <c r="R1074" i="2" s="1"/>
  <c r="O1074" i="2"/>
  <c r="N1074" i="2"/>
  <c r="M1074" i="2"/>
  <c r="L1074" i="2"/>
  <c r="V1074" i="2" s="1"/>
  <c r="U1073" i="2"/>
  <c r="S1073" i="2"/>
  <c r="T1073" i="2" s="1"/>
  <c r="Q1073" i="2"/>
  <c r="P1073" i="2"/>
  <c r="R1073" i="2" s="1"/>
  <c r="O1073" i="2"/>
  <c r="N1073" i="2"/>
  <c r="M1073" i="2"/>
  <c r="L1073" i="2"/>
  <c r="V1073" i="2" s="1"/>
  <c r="U1072" i="2"/>
  <c r="S1072" i="2"/>
  <c r="T1072" i="2" s="1"/>
  <c r="P1072" i="2"/>
  <c r="R1072" i="2" s="1"/>
  <c r="O1072" i="2"/>
  <c r="N1072" i="2"/>
  <c r="M1072" i="2"/>
  <c r="L1072" i="2"/>
  <c r="V1072" i="2" s="1"/>
  <c r="U1071" i="2"/>
  <c r="S1071" i="2"/>
  <c r="T1071" i="2" s="1"/>
  <c r="Q1071" i="2"/>
  <c r="P1071" i="2"/>
  <c r="R1071" i="2" s="1"/>
  <c r="O1071" i="2"/>
  <c r="N1071" i="2"/>
  <c r="M1071" i="2"/>
  <c r="L1071" i="2"/>
  <c r="V1071" i="2" s="1"/>
  <c r="U1070" i="2"/>
  <c r="S1070" i="2"/>
  <c r="T1070" i="2" s="1"/>
  <c r="Q1070" i="2"/>
  <c r="P1070" i="2"/>
  <c r="R1070" i="2" s="1"/>
  <c r="O1070" i="2"/>
  <c r="N1070" i="2"/>
  <c r="M1070" i="2"/>
  <c r="L1070" i="2"/>
  <c r="V1070" i="2" s="1"/>
  <c r="U1069" i="2"/>
  <c r="S1069" i="2"/>
  <c r="T1069" i="2" s="1"/>
  <c r="Q1069" i="2"/>
  <c r="P1069" i="2"/>
  <c r="R1069" i="2" s="1"/>
  <c r="O1069" i="2"/>
  <c r="N1069" i="2"/>
  <c r="M1069" i="2"/>
  <c r="L1069" i="2"/>
  <c r="V1069" i="2" s="1"/>
  <c r="U1068" i="2"/>
  <c r="S1068" i="2"/>
  <c r="T1068" i="2" s="1"/>
  <c r="Q1068" i="2"/>
  <c r="P1068" i="2"/>
  <c r="R1068" i="2" s="1"/>
  <c r="O1068" i="2"/>
  <c r="N1068" i="2"/>
  <c r="M1068" i="2"/>
  <c r="L1068" i="2"/>
  <c r="V1068" i="2" s="1"/>
  <c r="U1067" i="2"/>
  <c r="S1067" i="2"/>
  <c r="T1067" i="2" s="1"/>
  <c r="Q1067" i="2"/>
  <c r="P1067" i="2"/>
  <c r="R1067" i="2" s="1"/>
  <c r="O1067" i="2"/>
  <c r="N1067" i="2"/>
  <c r="M1067" i="2"/>
  <c r="L1067" i="2"/>
  <c r="V1067" i="2" s="1"/>
  <c r="U1066" i="2"/>
  <c r="S1066" i="2"/>
  <c r="T1066" i="2" s="1"/>
  <c r="P1066" i="2"/>
  <c r="R1066" i="2" s="1"/>
  <c r="O1066" i="2"/>
  <c r="N1066" i="2"/>
  <c r="M1066" i="2"/>
  <c r="L1066" i="2"/>
  <c r="V1066" i="2" s="1"/>
  <c r="U1065" i="2"/>
  <c r="S1065" i="2"/>
  <c r="T1065" i="2" s="1"/>
  <c r="Q1065" i="2"/>
  <c r="P1065" i="2"/>
  <c r="R1065" i="2" s="1"/>
  <c r="O1065" i="2"/>
  <c r="N1065" i="2"/>
  <c r="M1065" i="2"/>
  <c r="L1065" i="2"/>
  <c r="V1065" i="2" s="1"/>
  <c r="U1064" i="2"/>
  <c r="S1064" i="2"/>
  <c r="T1064" i="2" s="1"/>
  <c r="Q1064" i="2"/>
  <c r="P1064" i="2"/>
  <c r="R1064" i="2" s="1"/>
  <c r="O1064" i="2"/>
  <c r="N1064" i="2"/>
  <c r="M1064" i="2"/>
  <c r="L1064" i="2"/>
  <c r="V1064" i="2" s="1"/>
  <c r="U1063" i="2"/>
  <c r="S1063" i="2"/>
  <c r="T1063" i="2" s="1"/>
  <c r="Q1063" i="2"/>
  <c r="P1063" i="2"/>
  <c r="R1063" i="2" s="1"/>
  <c r="O1063" i="2"/>
  <c r="N1063" i="2"/>
  <c r="M1063" i="2"/>
  <c r="L1063" i="2"/>
  <c r="V1063" i="2" s="1"/>
  <c r="U1062" i="2"/>
  <c r="S1062" i="2"/>
  <c r="T1062" i="2" s="1"/>
  <c r="Q1062" i="2"/>
  <c r="P1062" i="2"/>
  <c r="R1062" i="2" s="1"/>
  <c r="O1062" i="2"/>
  <c r="N1062" i="2"/>
  <c r="M1062" i="2"/>
  <c r="L1062" i="2"/>
  <c r="V1062" i="2" s="1"/>
  <c r="U1061" i="2"/>
  <c r="S1061" i="2"/>
  <c r="T1061" i="2" s="1"/>
  <c r="Q1061" i="2"/>
  <c r="P1061" i="2"/>
  <c r="R1061" i="2" s="1"/>
  <c r="O1061" i="2"/>
  <c r="N1061" i="2"/>
  <c r="M1061" i="2"/>
  <c r="L1061" i="2"/>
  <c r="V1061" i="2" s="1"/>
  <c r="U1060" i="2"/>
  <c r="S1060" i="2"/>
  <c r="T1060" i="2" s="1"/>
  <c r="P1060" i="2"/>
  <c r="R1060" i="2" s="1"/>
  <c r="O1060" i="2"/>
  <c r="N1060" i="2"/>
  <c r="M1060" i="2"/>
  <c r="L1060" i="2"/>
  <c r="V1060" i="2" s="1"/>
  <c r="U1059" i="2"/>
  <c r="S1059" i="2"/>
  <c r="T1059" i="2" s="1"/>
  <c r="Q1059" i="2"/>
  <c r="P1059" i="2"/>
  <c r="R1059" i="2" s="1"/>
  <c r="O1059" i="2"/>
  <c r="N1059" i="2"/>
  <c r="M1059" i="2"/>
  <c r="L1059" i="2"/>
  <c r="V1059" i="2" s="1"/>
  <c r="U1058" i="2"/>
  <c r="S1058" i="2"/>
  <c r="T1058" i="2" s="1"/>
  <c r="Q1058" i="2"/>
  <c r="P1058" i="2"/>
  <c r="R1058" i="2" s="1"/>
  <c r="O1058" i="2"/>
  <c r="N1058" i="2"/>
  <c r="M1058" i="2"/>
  <c r="L1058" i="2"/>
  <c r="V1058" i="2" s="1"/>
  <c r="U1057" i="2"/>
  <c r="S1057" i="2"/>
  <c r="T1057" i="2" s="1"/>
  <c r="Q1057" i="2"/>
  <c r="P1057" i="2"/>
  <c r="R1057" i="2" s="1"/>
  <c r="O1057" i="2"/>
  <c r="N1057" i="2"/>
  <c r="M1057" i="2"/>
  <c r="L1057" i="2"/>
  <c r="V1057" i="2" s="1"/>
  <c r="U1056" i="2"/>
  <c r="S1056" i="2"/>
  <c r="T1056" i="2" s="1"/>
  <c r="P1056" i="2"/>
  <c r="R1056" i="2" s="1"/>
  <c r="O1056" i="2"/>
  <c r="N1056" i="2"/>
  <c r="M1056" i="2"/>
  <c r="L1056" i="2"/>
  <c r="V1056" i="2" s="1"/>
  <c r="U1055" i="2"/>
  <c r="S1055" i="2"/>
  <c r="T1055" i="2" s="1"/>
  <c r="Q1055" i="2"/>
  <c r="P1055" i="2"/>
  <c r="R1055" i="2" s="1"/>
  <c r="O1055" i="2"/>
  <c r="N1055" i="2"/>
  <c r="M1055" i="2"/>
  <c r="L1055" i="2"/>
  <c r="V1055" i="2" s="1"/>
  <c r="U1054" i="2"/>
  <c r="S1054" i="2"/>
  <c r="T1054" i="2" s="1"/>
  <c r="Q1054" i="2"/>
  <c r="P1054" i="2"/>
  <c r="R1054" i="2" s="1"/>
  <c r="O1054" i="2"/>
  <c r="N1054" i="2"/>
  <c r="M1054" i="2"/>
  <c r="L1054" i="2"/>
  <c r="V1054" i="2" s="1"/>
  <c r="U1053" i="2"/>
  <c r="S1053" i="2"/>
  <c r="T1053" i="2" s="1"/>
  <c r="Q1053" i="2"/>
  <c r="P1053" i="2"/>
  <c r="R1053" i="2" s="1"/>
  <c r="O1053" i="2"/>
  <c r="N1053" i="2"/>
  <c r="M1053" i="2"/>
  <c r="L1053" i="2"/>
  <c r="V1053" i="2" s="1"/>
  <c r="U1052" i="2"/>
  <c r="S1052" i="2"/>
  <c r="T1052" i="2" s="1"/>
  <c r="Q1052" i="2"/>
  <c r="P1052" i="2"/>
  <c r="R1052" i="2" s="1"/>
  <c r="O1052" i="2"/>
  <c r="N1052" i="2"/>
  <c r="M1052" i="2"/>
  <c r="L1052" i="2"/>
  <c r="V1052" i="2" s="1"/>
  <c r="U1051" i="2"/>
  <c r="S1051" i="2"/>
  <c r="T1051" i="2" s="1"/>
  <c r="Q1051" i="2"/>
  <c r="P1051" i="2"/>
  <c r="R1051" i="2" s="1"/>
  <c r="O1051" i="2"/>
  <c r="N1051" i="2"/>
  <c r="M1051" i="2"/>
  <c r="L1051" i="2"/>
  <c r="V1051" i="2" s="1"/>
  <c r="U1050" i="2"/>
  <c r="S1050" i="2"/>
  <c r="T1050" i="2" s="1"/>
  <c r="P1050" i="2"/>
  <c r="R1050" i="2" s="1"/>
  <c r="O1050" i="2"/>
  <c r="N1050" i="2"/>
  <c r="M1050" i="2"/>
  <c r="L1050" i="2"/>
  <c r="V1050" i="2" s="1"/>
  <c r="U1049" i="2"/>
  <c r="S1049" i="2"/>
  <c r="T1049" i="2" s="1"/>
  <c r="Q1049" i="2"/>
  <c r="P1049" i="2"/>
  <c r="R1049" i="2" s="1"/>
  <c r="O1049" i="2"/>
  <c r="N1049" i="2"/>
  <c r="M1049" i="2"/>
  <c r="L1049" i="2"/>
  <c r="V1049" i="2" s="1"/>
  <c r="U1048" i="2"/>
  <c r="S1048" i="2"/>
  <c r="T1048" i="2" s="1"/>
  <c r="Q1048" i="2"/>
  <c r="P1048" i="2"/>
  <c r="R1048" i="2" s="1"/>
  <c r="O1048" i="2"/>
  <c r="N1048" i="2"/>
  <c r="M1048" i="2"/>
  <c r="L1048" i="2"/>
  <c r="V1048" i="2" s="1"/>
  <c r="U1047" i="2"/>
  <c r="S1047" i="2"/>
  <c r="T1047" i="2" s="1"/>
  <c r="Q1047" i="2"/>
  <c r="P1047" i="2"/>
  <c r="R1047" i="2" s="1"/>
  <c r="O1047" i="2"/>
  <c r="N1047" i="2"/>
  <c r="M1047" i="2"/>
  <c r="L1047" i="2"/>
  <c r="V1047" i="2" s="1"/>
  <c r="U1046" i="2"/>
  <c r="S1046" i="2"/>
  <c r="T1046" i="2" s="1"/>
  <c r="Q1046" i="2"/>
  <c r="P1046" i="2"/>
  <c r="R1046" i="2" s="1"/>
  <c r="O1046" i="2"/>
  <c r="N1046" i="2"/>
  <c r="M1046" i="2"/>
  <c r="L1046" i="2"/>
  <c r="V1046" i="2" s="1"/>
  <c r="U1045" i="2"/>
  <c r="S1045" i="2"/>
  <c r="T1045" i="2" s="1"/>
  <c r="Q1045" i="2"/>
  <c r="P1045" i="2"/>
  <c r="R1045" i="2" s="1"/>
  <c r="O1045" i="2"/>
  <c r="N1045" i="2"/>
  <c r="M1045" i="2"/>
  <c r="L1045" i="2"/>
  <c r="V1045" i="2" s="1"/>
  <c r="U1044" i="2"/>
  <c r="S1044" i="2"/>
  <c r="T1044" i="2" s="1"/>
  <c r="Q1044" i="2"/>
  <c r="P1044" i="2"/>
  <c r="R1044" i="2" s="1"/>
  <c r="O1044" i="2"/>
  <c r="N1044" i="2"/>
  <c r="M1044" i="2"/>
  <c r="L1044" i="2"/>
  <c r="V1044" i="2" s="1"/>
  <c r="U1043" i="2"/>
  <c r="S1043" i="2"/>
  <c r="T1043" i="2" s="1"/>
  <c r="Q1043" i="2"/>
  <c r="P1043" i="2"/>
  <c r="R1043" i="2" s="1"/>
  <c r="O1043" i="2"/>
  <c r="N1043" i="2"/>
  <c r="M1043" i="2"/>
  <c r="L1043" i="2"/>
  <c r="V1043" i="2" s="1"/>
  <c r="U1042" i="2"/>
  <c r="S1042" i="2"/>
  <c r="T1042" i="2" s="1"/>
  <c r="Q1042" i="2"/>
  <c r="P1042" i="2"/>
  <c r="R1042" i="2" s="1"/>
  <c r="O1042" i="2"/>
  <c r="N1042" i="2"/>
  <c r="M1042" i="2"/>
  <c r="L1042" i="2"/>
  <c r="V1042" i="2" s="1"/>
  <c r="U1041" i="2"/>
  <c r="S1041" i="2"/>
  <c r="T1041" i="2" s="1"/>
  <c r="Q1041" i="2"/>
  <c r="P1041" i="2"/>
  <c r="R1041" i="2" s="1"/>
  <c r="O1041" i="2"/>
  <c r="N1041" i="2"/>
  <c r="M1041" i="2"/>
  <c r="L1041" i="2"/>
  <c r="V1041" i="2" s="1"/>
  <c r="U1040" i="2"/>
  <c r="S1040" i="2"/>
  <c r="T1040" i="2" s="1"/>
  <c r="Q1040" i="2"/>
  <c r="P1040" i="2"/>
  <c r="R1040" i="2" s="1"/>
  <c r="O1040" i="2"/>
  <c r="N1040" i="2"/>
  <c r="M1040" i="2"/>
  <c r="L1040" i="2"/>
  <c r="V1040" i="2" s="1"/>
  <c r="U1039" i="2"/>
  <c r="S1039" i="2"/>
  <c r="T1039" i="2" s="1"/>
  <c r="Q1039" i="2"/>
  <c r="P1039" i="2"/>
  <c r="R1039" i="2" s="1"/>
  <c r="O1039" i="2"/>
  <c r="N1039" i="2"/>
  <c r="M1039" i="2"/>
  <c r="L1039" i="2"/>
  <c r="V1039" i="2" s="1"/>
  <c r="U1038" i="2"/>
  <c r="S1038" i="2"/>
  <c r="T1038" i="2" s="1"/>
  <c r="P1038" i="2"/>
  <c r="R1038" i="2" s="1"/>
  <c r="O1038" i="2"/>
  <c r="N1038" i="2"/>
  <c r="M1038" i="2"/>
  <c r="L1038" i="2"/>
  <c r="V1038" i="2" s="1"/>
  <c r="U1037" i="2"/>
  <c r="S1037" i="2"/>
  <c r="T1037" i="2" s="1"/>
  <c r="P1037" i="2"/>
  <c r="R1037" i="2" s="1"/>
  <c r="O1037" i="2"/>
  <c r="N1037" i="2"/>
  <c r="M1037" i="2"/>
  <c r="L1037" i="2"/>
  <c r="V1037" i="2" s="1"/>
  <c r="U1036" i="2"/>
  <c r="S1036" i="2"/>
  <c r="T1036" i="2" s="1"/>
  <c r="Q1036" i="2"/>
  <c r="P1036" i="2"/>
  <c r="R1036" i="2" s="1"/>
  <c r="O1036" i="2"/>
  <c r="N1036" i="2"/>
  <c r="M1036" i="2"/>
  <c r="L1036" i="2"/>
  <c r="V1036" i="2" s="1"/>
  <c r="U1035" i="2"/>
  <c r="S1035" i="2"/>
  <c r="T1035" i="2" s="1"/>
  <c r="Q1035" i="2"/>
  <c r="P1035" i="2"/>
  <c r="R1035" i="2" s="1"/>
  <c r="O1035" i="2"/>
  <c r="N1035" i="2"/>
  <c r="M1035" i="2"/>
  <c r="L1035" i="2"/>
  <c r="V1035" i="2" s="1"/>
  <c r="U1034" i="2"/>
  <c r="S1034" i="2"/>
  <c r="T1034" i="2" s="1"/>
  <c r="P1034" i="2"/>
  <c r="R1034" i="2" s="1"/>
  <c r="O1034" i="2"/>
  <c r="N1034" i="2"/>
  <c r="M1034" i="2"/>
  <c r="L1034" i="2"/>
  <c r="V1034" i="2" s="1"/>
  <c r="U1033" i="2"/>
  <c r="S1033" i="2"/>
  <c r="T1033" i="2" s="1"/>
  <c r="Q1033" i="2"/>
  <c r="P1033" i="2"/>
  <c r="R1033" i="2" s="1"/>
  <c r="O1033" i="2"/>
  <c r="N1033" i="2"/>
  <c r="M1033" i="2"/>
  <c r="L1033" i="2"/>
  <c r="V1033" i="2" s="1"/>
  <c r="U1032" i="2"/>
  <c r="S1032" i="2"/>
  <c r="T1032" i="2" s="1"/>
  <c r="Q1032" i="2"/>
  <c r="P1032" i="2"/>
  <c r="R1032" i="2" s="1"/>
  <c r="O1032" i="2"/>
  <c r="N1032" i="2"/>
  <c r="M1032" i="2"/>
  <c r="L1032" i="2"/>
  <c r="V1032" i="2" s="1"/>
  <c r="U1031" i="2"/>
  <c r="S1031" i="2"/>
  <c r="T1031" i="2" s="1"/>
  <c r="Q1031" i="2"/>
  <c r="P1031" i="2"/>
  <c r="R1031" i="2" s="1"/>
  <c r="O1031" i="2"/>
  <c r="N1031" i="2"/>
  <c r="M1031" i="2"/>
  <c r="L1031" i="2"/>
  <c r="V1031" i="2" s="1"/>
  <c r="U1030" i="2"/>
  <c r="S1030" i="2"/>
  <c r="T1030" i="2" s="1"/>
  <c r="Q1030" i="2"/>
  <c r="P1030" i="2"/>
  <c r="R1030" i="2" s="1"/>
  <c r="O1030" i="2"/>
  <c r="N1030" i="2"/>
  <c r="M1030" i="2"/>
  <c r="L1030" i="2"/>
  <c r="V1030" i="2" s="1"/>
  <c r="U1029" i="2"/>
  <c r="S1029" i="2"/>
  <c r="T1029" i="2" s="1"/>
  <c r="Q1029" i="2"/>
  <c r="P1029" i="2"/>
  <c r="R1029" i="2" s="1"/>
  <c r="O1029" i="2"/>
  <c r="N1029" i="2"/>
  <c r="M1029" i="2"/>
  <c r="L1029" i="2"/>
  <c r="V1029" i="2" s="1"/>
  <c r="U1028" i="2"/>
  <c r="S1028" i="2"/>
  <c r="T1028" i="2" s="1"/>
  <c r="Q1028" i="2"/>
  <c r="P1028" i="2"/>
  <c r="R1028" i="2" s="1"/>
  <c r="O1028" i="2"/>
  <c r="N1028" i="2"/>
  <c r="M1028" i="2"/>
  <c r="L1028" i="2"/>
  <c r="V1028" i="2" s="1"/>
  <c r="U1027" i="2"/>
  <c r="S1027" i="2"/>
  <c r="T1027" i="2" s="1"/>
  <c r="Q1027" i="2"/>
  <c r="P1027" i="2"/>
  <c r="R1027" i="2" s="1"/>
  <c r="O1027" i="2"/>
  <c r="N1027" i="2"/>
  <c r="M1027" i="2"/>
  <c r="L1027" i="2"/>
  <c r="V1027" i="2" s="1"/>
  <c r="U1026" i="2"/>
  <c r="S1026" i="2"/>
  <c r="T1026" i="2" s="1"/>
  <c r="Q1026" i="2"/>
  <c r="P1026" i="2"/>
  <c r="R1026" i="2" s="1"/>
  <c r="O1026" i="2"/>
  <c r="N1026" i="2"/>
  <c r="M1026" i="2"/>
  <c r="L1026" i="2"/>
  <c r="V1026" i="2" s="1"/>
  <c r="U1025" i="2"/>
  <c r="S1025" i="2"/>
  <c r="T1025" i="2" s="1"/>
  <c r="Q1025" i="2"/>
  <c r="P1025" i="2"/>
  <c r="R1025" i="2" s="1"/>
  <c r="O1025" i="2"/>
  <c r="N1025" i="2"/>
  <c r="M1025" i="2"/>
  <c r="L1025" i="2"/>
  <c r="V1025" i="2" s="1"/>
  <c r="U1024" i="2"/>
  <c r="S1024" i="2"/>
  <c r="T1024" i="2" s="1"/>
  <c r="Q1024" i="2"/>
  <c r="P1024" i="2"/>
  <c r="R1024" i="2" s="1"/>
  <c r="O1024" i="2"/>
  <c r="N1024" i="2"/>
  <c r="M1024" i="2"/>
  <c r="L1024" i="2"/>
  <c r="V1024" i="2" s="1"/>
  <c r="U1023" i="2"/>
  <c r="S1023" i="2"/>
  <c r="T1023" i="2" s="1"/>
  <c r="Q1023" i="2"/>
  <c r="P1023" i="2"/>
  <c r="R1023" i="2" s="1"/>
  <c r="O1023" i="2"/>
  <c r="N1023" i="2"/>
  <c r="M1023" i="2"/>
  <c r="L1023" i="2"/>
  <c r="V1023" i="2" s="1"/>
  <c r="U1022" i="2"/>
  <c r="S1022" i="2"/>
  <c r="T1022" i="2" s="1"/>
  <c r="Q1022" i="2"/>
  <c r="P1022" i="2"/>
  <c r="R1022" i="2" s="1"/>
  <c r="O1022" i="2"/>
  <c r="N1022" i="2"/>
  <c r="M1022" i="2"/>
  <c r="L1022" i="2"/>
  <c r="V1022" i="2" s="1"/>
  <c r="U1021" i="2"/>
  <c r="S1021" i="2"/>
  <c r="T1021" i="2" s="1"/>
  <c r="Q1021" i="2"/>
  <c r="P1021" i="2"/>
  <c r="R1021" i="2" s="1"/>
  <c r="O1021" i="2"/>
  <c r="N1021" i="2"/>
  <c r="M1021" i="2"/>
  <c r="L1021" i="2"/>
  <c r="V1021" i="2" s="1"/>
  <c r="U1020" i="2"/>
  <c r="S1020" i="2"/>
  <c r="T1020" i="2" s="1"/>
  <c r="Q1020" i="2"/>
  <c r="P1020" i="2"/>
  <c r="R1020" i="2" s="1"/>
  <c r="O1020" i="2"/>
  <c r="N1020" i="2"/>
  <c r="M1020" i="2"/>
  <c r="L1020" i="2"/>
  <c r="V1020" i="2" s="1"/>
  <c r="U1019" i="2"/>
  <c r="S1019" i="2"/>
  <c r="T1019" i="2" s="1"/>
  <c r="Q1019" i="2"/>
  <c r="P1019" i="2"/>
  <c r="R1019" i="2" s="1"/>
  <c r="O1019" i="2"/>
  <c r="N1019" i="2"/>
  <c r="M1019" i="2"/>
  <c r="L1019" i="2"/>
  <c r="V1019" i="2" s="1"/>
  <c r="U1018" i="2"/>
  <c r="S1018" i="2"/>
  <c r="T1018" i="2" s="1"/>
  <c r="P1018" i="2"/>
  <c r="R1018" i="2" s="1"/>
  <c r="O1018" i="2"/>
  <c r="N1018" i="2"/>
  <c r="M1018" i="2"/>
  <c r="L1018" i="2"/>
  <c r="V1018" i="2" s="1"/>
  <c r="U1017" i="2"/>
  <c r="S1017" i="2"/>
  <c r="T1017" i="2" s="1"/>
  <c r="Q1017" i="2"/>
  <c r="P1017" i="2"/>
  <c r="R1017" i="2" s="1"/>
  <c r="O1017" i="2"/>
  <c r="N1017" i="2"/>
  <c r="M1017" i="2"/>
  <c r="L1017" i="2"/>
  <c r="V1017" i="2" s="1"/>
  <c r="U1016" i="2"/>
  <c r="S1016" i="2"/>
  <c r="T1016" i="2" s="1"/>
  <c r="Q1016" i="2"/>
  <c r="P1016" i="2"/>
  <c r="R1016" i="2" s="1"/>
  <c r="O1016" i="2"/>
  <c r="N1016" i="2"/>
  <c r="M1016" i="2"/>
  <c r="L1016" i="2"/>
  <c r="V1016" i="2" s="1"/>
  <c r="U1015" i="2"/>
  <c r="S1015" i="2"/>
  <c r="T1015" i="2" s="1"/>
  <c r="Q1015" i="2"/>
  <c r="P1015" i="2"/>
  <c r="R1015" i="2" s="1"/>
  <c r="O1015" i="2"/>
  <c r="N1015" i="2"/>
  <c r="M1015" i="2"/>
  <c r="L1015" i="2"/>
  <c r="V1015" i="2" s="1"/>
  <c r="U1014" i="2"/>
  <c r="S1014" i="2"/>
  <c r="T1014" i="2" s="1"/>
  <c r="Q1014" i="2"/>
  <c r="P1014" i="2"/>
  <c r="R1014" i="2" s="1"/>
  <c r="O1014" i="2"/>
  <c r="N1014" i="2"/>
  <c r="M1014" i="2"/>
  <c r="L1014" i="2"/>
  <c r="V1014" i="2" s="1"/>
  <c r="U1013" i="2"/>
  <c r="S1013" i="2"/>
  <c r="T1013" i="2" s="1"/>
  <c r="Q1013" i="2"/>
  <c r="P1013" i="2"/>
  <c r="R1013" i="2" s="1"/>
  <c r="O1013" i="2"/>
  <c r="N1013" i="2"/>
  <c r="M1013" i="2"/>
  <c r="L1013" i="2"/>
  <c r="V1013" i="2" s="1"/>
  <c r="U1012" i="2"/>
  <c r="S1012" i="2"/>
  <c r="T1012" i="2" s="1"/>
  <c r="Q1012" i="2"/>
  <c r="P1012" i="2"/>
  <c r="R1012" i="2" s="1"/>
  <c r="O1012" i="2"/>
  <c r="N1012" i="2"/>
  <c r="M1012" i="2"/>
  <c r="L1012" i="2"/>
  <c r="V1012" i="2" s="1"/>
  <c r="U1011" i="2"/>
  <c r="S1011" i="2"/>
  <c r="T1011" i="2" s="1"/>
  <c r="Q1011" i="2"/>
  <c r="P1011" i="2"/>
  <c r="R1011" i="2" s="1"/>
  <c r="O1011" i="2"/>
  <c r="N1011" i="2"/>
  <c r="M1011" i="2"/>
  <c r="L1011" i="2"/>
  <c r="V1011" i="2" s="1"/>
  <c r="U1010" i="2"/>
  <c r="S1010" i="2"/>
  <c r="T1010" i="2" s="1"/>
  <c r="Q1010" i="2"/>
  <c r="P1010" i="2"/>
  <c r="R1010" i="2" s="1"/>
  <c r="O1010" i="2"/>
  <c r="N1010" i="2"/>
  <c r="M1010" i="2"/>
  <c r="L1010" i="2"/>
  <c r="V1010" i="2" s="1"/>
  <c r="U1009" i="2"/>
  <c r="S1009" i="2"/>
  <c r="T1009" i="2" s="1"/>
  <c r="Q1009" i="2"/>
  <c r="P1009" i="2"/>
  <c r="R1009" i="2" s="1"/>
  <c r="O1009" i="2"/>
  <c r="N1009" i="2"/>
  <c r="M1009" i="2"/>
  <c r="L1009" i="2"/>
  <c r="V1009" i="2" s="1"/>
  <c r="U1008" i="2"/>
  <c r="S1008" i="2"/>
  <c r="T1008" i="2" s="1"/>
  <c r="Q1008" i="2"/>
  <c r="P1008" i="2"/>
  <c r="R1008" i="2" s="1"/>
  <c r="O1008" i="2"/>
  <c r="N1008" i="2"/>
  <c r="M1008" i="2"/>
  <c r="L1008" i="2"/>
  <c r="V1008" i="2" s="1"/>
  <c r="U1007" i="2"/>
  <c r="S1007" i="2"/>
  <c r="T1007" i="2" s="1"/>
  <c r="P1007" i="2"/>
  <c r="R1007" i="2" s="1"/>
  <c r="O1007" i="2"/>
  <c r="N1007" i="2"/>
  <c r="M1007" i="2"/>
  <c r="L1007" i="2"/>
  <c r="V1007" i="2" s="1"/>
  <c r="U1006" i="2"/>
  <c r="S1006" i="2"/>
  <c r="T1006" i="2" s="1"/>
  <c r="Q1006" i="2"/>
  <c r="P1006" i="2"/>
  <c r="R1006" i="2" s="1"/>
  <c r="O1006" i="2"/>
  <c r="N1006" i="2"/>
  <c r="M1006" i="2"/>
  <c r="L1006" i="2"/>
  <c r="V1006" i="2" s="1"/>
  <c r="U1005" i="2"/>
  <c r="S1005" i="2"/>
  <c r="T1005" i="2" s="1"/>
  <c r="Q1005" i="2"/>
  <c r="P1005" i="2"/>
  <c r="R1005" i="2" s="1"/>
  <c r="O1005" i="2"/>
  <c r="N1005" i="2"/>
  <c r="M1005" i="2"/>
  <c r="L1005" i="2"/>
  <c r="V1005" i="2" s="1"/>
  <c r="U1004" i="2"/>
  <c r="S1004" i="2"/>
  <c r="T1004" i="2" s="1"/>
  <c r="P1004" i="2"/>
  <c r="R1004" i="2" s="1"/>
  <c r="O1004" i="2"/>
  <c r="N1004" i="2"/>
  <c r="M1004" i="2"/>
  <c r="L1004" i="2"/>
  <c r="V1004" i="2" s="1"/>
  <c r="U1003" i="2"/>
  <c r="S1003" i="2"/>
  <c r="T1003" i="2" s="1"/>
  <c r="Q1003" i="2"/>
  <c r="P1003" i="2"/>
  <c r="R1003" i="2" s="1"/>
  <c r="O1003" i="2"/>
  <c r="N1003" i="2"/>
  <c r="M1003" i="2"/>
  <c r="L1003" i="2"/>
  <c r="V1003" i="2" s="1"/>
  <c r="U1002" i="2"/>
  <c r="S1002" i="2"/>
  <c r="T1002" i="2" s="1"/>
  <c r="Q1002" i="2"/>
  <c r="P1002" i="2"/>
  <c r="R1002" i="2" s="1"/>
  <c r="O1002" i="2"/>
  <c r="N1002" i="2"/>
  <c r="M1002" i="2"/>
  <c r="L1002" i="2"/>
  <c r="V1002" i="2" s="1"/>
  <c r="U1001" i="2"/>
  <c r="S1001" i="2"/>
  <c r="T1001" i="2" s="1"/>
  <c r="Q1001" i="2"/>
  <c r="P1001" i="2"/>
  <c r="R1001" i="2" s="1"/>
  <c r="O1001" i="2"/>
  <c r="N1001" i="2"/>
  <c r="M1001" i="2"/>
  <c r="L1001" i="2"/>
  <c r="V1001" i="2" s="1"/>
  <c r="U1000" i="2"/>
  <c r="S1000" i="2"/>
  <c r="T1000" i="2" s="1"/>
  <c r="Q1000" i="2"/>
  <c r="P1000" i="2"/>
  <c r="R1000" i="2" s="1"/>
  <c r="O1000" i="2"/>
  <c r="N1000" i="2"/>
  <c r="M1000" i="2"/>
  <c r="L1000" i="2"/>
  <c r="V1000" i="2" s="1"/>
  <c r="U999" i="2"/>
  <c r="S999" i="2"/>
  <c r="T999" i="2" s="1"/>
  <c r="Q999" i="2"/>
  <c r="P999" i="2"/>
  <c r="R999" i="2" s="1"/>
  <c r="O999" i="2"/>
  <c r="N999" i="2"/>
  <c r="M999" i="2"/>
  <c r="L999" i="2"/>
  <c r="V999" i="2" s="1"/>
  <c r="U998" i="2"/>
  <c r="S998" i="2"/>
  <c r="T998" i="2" s="1"/>
  <c r="Q998" i="2"/>
  <c r="P998" i="2"/>
  <c r="R998" i="2" s="1"/>
  <c r="O998" i="2"/>
  <c r="N998" i="2"/>
  <c r="M998" i="2"/>
  <c r="L998" i="2"/>
  <c r="V998" i="2" s="1"/>
  <c r="U997" i="2"/>
  <c r="S997" i="2"/>
  <c r="T997" i="2" s="1"/>
  <c r="Q997" i="2"/>
  <c r="P997" i="2"/>
  <c r="R997" i="2" s="1"/>
  <c r="O997" i="2"/>
  <c r="N997" i="2"/>
  <c r="M997" i="2"/>
  <c r="L997" i="2"/>
  <c r="V997" i="2" s="1"/>
  <c r="U996" i="2"/>
  <c r="S996" i="2"/>
  <c r="T996" i="2" s="1"/>
  <c r="Q996" i="2"/>
  <c r="P996" i="2"/>
  <c r="R996" i="2" s="1"/>
  <c r="O996" i="2"/>
  <c r="N996" i="2"/>
  <c r="M996" i="2"/>
  <c r="L996" i="2"/>
  <c r="V996" i="2" s="1"/>
  <c r="U995" i="2"/>
  <c r="S995" i="2"/>
  <c r="T995" i="2" s="1"/>
  <c r="Q995" i="2"/>
  <c r="P995" i="2"/>
  <c r="R995" i="2" s="1"/>
  <c r="O995" i="2"/>
  <c r="N995" i="2"/>
  <c r="M995" i="2"/>
  <c r="L995" i="2"/>
  <c r="V995" i="2" s="1"/>
  <c r="U994" i="2"/>
  <c r="S994" i="2"/>
  <c r="T994" i="2" s="1"/>
  <c r="Q994" i="2"/>
  <c r="P994" i="2"/>
  <c r="R994" i="2" s="1"/>
  <c r="O994" i="2"/>
  <c r="N994" i="2"/>
  <c r="M994" i="2"/>
  <c r="L994" i="2"/>
  <c r="V994" i="2" s="1"/>
  <c r="U993" i="2"/>
  <c r="S993" i="2"/>
  <c r="T993" i="2" s="1"/>
  <c r="Q993" i="2"/>
  <c r="P993" i="2"/>
  <c r="R993" i="2" s="1"/>
  <c r="O993" i="2"/>
  <c r="N993" i="2"/>
  <c r="M993" i="2"/>
  <c r="L993" i="2"/>
  <c r="V993" i="2" s="1"/>
  <c r="U992" i="2"/>
  <c r="S992" i="2"/>
  <c r="T992" i="2" s="1"/>
  <c r="Q992" i="2"/>
  <c r="P992" i="2"/>
  <c r="R992" i="2" s="1"/>
  <c r="O992" i="2"/>
  <c r="N992" i="2"/>
  <c r="M992" i="2"/>
  <c r="L992" i="2"/>
  <c r="V992" i="2" s="1"/>
  <c r="U991" i="2"/>
  <c r="S991" i="2"/>
  <c r="T991" i="2" s="1"/>
  <c r="Q991" i="2"/>
  <c r="P991" i="2"/>
  <c r="R991" i="2" s="1"/>
  <c r="O991" i="2"/>
  <c r="N991" i="2"/>
  <c r="M991" i="2"/>
  <c r="L991" i="2"/>
  <c r="V991" i="2" s="1"/>
  <c r="U990" i="2"/>
  <c r="S990" i="2"/>
  <c r="T990" i="2" s="1"/>
  <c r="Q990" i="2"/>
  <c r="P990" i="2"/>
  <c r="R990" i="2" s="1"/>
  <c r="O990" i="2"/>
  <c r="N990" i="2"/>
  <c r="M990" i="2"/>
  <c r="L990" i="2"/>
  <c r="V990" i="2" s="1"/>
  <c r="U989" i="2"/>
  <c r="S989" i="2"/>
  <c r="T989" i="2" s="1"/>
  <c r="Q989" i="2"/>
  <c r="P989" i="2"/>
  <c r="R989" i="2" s="1"/>
  <c r="O989" i="2"/>
  <c r="N989" i="2"/>
  <c r="M989" i="2"/>
  <c r="L989" i="2"/>
  <c r="V989" i="2" s="1"/>
  <c r="U988" i="2"/>
  <c r="S988" i="2"/>
  <c r="T988" i="2" s="1"/>
  <c r="Q988" i="2"/>
  <c r="P988" i="2"/>
  <c r="R988" i="2" s="1"/>
  <c r="O988" i="2"/>
  <c r="N988" i="2"/>
  <c r="M988" i="2"/>
  <c r="L988" i="2"/>
  <c r="V988" i="2" s="1"/>
  <c r="U987" i="2"/>
  <c r="S987" i="2"/>
  <c r="T987" i="2" s="1"/>
  <c r="Q987" i="2"/>
  <c r="P987" i="2"/>
  <c r="R987" i="2" s="1"/>
  <c r="O987" i="2"/>
  <c r="N987" i="2"/>
  <c r="M987" i="2"/>
  <c r="L987" i="2"/>
  <c r="V987" i="2" s="1"/>
  <c r="U986" i="2"/>
  <c r="S986" i="2"/>
  <c r="T986" i="2" s="1"/>
  <c r="P986" i="2"/>
  <c r="R986" i="2" s="1"/>
  <c r="O986" i="2"/>
  <c r="N986" i="2"/>
  <c r="M986" i="2"/>
  <c r="L986" i="2"/>
  <c r="V986" i="2" s="1"/>
  <c r="U985" i="2"/>
  <c r="S985" i="2"/>
  <c r="T985" i="2" s="1"/>
  <c r="Q985" i="2"/>
  <c r="P985" i="2"/>
  <c r="R985" i="2" s="1"/>
  <c r="O985" i="2"/>
  <c r="N985" i="2"/>
  <c r="M985" i="2"/>
  <c r="L985" i="2"/>
  <c r="V985" i="2" s="1"/>
  <c r="U984" i="2"/>
  <c r="S984" i="2"/>
  <c r="T984" i="2" s="1"/>
  <c r="P984" i="2"/>
  <c r="R984" i="2" s="1"/>
  <c r="O984" i="2"/>
  <c r="N984" i="2"/>
  <c r="M984" i="2"/>
  <c r="L984" i="2"/>
  <c r="V984" i="2" s="1"/>
  <c r="U983" i="2"/>
  <c r="S983" i="2"/>
  <c r="T983" i="2" s="1"/>
  <c r="Q983" i="2"/>
  <c r="P983" i="2"/>
  <c r="R983" i="2" s="1"/>
  <c r="O983" i="2"/>
  <c r="N983" i="2"/>
  <c r="M983" i="2"/>
  <c r="L983" i="2"/>
  <c r="V983" i="2" s="1"/>
  <c r="U982" i="2"/>
  <c r="S982" i="2"/>
  <c r="T982" i="2" s="1"/>
  <c r="Q982" i="2"/>
  <c r="P982" i="2"/>
  <c r="R982" i="2" s="1"/>
  <c r="O982" i="2"/>
  <c r="N982" i="2"/>
  <c r="M982" i="2"/>
  <c r="L982" i="2"/>
  <c r="V982" i="2" s="1"/>
  <c r="U981" i="2"/>
  <c r="S981" i="2"/>
  <c r="T981" i="2" s="1"/>
  <c r="P981" i="2"/>
  <c r="R981" i="2" s="1"/>
  <c r="O981" i="2"/>
  <c r="N981" i="2"/>
  <c r="M981" i="2"/>
  <c r="L981" i="2"/>
  <c r="V981" i="2" s="1"/>
  <c r="U980" i="2"/>
  <c r="S980" i="2"/>
  <c r="T980" i="2" s="1"/>
  <c r="Q980" i="2"/>
  <c r="P980" i="2"/>
  <c r="R980" i="2" s="1"/>
  <c r="O980" i="2"/>
  <c r="N980" i="2"/>
  <c r="M980" i="2"/>
  <c r="L980" i="2"/>
  <c r="V980" i="2" s="1"/>
  <c r="U979" i="2"/>
  <c r="S979" i="2"/>
  <c r="T979" i="2" s="1"/>
  <c r="Q979" i="2"/>
  <c r="P979" i="2"/>
  <c r="R979" i="2" s="1"/>
  <c r="O979" i="2"/>
  <c r="N979" i="2"/>
  <c r="M979" i="2"/>
  <c r="L979" i="2"/>
  <c r="V979" i="2" s="1"/>
  <c r="U978" i="2"/>
  <c r="S978" i="2"/>
  <c r="T978" i="2" s="1"/>
  <c r="Q978" i="2"/>
  <c r="P978" i="2"/>
  <c r="R978" i="2" s="1"/>
  <c r="O978" i="2"/>
  <c r="N978" i="2"/>
  <c r="M978" i="2"/>
  <c r="L978" i="2"/>
  <c r="V978" i="2" s="1"/>
  <c r="U977" i="2"/>
  <c r="S977" i="2"/>
  <c r="T977" i="2" s="1"/>
  <c r="P977" i="2"/>
  <c r="R977" i="2" s="1"/>
  <c r="O977" i="2"/>
  <c r="N977" i="2"/>
  <c r="M977" i="2"/>
  <c r="L977" i="2"/>
  <c r="V977" i="2" s="1"/>
  <c r="U976" i="2"/>
  <c r="S976" i="2"/>
  <c r="T976" i="2" s="1"/>
  <c r="Q976" i="2"/>
  <c r="P976" i="2"/>
  <c r="R976" i="2" s="1"/>
  <c r="O976" i="2"/>
  <c r="N976" i="2"/>
  <c r="M976" i="2"/>
  <c r="L976" i="2"/>
  <c r="V976" i="2" s="1"/>
  <c r="U975" i="2"/>
  <c r="S975" i="2"/>
  <c r="T975" i="2" s="1"/>
  <c r="P975" i="2"/>
  <c r="R975" i="2" s="1"/>
  <c r="O975" i="2"/>
  <c r="N975" i="2"/>
  <c r="M975" i="2"/>
  <c r="L975" i="2"/>
  <c r="V975" i="2" s="1"/>
  <c r="U974" i="2"/>
  <c r="S974" i="2"/>
  <c r="T974" i="2" s="1"/>
  <c r="Q974" i="2"/>
  <c r="P974" i="2"/>
  <c r="R974" i="2" s="1"/>
  <c r="O974" i="2"/>
  <c r="N974" i="2"/>
  <c r="M974" i="2"/>
  <c r="L974" i="2"/>
  <c r="V974" i="2" s="1"/>
  <c r="U973" i="2"/>
  <c r="S973" i="2"/>
  <c r="T973" i="2" s="1"/>
  <c r="Q973" i="2"/>
  <c r="P973" i="2"/>
  <c r="R973" i="2" s="1"/>
  <c r="O973" i="2"/>
  <c r="N973" i="2"/>
  <c r="M973" i="2"/>
  <c r="L973" i="2"/>
  <c r="V973" i="2" s="1"/>
  <c r="U972" i="2"/>
  <c r="S972" i="2"/>
  <c r="T972" i="2" s="1"/>
  <c r="Q972" i="2"/>
  <c r="P972" i="2"/>
  <c r="R972" i="2" s="1"/>
  <c r="O972" i="2"/>
  <c r="N972" i="2"/>
  <c r="M972" i="2"/>
  <c r="L972" i="2"/>
  <c r="V972" i="2" s="1"/>
  <c r="U971" i="2"/>
  <c r="S971" i="2"/>
  <c r="T971" i="2" s="1"/>
  <c r="Q971" i="2"/>
  <c r="P971" i="2"/>
  <c r="R971" i="2" s="1"/>
  <c r="O971" i="2"/>
  <c r="N971" i="2"/>
  <c r="M971" i="2"/>
  <c r="L971" i="2"/>
  <c r="V971" i="2" s="1"/>
  <c r="U970" i="2"/>
  <c r="S970" i="2"/>
  <c r="T970" i="2" s="1"/>
  <c r="Q970" i="2"/>
  <c r="P970" i="2"/>
  <c r="R970" i="2" s="1"/>
  <c r="O970" i="2"/>
  <c r="N970" i="2"/>
  <c r="M970" i="2"/>
  <c r="L970" i="2"/>
  <c r="V970" i="2" s="1"/>
  <c r="U969" i="2"/>
  <c r="S969" i="2"/>
  <c r="T969" i="2" s="1"/>
  <c r="Q969" i="2"/>
  <c r="P969" i="2"/>
  <c r="R969" i="2" s="1"/>
  <c r="O969" i="2"/>
  <c r="N969" i="2"/>
  <c r="M969" i="2"/>
  <c r="L969" i="2"/>
  <c r="V969" i="2" s="1"/>
  <c r="U968" i="2"/>
  <c r="S968" i="2"/>
  <c r="T968" i="2" s="1"/>
  <c r="Q968" i="2"/>
  <c r="P968" i="2"/>
  <c r="R968" i="2" s="1"/>
  <c r="O968" i="2"/>
  <c r="N968" i="2"/>
  <c r="M968" i="2"/>
  <c r="L968" i="2"/>
  <c r="V968" i="2" s="1"/>
  <c r="U967" i="2"/>
  <c r="S967" i="2"/>
  <c r="T967" i="2" s="1"/>
  <c r="Q967" i="2"/>
  <c r="P967" i="2"/>
  <c r="R967" i="2" s="1"/>
  <c r="O967" i="2"/>
  <c r="N967" i="2"/>
  <c r="M967" i="2"/>
  <c r="L967" i="2"/>
  <c r="V967" i="2" s="1"/>
  <c r="U966" i="2"/>
  <c r="S966" i="2"/>
  <c r="T966" i="2" s="1"/>
  <c r="Q966" i="2"/>
  <c r="P966" i="2"/>
  <c r="R966" i="2" s="1"/>
  <c r="O966" i="2"/>
  <c r="N966" i="2"/>
  <c r="M966" i="2"/>
  <c r="L966" i="2"/>
  <c r="V966" i="2" s="1"/>
  <c r="U965" i="2"/>
  <c r="S965" i="2"/>
  <c r="T965" i="2" s="1"/>
  <c r="Q965" i="2"/>
  <c r="P965" i="2"/>
  <c r="R965" i="2" s="1"/>
  <c r="O965" i="2"/>
  <c r="N965" i="2"/>
  <c r="M965" i="2"/>
  <c r="L965" i="2"/>
  <c r="V965" i="2" s="1"/>
  <c r="U964" i="2"/>
  <c r="S964" i="2"/>
  <c r="T964" i="2" s="1"/>
  <c r="Q964" i="2"/>
  <c r="P964" i="2"/>
  <c r="R964" i="2" s="1"/>
  <c r="O964" i="2"/>
  <c r="N964" i="2"/>
  <c r="M964" i="2"/>
  <c r="L964" i="2"/>
  <c r="V964" i="2" s="1"/>
  <c r="U963" i="2"/>
  <c r="S963" i="2"/>
  <c r="T963" i="2" s="1"/>
  <c r="Q963" i="2"/>
  <c r="P963" i="2"/>
  <c r="R963" i="2" s="1"/>
  <c r="O963" i="2"/>
  <c r="N963" i="2"/>
  <c r="M963" i="2"/>
  <c r="L963" i="2"/>
  <c r="V963" i="2" s="1"/>
  <c r="U962" i="2"/>
  <c r="S962" i="2"/>
  <c r="T962" i="2" s="1"/>
  <c r="Q962" i="2"/>
  <c r="P962" i="2"/>
  <c r="R962" i="2" s="1"/>
  <c r="O962" i="2"/>
  <c r="N962" i="2"/>
  <c r="M962" i="2"/>
  <c r="L962" i="2"/>
  <c r="V962" i="2" s="1"/>
  <c r="U961" i="2"/>
  <c r="S961" i="2"/>
  <c r="T961" i="2" s="1"/>
  <c r="Q961" i="2"/>
  <c r="P961" i="2"/>
  <c r="R961" i="2" s="1"/>
  <c r="O961" i="2"/>
  <c r="N961" i="2"/>
  <c r="M961" i="2"/>
  <c r="L961" i="2"/>
  <c r="V961" i="2" s="1"/>
  <c r="U960" i="2"/>
  <c r="S960" i="2"/>
  <c r="T960" i="2" s="1"/>
  <c r="Q960" i="2"/>
  <c r="P960" i="2"/>
  <c r="R960" i="2" s="1"/>
  <c r="O960" i="2"/>
  <c r="N960" i="2"/>
  <c r="M960" i="2"/>
  <c r="L960" i="2"/>
  <c r="V960" i="2" s="1"/>
  <c r="U959" i="2"/>
  <c r="S959" i="2"/>
  <c r="T959" i="2" s="1"/>
  <c r="Q959" i="2"/>
  <c r="P959" i="2"/>
  <c r="R959" i="2" s="1"/>
  <c r="O959" i="2"/>
  <c r="N959" i="2"/>
  <c r="M959" i="2"/>
  <c r="L959" i="2"/>
  <c r="V959" i="2" s="1"/>
  <c r="U958" i="2"/>
  <c r="S958" i="2"/>
  <c r="T958" i="2" s="1"/>
  <c r="Q958" i="2"/>
  <c r="P958" i="2"/>
  <c r="R958" i="2" s="1"/>
  <c r="O958" i="2"/>
  <c r="N958" i="2"/>
  <c r="M958" i="2"/>
  <c r="L958" i="2"/>
  <c r="V958" i="2" s="1"/>
  <c r="U957" i="2"/>
  <c r="S957" i="2"/>
  <c r="T957" i="2" s="1"/>
  <c r="Q957" i="2"/>
  <c r="P957" i="2"/>
  <c r="R957" i="2" s="1"/>
  <c r="O957" i="2"/>
  <c r="N957" i="2"/>
  <c r="M957" i="2"/>
  <c r="L957" i="2"/>
  <c r="V957" i="2" s="1"/>
  <c r="U956" i="2"/>
  <c r="S956" i="2"/>
  <c r="T956" i="2" s="1"/>
  <c r="Q956" i="2"/>
  <c r="P956" i="2"/>
  <c r="R956" i="2" s="1"/>
  <c r="O956" i="2"/>
  <c r="N956" i="2"/>
  <c r="M956" i="2"/>
  <c r="L956" i="2"/>
  <c r="V956" i="2" s="1"/>
  <c r="U955" i="2"/>
  <c r="S955" i="2"/>
  <c r="T955" i="2" s="1"/>
  <c r="Q955" i="2"/>
  <c r="P955" i="2"/>
  <c r="R955" i="2" s="1"/>
  <c r="O955" i="2"/>
  <c r="N955" i="2"/>
  <c r="M955" i="2"/>
  <c r="L955" i="2"/>
  <c r="V955" i="2" s="1"/>
  <c r="U954" i="2"/>
  <c r="S954" i="2"/>
  <c r="T954" i="2" s="1"/>
  <c r="Q954" i="2"/>
  <c r="P954" i="2"/>
  <c r="R954" i="2" s="1"/>
  <c r="O954" i="2"/>
  <c r="N954" i="2"/>
  <c r="M954" i="2"/>
  <c r="L954" i="2"/>
  <c r="V954" i="2" s="1"/>
  <c r="U953" i="2"/>
  <c r="S953" i="2"/>
  <c r="T953" i="2" s="1"/>
  <c r="Q953" i="2"/>
  <c r="P953" i="2"/>
  <c r="R953" i="2" s="1"/>
  <c r="O953" i="2"/>
  <c r="N953" i="2"/>
  <c r="M953" i="2"/>
  <c r="L953" i="2"/>
  <c r="V953" i="2" s="1"/>
  <c r="U952" i="2"/>
  <c r="S952" i="2"/>
  <c r="T952" i="2" s="1"/>
  <c r="Q952" i="2"/>
  <c r="P952" i="2"/>
  <c r="R952" i="2" s="1"/>
  <c r="O952" i="2"/>
  <c r="N952" i="2"/>
  <c r="M952" i="2"/>
  <c r="L952" i="2"/>
  <c r="V952" i="2" s="1"/>
  <c r="U951" i="2"/>
  <c r="S951" i="2"/>
  <c r="T951" i="2" s="1"/>
  <c r="Q951" i="2"/>
  <c r="P951" i="2"/>
  <c r="R951" i="2" s="1"/>
  <c r="O951" i="2"/>
  <c r="N951" i="2"/>
  <c r="M951" i="2"/>
  <c r="L951" i="2"/>
  <c r="V951" i="2" s="1"/>
  <c r="U950" i="2"/>
  <c r="S950" i="2"/>
  <c r="T950" i="2" s="1"/>
  <c r="Q950" i="2"/>
  <c r="P950" i="2"/>
  <c r="R950" i="2" s="1"/>
  <c r="O950" i="2"/>
  <c r="N950" i="2"/>
  <c r="M950" i="2"/>
  <c r="L950" i="2"/>
  <c r="V950" i="2" s="1"/>
  <c r="U949" i="2"/>
  <c r="S949" i="2"/>
  <c r="T949" i="2" s="1"/>
  <c r="Q949" i="2"/>
  <c r="P949" i="2"/>
  <c r="R949" i="2" s="1"/>
  <c r="O949" i="2"/>
  <c r="N949" i="2"/>
  <c r="M949" i="2"/>
  <c r="L949" i="2"/>
  <c r="V949" i="2" s="1"/>
  <c r="U948" i="2"/>
  <c r="S948" i="2"/>
  <c r="T948" i="2" s="1"/>
  <c r="Q948" i="2"/>
  <c r="P948" i="2"/>
  <c r="R948" i="2" s="1"/>
  <c r="O948" i="2"/>
  <c r="N948" i="2"/>
  <c r="M948" i="2"/>
  <c r="L948" i="2"/>
  <c r="V948" i="2" s="1"/>
  <c r="U947" i="2"/>
  <c r="S947" i="2"/>
  <c r="T947" i="2" s="1"/>
  <c r="Q947" i="2"/>
  <c r="P947" i="2"/>
  <c r="R947" i="2" s="1"/>
  <c r="O947" i="2"/>
  <c r="N947" i="2"/>
  <c r="M947" i="2"/>
  <c r="L947" i="2"/>
  <c r="V947" i="2" s="1"/>
  <c r="U946" i="2"/>
  <c r="S946" i="2"/>
  <c r="T946" i="2" s="1"/>
  <c r="Q946" i="2"/>
  <c r="P946" i="2"/>
  <c r="R946" i="2" s="1"/>
  <c r="O946" i="2"/>
  <c r="N946" i="2"/>
  <c r="M946" i="2"/>
  <c r="L946" i="2"/>
  <c r="V946" i="2" s="1"/>
  <c r="U945" i="2"/>
  <c r="S945" i="2"/>
  <c r="T945" i="2" s="1"/>
  <c r="Q945" i="2"/>
  <c r="P945" i="2"/>
  <c r="R945" i="2" s="1"/>
  <c r="O945" i="2"/>
  <c r="N945" i="2"/>
  <c r="M945" i="2"/>
  <c r="L945" i="2"/>
  <c r="V945" i="2" s="1"/>
  <c r="U944" i="2"/>
  <c r="S944" i="2"/>
  <c r="T944" i="2" s="1"/>
  <c r="Q944" i="2"/>
  <c r="P944" i="2"/>
  <c r="R944" i="2" s="1"/>
  <c r="O944" i="2"/>
  <c r="N944" i="2"/>
  <c r="M944" i="2"/>
  <c r="L944" i="2"/>
  <c r="V944" i="2" s="1"/>
  <c r="U943" i="2"/>
  <c r="S943" i="2"/>
  <c r="T943" i="2" s="1"/>
  <c r="Q943" i="2"/>
  <c r="P943" i="2"/>
  <c r="R943" i="2" s="1"/>
  <c r="O943" i="2"/>
  <c r="N943" i="2"/>
  <c r="M943" i="2"/>
  <c r="L943" i="2"/>
  <c r="V943" i="2" s="1"/>
  <c r="U942" i="2"/>
  <c r="S942" i="2"/>
  <c r="T942" i="2" s="1"/>
  <c r="Q942" i="2"/>
  <c r="P942" i="2"/>
  <c r="R942" i="2" s="1"/>
  <c r="O942" i="2"/>
  <c r="N942" i="2"/>
  <c r="M942" i="2"/>
  <c r="L942" i="2"/>
  <c r="V942" i="2" s="1"/>
  <c r="U941" i="2"/>
  <c r="S941" i="2"/>
  <c r="T941" i="2" s="1"/>
  <c r="Q941" i="2"/>
  <c r="P941" i="2"/>
  <c r="R941" i="2" s="1"/>
  <c r="O941" i="2"/>
  <c r="N941" i="2"/>
  <c r="M941" i="2"/>
  <c r="L941" i="2"/>
  <c r="V941" i="2" s="1"/>
  <c r="U940" i="2"/>
  <c r="S940" i="2"/>
  <c r="T940" i="2" s="1"/>
  <c r="Q940" i="2"/>
  <c r="P940" i="2"/>
  <c r="R940" i="2" s="1"/>
  <c r="O940" i="2"/>
  <c r="N940" i="2"/>
  <c r="M940" i="2"/>
  <c r="L940" i="2"/>
  <c r="V940" i="2" s="1"/>
  <c r="U939" i="2"/>
  <c r="S939" i="2"/>
  <c r="T939" i="2" s="1"/>
  <c r="Q939" i="2"/>
  <c r="P939" i="2"/>
  <c r="R939" i="2" s="1"/>
  <c r="O939" i="2"/>
  <c r="N939" i="2"/>
  <c r="M939" i="2"/>
  <c r="L939" i="2"/>
  <c r="V939" i="2" s="1"/>
  <c r="U938" i="2"/>
  <c r="S938" i="2"/>
  <c r="T938" i="2" s="1"/>
  <c r="Q938" i="2"/>
  <c r="P938" i="2"/>
  <c r="R938" i="2" s="1"/>
  <c r="O938" i="2"/>
  <c r="N938" i="2"/>
  <c r="M938" i="2"/>
  <c r="L938" i="2"/>
  <c r="V938" i="2" s="1"/>
  <c r="U937" i="2"/>
  <c r="S937" i="2"/>
  <c r="T937" i="2" s="1"/>
  <c r="Q937" i="2"/>
  <c r="P937" i="2"/>
  <c r="R937" i="2" s="1"/>
  <c r="O937" i="2"/>
  <c r="N937" i="2"/>
  <c r="M937" i="2"/>
  <c r="L937" i="2"/>
  <c r="V937" i="2" s="1"/>
  <c r="U936" i="2"/>
  <c r="S936" i="2"/>
  <c r="T936" i="2" s="1"/>
  <c r="Q936" i="2"/>
  <c r="P936" i="2"/>
  <c r="R936" i="2" s="1"/>
  <c r="O936" i="2"/>
  <c r="N936" i="2"/>
  <c r="M936" i="2"/>
  <c r="L936" i="2"/>
  <c r="V936" i="2" s="1"/>
  <c r="U935" i="2"/>
  <c r="S935" i="2"/>
  <c r="T935" i="2" s="1"/>
  <c r="Q935" i="2"/>
  <c r="P935" i="2"/>
  <c r="R935" i="2" s="1"/>
  <c r="O935" i="2"/>
  <c r="N935" i="2"/>
  <c r="M935" i="2"/>
  <c r="L935" i="2"/>
  <c r="V935" i="2" s="1"/>
  <c r="U934" i="2"/>
  <c r="S934" i="2"/>
  <c r="T934" i="2" s="1"/>
  <c r="Q934" i="2"/>
  <c r="P934" i="2"/>
  <c r="R934" i="2" s="1"/>
  <c r="O934" i="2"/>
  <c r="N934" i="2"/>
  <c r="M934" i="2"/>
  <c r="L934" i="2"/>
  <c r="V934" i="2" s="1"/>
  <c r="U933" i="2"/>
  <c r="S933" i="2"/>
  <c r="T933" i="2" s="1"/>
  <c r="Q933" i="2"/>
  <c r="P933" i="2"/>
  <c r="R933" i="2" s="1"/>
  <c r="O933" i="2"/>
  <c r="N933" i="2"/>
  <c r="M933" i="2"/>
  <c r="L933" i="2"/>
  <c r="V933" i="2" s="1"/>
  <c r="U932" i="2"/>
  <c r="S932" i="2"/>
  <c r="T932" i="2" s="1"/>
  <c r="Q932" i="2"/>
  <c r="P932" i="2"/>
  <c r="R932" i="2" s="1"/>
  <c r="O932" i="2"/>
  <c r="N932" i="2"/>
  <c r="M932" i="2"/>
  <c r="L932" i="2"/>
  <c r="V932" i="2" s="1"/>
  <c r="U931" i="2"/>
  <c r="S931" i="2"/>
  <c r="T931" i="2" s="1"/>
  <c r="Q931" i="2"/>
  <c r="P931" i="2"/>
  <c r="R931" i="2" s="1"/>
  <c r="O931" i="2"/>
  <c r="N931" i="2"/>
  <c r="M931" i="2"/>
  <c r="L931" i="2"/>
  <c r="V931" i="2" s="1"/>
  <c r="U930" i="2"/>
  <c r="S930" i="2"/>
  <c r="T930" i="2" s="1"/>
  <c r="Q930" i="2"/>
  <c r="P930" i="2"/>
  <c r="R930" i="2" s="1"/>
  <c r="O930" i="2"/>
  <c r="N930" i="2"/>
  <c r="M930" i="2"/>
  <c r="L930" i="2"/>
  <c r="V930" i="2" s="1"/>
  <c r="U929" i="2"/>
  <c r="S929" i="2"/>
  <c r="T929" i="2" s="1"/>
  <c r="Q929" i="2"/>
  <c r="P929" i="2"/>
  <c r="R929" i="2" s="1"/>
  <c r="O929" i="2"/>
  <c r="N929" i="2"/>
  <c r="M929" i="2"/>
  <c r="L929" i="2"/>
  <c r="V929" i="2" s="1"/>
  <c r="U928" i="2"/>
  <c r="S928" i="2"/>
  <c r="T928" i="2" s="1"/>
  <c r="Q928" i="2"/>
  <c r="P928" i="2"/>
  <c r="R928" i="2" s="1"/>
  <c r="O928" i="2"/>
  <c r="N928" i="2"/>
  <c r="M928" i="2"/>
  <c r="L928" i="2"/>
  <c r="V928" i="2" s="1"/>
  <c r="U927" i="2"/>
  <c r="S927" i="2"/>
  <c r="T927" i="2" s="1"/>
  <c r="Q927" i="2"/>
  <c r="P927" i="2"/>
  <c r="R927" i="2" s="1"/>
  <c r="O927" i="2"/>
  <c r="N927" i="2"/>
  <c r="M927" i="2"/>
  <c r="L927" i="2"/>
  <c r="V927" i="2" s="1"/>
  <c r="U926" i="2"/>
  <c r="S926" i="2"/>
  <c r="T926" i="2" s="1"/>
  <c r="Q926" i="2"/>
  <c r="P926" i="2"/>
  <c r="R926" i="2" s="1"/>
  <c r="O926" i="2"/>
  <c r="N926" i="2"/>
  <c r="M926" i="2"/>
  <c r="L926" i="2"/>
  <c r="V926" i="2" s="1"/>
  <c r="U925" i="2"/>
  <c r="S925" i="2"/>
  <c r="T925" i="2" s="1"/>
  <c r="Q925" i="2"/>
  <c r="P925" i="2"/>
  <c r="R925" i="2" s="1"/>
  <c r="O925" i="2"/>
  <c r="N925" i="2"/>
  <c r="M925" i="2"/>
  <c r="L925" i="2"/>
  <c r="V925" i="2" s="1"/>
  <c r="U924" i="2"/>
  <c r="S924" i="2"/>
  <c r="T924" i="2" s="1"/>
  <c r="Q924" i="2"/>
  <c r="P924" i="2"/>
  <c r="R924" i="2" s="1"/>
  <c r="O924" i="2"/>
  <c r="N924" i="2"/>
  <c r="M924" i="2"/>
  <c r="L924" i="2"/>
  <c r="V924" i="2" s="1"/>
  <c r="U923" i="2"/>
  <c r="S923" i="2"/>
  <c r="T923" i="2" s="1"/>
  <c r="Q923" i="2"/>
  <c r="P923" i="2"/>
  <c r="R923" i="2" s="1"/>
  <c r="O923" i="2"/>
  <c r="N923" i="2"/>
  <c r="M923" i="2"/>
  <c r="L923" i="2"/>
  <c r="V923" i="2" s="1"/>
  <c r="U922" i="2"/>
  <c r="S922" i="2"/>
  <c r="T922" i="2" s="1"/>
  <c r="Q922" i="2"/>
  <c r="P922" i="2"/>
  <c r="R922" i="2" s="1"/>
  <c r="O922" i="2"/>
  <c r="N922" i="2"/>
  <c r="M922" i="2"/>
  <c r="L922" i="2"/>
  <c r="V922" i="2" s="1"/>
  <c r="U921" i="2"/>
  <c r="S921" i="2"/>
  <c r="T921" i="2" s="1"/>
  <c r="Q921" i="2"/>
  <c r="P921" i="2"/>
  <c r="R921" i="2" s="1"/>
  <c r="O921" i="2"/>
  <c r="N921" i="2"/>
  <c r="M921" i="2"/>
  <c r="L921" i="2"/>
  <c r="V921" i="2" s="1"/>
  <c r="U920" i="2"/>
  <c r="S920" i="2"/>
  <c r="T920" i="2" s="1"/>
  <c r="Q920" i="2"/>
  <c r="P920" i="2"/>
  <c r="R920" i="2" s="1"/>
  <c r="O920" i="2"/>
  <c r="N920" i="2"/>
  <c r="M920" i="2"/>
  <c r="L920" i="2"/>
  <c r="V920" i="2" s="1"/>
  <c r="U919" i="2"/>
  <c r="S919" i="2"/>
  <c r="T919" i="2" s="1"/>
  <c r="Q919" i="2"/>
  <c r="P919" i="2"/>
  <c r="R919" i="2" s="1"/>
  <c r="O919" i="2"/>
  <c r="N919" i="2"/>
  <c r="M919" i="2"/>
  <c r="L919" i="2"/>
  <c r="V919" i="2" s="1"/>
  <c r="U918" i="2"/>
  <c r="S918" i="2"/>
  <c r="T918" i="2" s="1"/>
  <c r="Q918" i="2"/>
  <c r="P918" i="2"/>
  <c r="R918" i="2" s="1"/>
  <c r="O918" i="2"/>
  <c r="N918" i="2"/>
  <c r="M918" i="2"/>
  <c r="L918" i="2"/>
  <c r="V918" i="2" s="1"/>
  <c r="U917" i="2"/>
  <c r="S917" i="2"/>
  <c r="T917" i="2" s="1"/>
  <c r="Q917" i="2"/>
  <c r="P917" i="2"/>
  <c r="R917" i="2" s="1"/>
  <c r="O917" i="2"/>
  <c r="N917" i="2"/>
  <c r="M917" i="2"/>
  <c r="L917" i="2"/>
  <c r="V917" i="2" s="1"/>
  <c r="U916" i="2"/>
  <c r="S916" i="2"/>
  <c r="T916" i="2" s="1"/>
  <c r="Q916" i="2"/>
  <c r="P916" i="2"/>
  <c r="R916" i="2" s="1"/>
  <c r="O916" i="2"/>
  <c r="N916" i="2"/>
  <c r="M916" i="2"/>
  <c r="L916" i="2"/>
  <c r="V916" i="2" s="1"/>
  <c r="U915" i="2"/>
  <c r="S915" i="2"/>
  <c r="T915" i="2" s="1"/>
  <c r="Q915" i="2"/>
  <c r="P915" i="2"/>
  <c r="R915" i="2" s="1"/>
  <c r="O915" i="2"/>
  <c r="N915" i="2"/>
  <c r="M915" i="2"/>
  <c r="L915" i="2"/>
  <c r="V915" i="2" s="1"/>
  <c r="U914" i="2"/>
  <c r="S914" i="2"/>
  <c r="T914" i="2" s="1"/>
  <c r="Q914" i="2"/>
  <c r="P914" i="2"/>
  <c r="R914" i="2" s="1"/>
  <c r="O914" i="2"/>
  <c r="N914" i="2"/>
  <c r="M914" i="2"/>
  <c r="L914" i="2"/>
  <c r="V914" i="2" s="1"/>
  <c r="U913" i="2"/>
  <c r="S913" i="2"/>
  <c r="T913" i="2" s="1"/>
  <c r="Q913" i="2"/>
  <c r="P913" i="2"/>
  <c r="R913" i="2" s="1"/>
  <c r="O913" i="2"/>
  <c r="N913" i="2"/>
  <c r="M913" i="2"/>
  <c r="L913" i="2"/>
  <c r="V913" i="2" s="1"/>
  <c r="U912" i="2"/>
  <c r="S912" i="2"/>
  <c r="T912" i="2" s="1"/>
  <c r="Q912" i="2"/>
  <c r="P912" i="2"/>
  <c r="R912" i="2" s="1"/>
  <c r="O912" i="2"/>
  <c r="N912" i="2"/>
  <c r="M912" i="2"/>
  <c r="L912" i="2"/>
  <c r="V912" i="2" s="1"/>
  <c r="U911" i="2"/>
  <c r="S911" i="2"/>
  <c r="T911" i="2" s="1"/>
  <c r="Q911" i="2"/>
  <c r="P911" i="2"/>
  <c r="R911" i="2" s="1"/>
  <c r="O911" i="2"/>
  <c r="N911" i="2"/>
  <c r="M911" i="2"/>
  <c r="L911" i="2"/>
  <c r="V911" i="2" s="1"/>
  <c r="U910" i="2"/>
  <c r="S910" i="2"/>
  <c r="T910" i="2" s="1"/>
  <c r="Q910" i="2"/>
  <c r="P910" i="2"/>
  <c r="R910" i="2" s="1"/>
  <c r="O910" i="2"/>
  <c r="N910" i="2"/>
  <c r="M910" i="2"/>
  <c r="L910" i="2"/>
  <c r="V910" i="2" s="1"/>
  <c r="U909" i="2"/>
  <c r="S909" i="2"/>
  <c r="T909" i="2" s="1"/>
  <c r="Q909" i="2"/>
  <c r="P909" i="2"/>
  <c r="R909" i="2" s="1"/>
  <c r="O909" i="2"/>
  <c r="N909" i="2"/>
  <c r="M909" i="2"/>
  <c r="L909" i="2"/>
  <c r="V909" i="2" s="1"/>
  <c r="U908" i="2"/>
  <c r="S908" i="2"/>
  <c r="T908" i="2" s="1"/>
  <c r="Q908" i="2"/>
  <c r="P908" i="2"/>
  <c r="R908" i="2" s="1"/>
  <c r="O908" i="2"/>
  <c r="N908" i="2"/>
  <c r="M908" i="2"/>
  <c r="L908" i="2"/>
  <c r="V908" i="2" s="1"/>
  <c r="U907" i="2"/>
  <c r="S907" i="2"/>
  <c r="T907" i="2" s="1"/>
  <c r="Q907" i="2"/>
  <c r="P907" i="2"/>
  <c r="R907" i="2" s="1"/>
  <c r="O907" i="2"/>
  <c r="N907" i="2"/>
  <c r="M907" i="2"/>
  <c r="L907" i="2"/>
  <c r="V907" i="2" s="1"/>
  <c r="U906" i="2"/>
  <c r="S906" i="2"/>
  <c r="T906" i="2" s="1"/>
  <c r="Q906" i="2"/>
  <c r="P906" i="2"/>
  <c r="R906" i="2" s="1"/>
  <c r="O906" i="2"/>
  <c r="N906" i="2"/>
  <c r="M906" i="2"/>
  <c r="L906" i="2"/>
  <c r="V906" i="2" s="1"/>
  <c r="U905" i="2"/>
  <c r="S905" i="2"/>
  <c r="T905" i="2" s="1"/>
  <c r="Q905" i="2"/>
  <c r="P905" i="2"/>
  <c r="R905" i="2" s="1"/>
  <c r="O905" i="2"/>
  <c r="N905" i="2"/>
  <c r="M905" i="2"/>
  <c r="L905" i="2"/>
  <c r="V905" i="2" s="1"/>
  <c r="U904" i="2"/>
  <c r="S904" i="2"/>
  <c r="T904" i="2" s="1"/>
  <c r="Q904" i="2"/>
  <c r="P904" i="2"/>
  <c r="R904" i="2" s="1"/>
  <c r="O904" i="2"/>
  <c r="N904" i="2"/>
  <c r="M904" i="2"/>
  <c r="L904" i="2"/>
  <c r="V904" i="2" s="1"/>
  <c r="U903" i="2"/>
  <c r="S903" i="2"/>
  <c r="T903" i="2" s="1"/>
  <c r="Q903" i="2"/>
  <c r="P903" i="2"/>
  <c r="R903" i="2" s="1"/>
  <c r="O903" i="2"/>
  <c r="N903" i="2"/>
  <c r="M903" i="2"/>
  <c r="L903" i="2"/>
  <c r="V903" i="2" s="1"/>
  <c r="U902" i="2"/>
  <c r="S902" i="2"/>
  <c r="T902" i="2" s="1"/>
  <c r="Q902" i="2"/>
  <c r="P902" i="2"/>
  <c r="R902" i="2" s="1"/>
  <c r="O902" i="2"/>
  <c r="N902" i="2"/>
  <c r="M902" i="2"/>
  <c r="L902" i="2"/>
  <c r="V902" i="2" s="1"/>
  <c r="U901" i="2"/>
  <c r="S901" i="2"/>
  <c r="T901" i="2" s="1"/>
  <c r="Q901" i="2"/>
  <c r="P901" i="2"/>
  <c r="R901" i="2" s="1"/>
  <c r="O901" i="2"/>
  <c r="N901" i="2"/>
  <c r="M901" i="2"/>
  <c r="L901" i="2"/>
  <c r="V901" i="2" s="1"/>
  <c r="U900" i="2"/>
  <c r="S900" i="2"/>
  <c r="T900" i="2" s="1"/>
  <c r="Q900" i="2"/>
  <c r="P900" i="2"/>
  <c r="R900" i="2" s="1"/>
  <c r="O900" i="2"/>
  <c r="N900" i="2"/>
  <c r="M900" i="2"/>
  <c r="L900" i="2"/>
  <c r="V900" i="2" s="1"/>
  <c r="U899" i="2"/>
  <c r="S899" i="2"/>
  <c r="T899" i="2" s="1"/>
  <c r="P899" i="2"/>
  <c r="R899" i="2" s="1"/>
  <c r="O899" i="2"/>
  <c r="N899" i="2"/>
  <c r="M899" i="2"/>
  <c r="L899" i="2"/>
  <c r="V899" i="2" s="1"/>
  <c r="U898" i="2"/>
  <c r="S898" i="2"/>
  <c r="T898" i="2" s="1"/>
  <c r="Q898" i="2"/>
  <c r="P898" i="2"/>
  <c r="R898" i="2" s="1"/>
  <c r="O898" i="2"/>
  <c r="N898" i="2"/>
  <c r="M898" i="2"/>
  <c r="L898" i="2"/>
  <c r="V898" i="2" s="1"/>
  <c r="U897" i="2"/>
  <c r="S897" i="2"/>
  <c r="T897" i="2" s="1"/>
  <c r="Q897" i="2"/>
  <c r="P897" i="2"/>
  <c r="R897" i="2" s="1"/>
  <c r="O897" i="2"/>
  <c r="N897" i="2"/>
  <c r="M897" i="2"/>
  <c r="L897" i="2"/>
  <c r="V897" i="2" s="1"/>
  <c r="U896" i="2"/>
  <c r="S896" i="2"/>
  <c r="T896" i="2" s="1"/>
  <c r="Q896" i="2"/>
  <c r="P896" i="2"/>
  <c r="R896" i="2" s="1"/>
  <c r="O896" i="2"/>
  <c r="N896" i="2"/>
  <c r="M896" i="2"/>
  <c r="L896" i="2"/>
  <c r="V896" i="2" s="1"/>
  <c r="U895" i="2"/>
  <c r="S895" i="2"/>
  <c r="T895" i="2" s="1"/>
  <c r="Q895" i="2"/>
  <c r="P895" i="2"/>
  <c r="R895" i="2" s="1"/>
  <c r="O895" i="2"/>
  <c r="N895" i="2"/>
  <c r="M895" i="2"/>
  <c r="L895" i="2"/>
  <c r="V895" i="2" s="1"/>
  <c r="U894" i="2"/>
  <c r="S894" i="2"/>
  <c r="T894" i="2" s="1"/>
  <c r="Q894" i="2"/>
  <c r="P894" i="2"/>
  <c r="R894" i="2" s="1"/>
  <c r="O894" i="2"/>
  <c r="N894" i="2"/>
  <c r="M894" i="2"/>
  <c r="L894" i="2"/>
  <c r="V894" i="2" s="1"/>
  <c r="U893" i="2"/>
  <c r="S893" i="2"/>
  <c r="T893" i="2" s="1"/>
  <c r="Q893" i="2"/>
  <c r="P893" i="2"/>
  <c r="R893" i="2" s="1"/>
  <c r="O893" i="2"/>
  <c r="N893" i="2"/>
  <c r="M893" i="2"/>
  <c r="L893" i="2"/>
  <c r="V893" i="2" s="1"/>
  <c r="U892" i="2"/>
  <c r="S892" i="2"/>
  <c r="T892" i="2" s="1"/>
  <c r="P892" i="2"/>
  <c r="R892" i="2" s="1"/>
  <c r="O892" i="2"/>
  <c r="N892" i="2"/>
  <c r="M892" i="2"/>
  <c r="L892" i="2"/>
  <c r="V892" i="2" s="1"/>
  <c r="U891" i="2"/>
  <c r="S891" i="2"/>
  <c r="T891" i="2" s="1"/>
  <c r="Q891" i="2"/>
  <c r="P891" i="2"/>
  <c r="R891" i="2" s="1"/>
  <c r="O891" i="2"/>
  <c r="N891" i="2"/>
  <c r="M891" i="2"/>
  <c r="L891" i="2"/>
  <c r="V891" i="2" s="1"/>
  <c r="U890" i="2"/>
  <c r="S890" i="2"/>
  <c r="T890" i="2" s="1"/>
  <c r="Q890" i="2"/>
  <c r="P890" i="2"/>
  <c r="R890" i="2" s="1"/>
  <c r="O890" i="2"/>
  <c r="N890" i="2"/>
  <c r="M890" i="2"/>
  <c r="L890" i="2"/>
  <c r="V890" i="2" s="1"/>
  <c r="U889" i="2"/>
  <c r="S889" i="2"/>
  <c r="T889" i="2" s="1"/>
  <c r="Q889" i="2"/>
  <c r="P889" i="2"/>
  <c r="R889" i="2" s="1"/>
  <c r="O889" i="2"/>
  <c r="N889" i="2"/>
  <c r="M889" i="2"/>
  <c r="L889" i="2"/>
  <c r="V889" i="2" s="1"/>
  <c r="U888" i="2"/>
  <c r="S888" i="2"/>
  <c r="T888" i="2" s="1"/>
  <c r="Q888" i="2"/>
  <c r="P888" i="2"/>
  <c r="R888" i="2" s="1"/>
  <c r="O888" i="2"/>
  <c r="N888" i="2"/>
  <c r="M888" i="2"/>
  <c r="L888" i="2"/>
  <c r="V888" i="2" s="1"/>
  <c r="U887" i="2"/>
  <c r="S887" i="2"/>
  <c r="T887" i="2" s="1"/>
  <c r="Q887" i="2"/>
  <c r="P887" i="2"/>
  <c r="R887" i="2" s="1"/>
  <c r="O887" i="2"/>
  <c r="N887" i="2"/>
  <c r="M887" i="2"/>
  <c r="L887" i="2"/>
  <c r="V887" i="2" s="1"/>
  <c r="U886" i="2"/>
  <c r="S886" i="2"/>
  <c r="T886" i="2" s="1"/>
  <c r="Q886" i="2"/>
  <c r="P886" i="2"/>
  <c r="R886" i="2" s="1"/>
  <c r="O886" i="2"/>
  <c r="N886" i="2"/>
  <c r="M886" i="2"/>
  <c r="L886" i="2"/>
  <c r="V886" i="2" s="1"/>
  <c r="U885" i="2"/>
  <c r="S885" i="2"/>
  <c r="T885" i="2" s="1"/>
  <c r="Q885" i="2"/>
  <c r="P885" i="2"/>
  <c r="R885" i="2" s="1"/>
  <c r="O885" i="2"/>
  <c r="N885" i="2"/>
  <c r="M885" i="2"/>
  <c r="L885" i="2"/>
  <c r="V885" i="2" s="1"/>
  <c r="U884" i="2"/>
  <c r="S884" i="2"/>
  <c r="T884" i="2" s="1"/>
  <c r="Q884" i="2"/>
  <c r="P884" i="2"/>
  <c r="R884" i="2" s="1"/>
  <c r="O884" i="2"/>
  <c r="N884" i="2"/>
  <c r="M884" i="2"/>
  <c r="L884" i="2"/>
  <c r="V884" i="2" s="1"/>
  <c r="U883" i="2"/>
  <c r="S883" i="2"/>
  <c r="T883" i="2" s="1"/>
  <c r="Q883" i="2"/>
  <c r="P883" i="2"/>
  <c r="R883" i="2" s="1"/>
  <c r="O883" i="2"/>
  <c r="N883" i="2"/>
  <c r="M883" i="2"/>
  <c r="L883" i="2"/>
  <c r="V883" i="2" s="1"/>
  <c r="U882" i="2"/>
  <c r="S882" i="2"/>
  <c r="T882" i="2" s="1"/>
  <c r="Q882" i="2"/>
  <c r="P882" i="2"/>
  <c r="R882" i="2" s="1"/>
  <c r="O882" i="2"/>
  <c r="N882" i="2"/>
  <c r="M882" i="2"/>
  <c r="L882" i="2"/>
  <c r="V882" i="2" s="1"/>
  <c r="U881" i="2"/>
  <c r="S881" i="2"/>
  <c r="T881" i="2" s="1"/>
  <c r="Q881" i="2"/>
  <c r="P881" i="2"/>
  <c r="R881" i="2" s="1"/>
  <c r="O881" i="2"/>
  <c r="N881" i="2"/>
  <c r="M881" i="2"/>
  <c r="L881" i="2"/>
  <c r="V881" i="2" s="1"/>
  <c r="U880" i="2"/>
  <c r="S880" i="2"/>
  <c r="T880" i="2" s="1"/>
  <c r="Q880" i="2"/>
  <c r="P880" i="2"/>
  <c r="R880" i="2" s="1"/>
  <c r="O880" i="2"/>
  <c r="N880" i="2"/>
  <c r="M880" i="2"/>
  <c r="L880" i="2"/>
  <c r="V880" i="2" s="1"/>
  <c r="U879" i="2"/>
  <c r="S879" i="2"/>
  <c r="T879" i="2" s="1"/>
  <c r="Q879" i="2"/>
  <c r="P879" i="2"/>
  <c r="R879" i="2" s="1"/>
  <c r="O879" i="2"/>
  <c r="N879" i="2"/>
  <c r="M879" i="2"/>
  <c r="L879" i="2"/>
  <c r="V879" i="2" s="1"/>
  <c r="U878" i="2"/>
  <c r="S878" i="2"/>
  <c r="T878" i="2" s="1"/>
  <c r="Q878" i="2"/>
  <c r="P878" i="2"/>
  <c r="R878" i="2" s="1"/>
  <c r="O878" i="2"/>
  <c r="N878" i="2"/>
  <c r="M878" i="2"/>
  <c r="L878" i="2"/>
  <c r="V878" i="2" s="1"/>
  <c r="U877" i="2"/>
  <c r="S877" i="2"/>
  <c r="T877" i="2" s="1"/>
  <c r="Q877" i="2"/>
  <c r="P877" i="2"/>
  <c r="R877" i="2" s="1"/>
  <c r="O877" i="2"/>
  <c r="N877" i="2"/>
  <c r="M877" i="2"/>
  <c r="L877" i="2"/>
  <c r="V877" i="2" s="1"/>
  <c r="U876" i="2"/>
  <c r="S876" i="2"/>
  <c r="T876" i="2" s="1"/>
  <c r="Q876" i="2"/>
  <c r="P876" i="2"/>
  <c r="R876" i="2" s="1"/>
  <c r="O876" i="2"/>
  <c r="N876" i="2"/>
  <c r="M876" i="2"/>
  <c r="L876" i="2"/>
  <c r="V876" i="2" s="1"/>
  <c r="U875" i="2"/>
  <c r="S875" i="2"/>
  <c r="T875" i="2" s="1"/>
  <c r="Q875" i="2"/>
  <c r="P875" i="2"/>
  <c r="R875" i="2" s="1"/>
  <c r="O875" i="2"/>
  <c r="N875" i="2"/>
  <c r="M875" i="2"/>
  <c r="L875" i="2"/>
  <c r="V875" i="2" s="1"/>
  <c r="U874" i="2"/>
  <c r="S874" i="2"/>
  <c r="T874" i="2" s="1"/>
  <c r="Q874" i="2"/>
  <c r="P874" i="2"/>
  <c r="R874" i="2" s="1"/>
  <c r="O874" i="2"/>
  <c r="N874" i="2"/>
  <c r="M874" i="2"/>
  <c r="L874" i="2"/>
  <c r="V874" i="2" s="1"/>
  <c r="U873" i="2"/>
  <c r="S873" i="2"/>
  <c r="T873" i="2" s="1"/>
  <c r="Q873" i="2"/>
  <c r="P873" i="2"/>
  <c r="R873" i="2" s="1"/>
  <c r="O873" i="2"/>
  <c r="N873" i="2"/>
  <c r="M873" i="2"/>
  <c r="L873" i="2"/>
  <c r="V873" i="2" s="1"/>
  <c r="U872" i="2"/>
  <c r="S872" i="2"/>
  <c r="T872" i="2" s="1"/>
  <c r="Q872" i="2"/>
  <c r="P872" i="2"/>
  <c r="R872" i="2" s="1"/>
  <c r="O872" i="2"/>
  <c r="N872" i="2"/>
  <c r="M872" i="2"/>
  <c r="L872" i="2"/>
  <c r="V872" i="2" s="1"/>
  <c r="U871" i="2"/>
  <c r="S871" i="2"/>
  <c r="T871" i="2" s="1"/>
  <c r="P871" i="2"/>
  <c r="R871" i="2" s="1"/>
  <c r="O871" i="2"/>
  <c r="N871" i="2"/>
  <c r="M871" i="2"/>
  <c r="L871" i="2"/>
  <c r="V871" i="2" s="1"/>
  <c r="U870" i="2"/>
  <c r="S870" i="2"/>
  <c r="T870" i="2" s="1"/>
  <c r="Q870" i="2"/>
  <c r="P870" i="2"/>
  <c r="R870" i="2" s="1"/>
  <c r="O870" i="2"/>
  <c r="N870" i="2"/>
  <c r="M870" i="2"/>
  <c r="L870" i="2"/>
  <c r="V870" i="2" s="1"/>
  <c r="U869" i="2"/>
  <c r="S869" i="2"/>
  <c r="T869" i="2" s="1"/>
  <c r="Q869" i="2"/>
  <c r="P869" i="2"/>
  <c r="R869" i="2" s="1"/>
  <c r="O869" i="2"/>
  <c r="N869" i="2"/>
  <c r="M869" i="2"/>
  <c r="L869" i="2"/>
  <c r="V869" i="2" s="1"/>
  <c r="U868" i="2"/>
  <c r="S868" i="2"/>
  <c r="T868" i="2" s="1"/>
  <c r="Q868" i="2"/>
  <c r="P868" i="2"/>
  <c r="R868" i="2" s="1"/>
  <c r="O868" i="2"/>
  <c r="N868" i="2"/>
  <c r="M868" i="2"/>
  <c r="L868" i="2"/>
  <c r="V868" i="2" s="1"/>
  <c r="U867" i="2"/>
  <c r="S867" i="2"/>
  <c r="T867" i="2" s="1"/>
  <c r="Q867" i="2"/>
  <c r="P867" i="2"/>
  <c r="R867" i="2" s="1"/>
  <c r="O867" i="2"/>
  <c r="N867" i="2"/>
  <c r="M867" i="2"/>
  <c r="L867" i="2"/>
  <c r="V867" i="2" s="1"/>
  <c r="U866" i="2"/>
  <c r="S866" i="2"/>
  <c r="T866" i="2" s="1"/>
  <c r="Q866" i="2"/>
  <c r="P866" i="2"/>
  <c r="R866" i="2" s="1"/>
  <c r="O866" i="2"/>
  <c r="N866" i="2"/>
  <c r="M866" i="2"/>
  <c r="L866" i="2"/>
  <c r="V866" i="2" s="1"/>
  <c r="U865" i="2"/>
  <c r="S865" i="2"/>
  <c r="T865" i="2" s="1"/>
  <c r="Q865" i="2"/>
  <c r="P865" i="2"/>
  <c r="R865" i="2" s="1"/>
  <c r="O865" i="2"/>
  <c r="N865" i="2"/>
  <c r="M865" i="2"/>
  <c r="L865" i="2"/>
  <c r="V865" i="2" s="1"/>
  <c r="U864" i="2"/>
  <c r="S864" i="2"/>
  <c r="T864" i="2" s="1"/>
  <c r="Q864" i="2"/>
  <c r="P864" i="2"/>
  <c r="R864" i="2" s="1"/>
  <c r="O864" i="2"/>
  <c r="N864" i="2"/>
  <c r="M864" i="2"/>
  <c r="L864" i="2"/>
  <c r="V864" i="2" s="1"/>
  <c r="U863" i="2"/>
  <c r="S863" i="2"/>
  <c r="T863" i="2" s="1"/>
  <c r="Q863" i="2"/>
  <c r="P863" i="2"/>
  <c r="R863" i="2" s="1"/>
  <c r="O863" i="2"/>
  <c r="N863" i="2"/>
  <c r="M863" i="2"/>
  <c r="L863" i="2"/>
  <c r="V863" i="2" s="1"/>
  <c r="U862" i="2"/>
  <c r="S862" i="2"/>
  <c r="T862" i="2" s="1"/>
  <c r="Q862" i="2"/>
  <c r="P862" i="2"/>
  <c r="R862" i="2" s="1"/>
  <c r="O862" i="2"/>
  <c r="N862" i="2"/>
  <c r="M862" i="2"/>
  <c r="L862" i="2"/>
  <c r="V862" i="2" s="1"/>
  <c r="U861" i="2"/>
  <c r="S861" i="2"/>
  <c r="T861" i="2" s="1"/>
  <c r="Q861" i="2"/>
  <c r="P861" i="2"/>
  <c r="R861" i="2" s="1"/>
  <c r="O861" i="2"/>
  <c r="N861" i="2"/>
  <c r="M861" i="2"/>
  <c r="L861" i="2"/>
  <c r="V861" i="2" s="1"/>
  <c r="U860" i="2"/>
  <c r="S860" i="2"/>
  <c r="T860" i="2" s="1"/>
  <c r="Q860" i="2"/>
  <c r="P860" i="2"/>
  <c r="R860" i="2" s="1"/>
  <c r="O860" i="2"/>
  <c r="N860" i="2"/>
  <c r="M860" i="2"/>
  <c r="L860" i="2"/>
  <c r="V860" i="2" s="1"/>
  <c r="U859" i="2"/>
  <c r="S859" i="2"/>
  <c r="T859" i="2" s="1"/>
  <c r="Q859" i="2"/>
  <c r="P859" i="2"/>
  <c r="R859" i="2" s="1"/>
  <c r="O859" i="2"/>
  <c r="N859" i="2"/>
  <c r="M859" i="2"/>
  <c r="L859" i="2"/>
  <c r="V859" i="2" s="1"/>
  <c r="U858" i="2"/>
  <c r="S858" i="2"/>
  <c r="T858" i="2" s="1"/>
  <c r="Q858" i="2"/>
  <c r="P858" i="2"/>
  <c r="R858" i="2" s="1"/>
  <c r="O858" i="2"/>
  <c r="N858" i="2"/>
  <c r="M858" i="2"/>
  <c r="L858" i="2"/>
  <c r="V858" i="2" s="1"/>
  <c r="U857" i="2"/>
  <c r="S857" i="2"/>
  <c r="T857" i="2" s="1"/>
  <c r="Q857" i="2"/>
  <c r="P857" i="2"/>
  <c r="R857" i="2" s="1"/>
  <c r="O857" i="2"/>
  <c r="N857" i="2"/>
  <c r="M857" i="2"/>
  <c r="L857" i="2"/>
  <c r="V857" i="2" s="1"/>
  <c r="U856" i="2"/>
  <c r="S856" i="2"/>
  <c r="T856" i="2" s="1"/>
  <c r="Q856" i="2"/>
  <c r="P856" i="2"/>
  <c r="R856" i="2" s="1"/>
  <c r="O856" i="2"/>
  <c r="N856" i="2"/>
  <c r="M856" i="2"/>
  <c r="L856" i="2"/>
  <c r="V856" i="2" s="1"/>
  <c r="U855" i="2"/>
  <c r="S855" i="2"/>
  <c r="T855" i="2" s="1"/>
  <c r="Q855" i="2"/>
  <c r="P855" i="2"/>
  <c r="R855" i="2" s="1"/>
  <c r="O855" i="2"/>
  <c r="N855" i="2"/>
  <c r="M855" i="2"/>
  <c r="L855" i="2"/>
  <c r="V855" i="2" s="1"/>
  <c r="U854" i="2"/>
  <c r="S854" i="2"/>
  <c r="T854" i="2" s="1"/>
  <c r="Q854" i="2"/>
  <c r="P854" i="2"/>
  <c r="R854" i="2" s="1"/>
  <c r="O854" i="2"/>
  <c r="N854" i="2"/>
  <c r="M854" i="2"/>
  <c r="L854" i="2"/>
  <c r="V854" i="2" s="1"/>
  <c r="U853" i="2"/>
  <c r="S853" i="2"/>
  <c r="T853" i="2" s="1"/>
  <c r="Q853" i="2"/>
  <c r="P853" i="2"/>
  <c r="R853" i="2" s="1"/>
  <c r="O853" i="2"/>
  <c r="N853" i="2"/>
  <c r="M853" i="2"/>
  <c r="L853" i="2"/>
  <c r="V853" i="2" s="1"/>
  <c r="U852" i="2"/>
  <c r="S852" i="2"/>
  <c r="T852" i="2" s="1"/>
  <c r="Q852" i="2"/>
  <c r="P852" i="2"/>
  <c r="R852" i="2" s="1"/>
  <c r="O852" i="2"/>
  <c r="N852" i="2"/>
  <c r="M852" i="2"/>
  <c r="L852" i="2"/>
  <c r="V852" i="2" s="1"/>
  <c r="U851" i="2"/>
  <c r="S851" i="2"/>
  <c r="T851" i="2" s="1"/>
  <c r="Q851" i="2"/>
  <c r="P851" i="2"/>
  <c r="R851" i="2" s="1"/>
  <c r="O851" i="2"/>
  <c r="N851" i="2"/>
  <c r="M851" i="2"/>
  <c r="L851" i="2"/>
  <c r="V851" i="2" s="1"/>
  <c r="U850" i="2"/>
  <c r="S850" i="2"/>
  <c r="T850" i="2" s="1"/>
  <c r="Q850" i="2"/>
  <c r="P850" i="2"/>
  <c r="R850" i="2" s="1"/>
  <c r="O850" i="2"/>
  <c r="N850" i="2"/>
  <c r="M850" i="2"/>
  <c r="L850" i="2"/>
  <c r="V850" i="2" s="1"/>
  <c r="U849" i="2"/>
  <c r="S849" i="2"/>
  <c r="T849" i="2" s="1"/>
  <c r="Q849" i="2"/>
  <c r="P849" i="2"/>
  <c r="R849" i="2" s="1"/>
  <c r="O849" i="2"/>
  <c r="N849" i="2"/>
  <c r="M849" i="2"/>
  <c r="L849" i="2"/>
  <c r="V849" i="2" s="1"/>
  <c r="U848" i="2"/>
  <c r="S848" i="2"/>
  <c r="T848" i="2" s="1"/>
  <c r="Q848" i="2"/>
  <c r="P848" i="2"/>
  <c r="R848" i="2" s="1"/>
  <c r="O848" i="2"/>
  <c r="N848" i="2"/>
  <c r="M848" i="2"/>
  <c r="L848" i="2"/>
  <c r="V848" i="2" s="1"/>
  <c r="U847" i="2"/>
  <c r="S847" i="2"/>
  <c r="T847" i="2" s="1"/>
  <c r="Q847" i="2"/>
  <c r="P847" i="2"/>
  <c r="R847" i="2" s="1"/>
  <c r="O847" i="2"/>
  <c r="N847" i="2"/>
  <c r="M847" i="2"/>
  <c r="L847" i="2"/>
  <c r="V847" i="2" s="1"/>
  <c r="U846" i="2"/>
  <c r="S846" i="2"/>
  <c r="T846" i="2" s="1"/>
  <c r="Q846" i="2"/>
  <c r="P846" i="2"/>
  <c r="R846" i="2" s="1"/>
  <c r="O846" i="2"/>
  <c r="N846" i="2"/>
  <c r="M846" i="2"/>
  <c r="L846" i="2"/>
  <c r="V846" i="2" s="1"/>
  <c r="U845" i="2"/>
  <c r="S845" i="2"/>
  <c r="T845" i="2" s="1"/>
  <c r="Q845" i="2"/>
  <c r="P845" i="2"/>
  <c r="R845" i="2" s="1"/>
  <c r="O845" i="2"/>
  <c r="N845" i="2"/>
  <c r="M845" i="2"/>
  <c r="L845" i="2"/>
  <c r="V845" i="2" s="1"/>
  <c r="U844" i="2"/>
  <c r="S844" i="2"/>
  <c r="T844" i="2" s="1"/>
  <c r="Q844" i="2"/>
  <c r="P844" i="2"/>
  <c r="R844" i="2" s="1"/>
  <c r="O844" i="2"/>
  <c r="N844" i="2"/>
  <c r="M844" i="2"/>
  <c r="L844" i="2"/>
  <c r="V844" i="2" s="1"/>
  <c r="U843" i="2"/>
  <c r="S843" i="2"/>
  <c r="T843" i="2" s="1"/>
  <c r="Q843" i="2"/>
  <c r="P843" i="2"/>
  <c r="R843" i="2" s="1"/>
  <c r="O843" i="2"/>
  <c r="N843" i="2"/>
  <c r="M843" i="2"/>
  <c r="L843" i="2"/>
  <c r="V843" i="2" s="1"/>
  <c r="U842" i="2"/>
  <c r="S842" i="2"/>
  <c r="T842" i="2" s="1"/>
  <c r="Q842" i="2"/>
  <c r="P842" i="2"/>
  <c r="R842" i="2" s="1"/>
  <c r="O842" i="2"/>
  <c r="N842" i="2"/>
  <c r="M842" i="2"/>
  <c r="L842" i="2"/>
  <c r="V842" i="2" s="1"/>
  <c r="U841" i="2"/>
  <c r="S841" i="2"/>
  <c r="T841" i="2" s="1"/>
  <c r="Q841" i="2"/>
  <c r="P841" i="2"/>
  <c r="R841" i="2" s="1"/>
  <c r="O841" i="2"/>
  <c r="N841" i="2"/>
  <c r="M841" i="2"/>
  <c r="L841" i="2"/>
  <c r="V841" i="2" s="1"/>
  <c r="U840" i="2"/>
  <c r="S840" i="2"/>
  <c r="T840" i="2" s="1"/>
  <c r="Q840" i="2"/>
  <c r="P840" i="2"/>
  <c r="R840" i="2" s="1"/>
  <c r="O840" i="2"/>
  <c r="N840" i="2"/>
  <c r="M840" i="2"/>
  <c r="L840" i="2"/>
  <c r="V840" i="2" s="1"/>
  <c r="U839" i="2"/>
  <c r="S839" i="2"/>
  <c r="T839" i="2" s="1"/>
  <c r="Q839" i="2"/>
  <c r="P839" i="2"/>
  <c r="R839" i="2" s="1"/>
  <c r="O839" i="2"/>
  <c r="N839" i="2"/>
  <c r="M839" i="2"/>
  <c r="L839" i="2"/>
  <c r="V839" i="2" s="1"/>
  <c r="U838" i="2"/>
  <c r="S838" i="2"/>
  <c r="T838" i="2" s="1"/>
  <c r="Q838" i="2"/>
  <c r="P838" i="2"/>
  <c r="R838" i="2" s="1"/>
  <c r="O838" i="2"/>
  <c r="N838" i="2"/>
  <c r="M838" i="2"/>
  <c r="L838" i="2"/>
  <c r="V838" i="2" s="1"/>
  <c r="U837" i="2"/>
  <c r="S837" i="2"/>
  <c r="T837" i="2" s="1"/>
  <c r="Q837" i="2"/>
  <c r="P837" i="2"/>
  <c r="R837" i="2" s="1"/>
  <c r="O837" i="2"/>
  <c r="N837" i="2"/>
  <c r="M837" i="2"/>
  <c r="L837" i="2"/>
  <c r="V837" i="2" s="1"/>
  <c r="U836" i="2"/>
  <c r="S836" i="2"/>
  <c r="T836" i="2" s="1"/>
  <c r="Q836" i="2"/>
  <c r="P836" i="2"/>
  <c r="R836" i="2" s="1"/>
  <c r="O836" i="2"/>
  <c r="N836" i="2"/>
  <c r="M836" i="2"/>
  <c r="L836" i="2"/>
  <c r="V836" i="2" s="1"/>
  <c r="U835" i="2"/>
  <c r="S835" i="2"/>
  <c r="T835" i="2" s="1"/>
  <c r="Q835" i="2"/>
  <c r="P835" i="2"/>
  <c r="R835" i="2" s="1"/>
  <c r="O835" i="2"/>
  <c r="N835" i="2"/>
  <c r="M835" i="2"/>
  <c r="L835" i="2"/>
  <c r="V835" i="2" s="1"/>
  <c r="U834" i="2"/>
  <c r="S834" i="2"/>
  <c r="T834" i="2" s="1"/>
  <c r="Q834" i="2"/>
  <c r="P834" i="2"/>
  <c r="R834" i="2" s="1"/>
  <c r="O834" i="2"/>
  <c r="N834" i="2"/>
  <c r="M834" i="2"/>
  <c r="L834" i="2"/>
  <c r="V834" i="2" s="1"/>
  <c r="U833" i="2"/>
  <c r="S833" i="2"/>
  <c r="T833" i="2" s="1"/>
  <c r="Q833" i="2"/>
  <c r="P833" i="2"/>
  <c r="R833" i="2" s="1"/>
  <c r="O833" i="2"/>
  <c r="N833" i="2"/>
  <c r="M833" i="2"/>
  <c r="L833" i="2"/>
  <c r="V833" i="2" s="1"/>
  <c r="U832" i="2"/>
  <c r="S832" i="2"/>
  <c r="T832" i="2" s="1"/>
  <c r="Q832" i="2"/>
  <c r="P832" i="2"/>
  <c r="R832" i="2" s="1"/>
  <c r="O832" i="2"/>
  <c r="N832" i="2"/>
  <c r="M832" i="2"/>
  <c r="L832" i="2"/>
  <c r="V832" i="2" s="1"/>
  <c r="U831" i="2"/>
  <c r="S831" i="2"/>
  <c r="T831" i="2" s="1"/>
  <c r="Q831" i="2"/>
  <c r="P831" i="2"/>
  <c r="R831" i="2" s="1"/>
  <c r="O831" i="2"/>
  <c r="N831" i="2"/>
  <c r="M831" i="2"/>
  <c r="L831" i="2"/>
  <c r="V831" i="2" s="1"/>
  <c r="U830" i="2"/>
  <c r="S830" i="2"/>
  <c r="T830" i="2" s="1"/>
  <c r="Q830" i="2"/>
  <c r="P830" i="2"/>
  <c r="R830" i="2" s="1"/>
  <c r="O830" i="2"/>
  <c r="N830" i="2"/>
  <c r="M830" i="2"/>
  <c r="L830" i="2"/>
  <c r="V830" i="2" s="1"/>
  <c r="U829" i="2"/>
  <c r="S829" i="2"/>
  <c r="T829" i="2" s="1"/>
  <c r="Q829" i="2"/>
  <c r="P829" i="2"/>
  <c r="R829" i="2" s="1"/>
  <c r="O829" i="2"/>
  <c r="N829" i="2"/>
  <c r="M829" i="2"/>
  <c r="L829" i="2"/>
  <c r="V829" i="2" s="1"/>
  <c r="U828" i="2"/>
  <c r="S828" i="2"/>
  <c r="T828" i="2" s="1"/>
  <c r="Q828" i="2"/>
  <c r="P828" i="2"/>
  <c r="R828" i="2" s="1"/>
  <c r="O828" i="2"/>
  <c r="N828" i="2"/>
  <c r="M828" i="2"/>
  <c r="L828" i="2"/>
  <c r="V828" i="2" s="1"/>
  <c r="U827" i="2"/>
  <c r="S827" i="2"/>
  <c r="T827" i="2" s="1"/>
  <c r="P827" i="2"/>
  <c r="R827" i="2" s="1"/>
  <c r="O827" i="2"/>
  <c r="N827" i="2"/>
  <c r="M827" i="2"/>
  <c r="L827" i="2"/>
  <c r="V827" i="2" s="1"/>
  <c r="U826" i="2"/>
  <c r="S826" i="2"/>
  <c r="T826" i="2" s="1"/>
  <c r="Q826" i="2"/>
  <c r="P826" i="2"/>
  <c r="R826" i="2" s="1"/>
  <c r="O826" i="2"/>
  <c r="N826" i="2"/>
  <c r="M826" i="2"/>
  <c r="L826" i="2"/>
  <c r="V826" i="2" s="1"/>
  <c r="U825" i="2"/>
  <c r="S825" i="2"/>
  <c r="T825" i="2" s="1"/>
  <c r="Q825" i="2"/>
  <c r="P825" i="2"/>
  <c r="R825" i="2" s="1"/>
  <c r="O825" i="2"/>
  <c r="N825" i="2"/>
  <c r="M825" i="2"/>
  <c r="L825" i="2"/>
  <c r="V825" i="2" s="1"/>
  <c r="U824" i="2"/>
  <c r="S824" i="2"/>
  <c r="T824" i="2" s="1"/>
  <c r="Q824" i="2"/>
  <c r="P824" i="2"/>
  <c r="R824" i="2" s="1"/>
  <c r="O824" i="2"/>
  <c r="N824" i="2"/>
  <c r="M824" i="2"/>
  <c r="L824" i="2"/>
  <c r="V824" i="2" s="1"/>
  <c r="U823" i="2"/>
  <c r="S823" i="2"/>
  <c r="T823" i="2" s="1"/>
  <c r="Q823" i="2"/>
  <c r="P823" i="2"/>
  <c r="R823" i="2" s="1"/>
  <c r="O823" i="2"/>
  <c r="N823" i="2"/>
  <c r="M823" i="2"/>
  <c r="L823" i="2"/>
  <c r="V823" i="2" s="1"/>
  <c r="U822" i="2"/>
  <c r="S822" i="2"/>
  <c r="T822" i="2" s="1"/>
  <c r="Q822" i="2"/>
  <c r="P822" i="2"/>
  <c r="R822" i="2" s="1"/>
  <c r="O822" i="2"/>
  <c r="N822" i="2"/>
  <c r="M822" i="2"/>
  <c r="L822" i="2"/>
  <c r="V822" i="2" s="1"/>
  <c r="U821" i="2"/>
  <c r="S821" i="2"/>
  <c r="T821" i="2" s="1"/>
  <c r="Q821" i="2"/>
  <c r="P821" i="2"/>
  <c r="R821" i="2" s="1"/>
  <c r="O821" i="2"/>
  <c r="N821" i="2"/>
  <c r="M821" i="2"/>
  <c r="L821" i="2"/>
  <c r="V821" i="2" s="1"/>
  <c r="U820" i="2"/>
  <c r="S820" i="2"/>
  <c r="T820" i="2" s="1"/>
  <c r="Q820" i="2"/>
  <c r="P820" i="2"/>
  <c r="R820" i="2" s="1"/>
  <c r="O820" i="2"/>
  <c r="N820" i="2"/>
  <c r="M820" i="2"/>
  <c r="L820" i="2"/>
  <c r="V820" i="2" s="1"/>
  <c r="U819" i="2"/>
  <c r="S819" i="2"/>
  <c r="T819" i="2" s="1"/>
  <c r="P819" i="2"/>
  <c r="R819" i="2" s="1"/>
  <c r="O819" i="2"/>
  <c r="N819" i="2"/>
  <c r="M819" i="2"/>
  <c r="L819" i="2"/>
  <c r="V819" i="2" s="1"/>
  <c r="U818" i="2"/>
  <c r="S818" i="2"/>
  <c r="T818" i="2" s="1"/>
  <c r="Q818" i="2"/>
  <c r="P818" i="2"/>
  <c r="R818" i="2" s="1"/>
  <c r="O818" i="2"/>
  <c r="N818" i="2"/>
  <c r="M818" i="2"/>
  <c r="L818" i="2"/>
  <c r="V818" i="2" s="1"/>
  <c r="U817" i="2"/>
  <c r="S817" i="2"/>
  <c r="T817" i="2" s="1"/>
  <c r="Q817" i="2"/>
  <c r="P817" i="2"/>
  <c r="R817" i="2" s="1"/>
  <c r="O817" i="2"/>
  <c r="N817" i="2"/>
  <c r="M817" i="2"/>
  <c r="L817" i="2"/>
  <c r="V817" i="2" s="1"/>
  <c r="U816" i="2"/>
  <c r="S816" i="2"/>
  <c r="T816" i="2" s="1"/>
  <c r="Q816" i="2"/>
  <c r="P816" i="2"/>
  <c r="R816" i="2" s="1"/>
  <c r="O816" i="2"/>
  <c r="N816" i="2"/>
  <c r="M816" i="2"/>
  <c r="L816" i="2"/>
  <c r="V816" i="2" s="1"/>
  <c r="U815" i="2"/>
  <c r="S815" i="2"/>
  <c r="T815" i="2" s="1"/>
  <c r="Q815" i="2"/>
  <c r="P815" i="2"/>
  <c r="R815" i="2" s="1"/>
  <c r="O815" i="2"/>
  <c r="N815" i="2"/>
  <c r="M815" i="2"/>
  <c r="L815" i="2"/>
  <c r="V815" i="2" s="1"/>
  <c r="U814" i="2"/>
  <c r="S814" i="2"/>
  <c r="T814" i="2" s="1"/>
  <c r="Q814" i="2"/>
  <c r="P814" i="2"/>
  <c r="R814" i="2" s="1"/>
  <c r="O814" i="2"/>
  <c r="N814" i="2"/>
  <c r="M814" i="2"/>
  <c r="L814" i="2"/>
  <c r="V814" i="2" s="1"/>
  <c r="U813" i="2"/>
  <c r="S813" i="2"/>
  <c r="T813" i="2" s="1"/>
  <c r="Q813" i="2"/>
  <c r="P813" i="2"/>
  <c r="R813" i="2" s="1"/>
  <c r="O813" i="2"/>
  <c r="N813" i="2"/>
  <c r="M813" i="2"/>
  <c r="L813" i="2"/>
  <c r="V813" i="2" s="1"/>
  <c r="U812" i="2"/>
  <c r="S812" i="2"/>
  <c r="T812" i="2" s="1"/>
  <c r="Q812" i="2"/>
  <c r="P812" i="2"/>
  <c r="R812" i="2" s="1"/>
  <c r="O812" i="2"/>
  <c r="N812" i="2"/>
  <c r="M812" i="2"/>
  <c r="L812" i="2"/>
  <c r="V812" i="2" s="1"/>
  <c r="U811" i="2"/>
  <c r="S811" i="2"/>
  <c r="T811" i="2" s="1"/>
  <c r="Q811" i="2"/>
  <c r="P811" i="2"/>
  <c r="R811" i="2" s="1"/>
  <c r="O811" i="2"/>
  <c r="N811" i="2"/>
  <c r="M811" i="2"/>
  <c r="L811" i="2"/>
  <c r="V811" i="2" s="1"/>
  <c r="U810" i="2"/>
  <c r="S810" i="2"/>
  <c r="T810" i="2" s="1"/>
  <c r="Q810" i="2"/>
  <c r="P810" i="2"/>
  <c r="R810" i="2" s="1"/>
  <c r="O810" i="2"/>
  <c r="N810" i="2"/>
  <c r="M810" i="2"/>
  <c r="L810" i="2"/>
  <c r="V810" i="2" s="1"/>
  <c r="U809" i="2"/>
  <c r="S809" i="2"/>
  <c r="T809" i="2" s="1"/>
  <c r="P809" i="2"/>
  <c r="R809" i="2" s="1"/>
  <c r="O809" i="2"/>
  <c r="N809" i="2"/>
  <c r="M809" i="2"/>
  <c r="L809" i="2"/>
  <c r="V809" i="2" s="1"/>
  <c r="U808" i="2"/>
  <c r="S808" i="2"/>
  <c r="T808" i="2" s="1"/>
  <c r="Q808" i="2"/>
  <c r="P808" i="2"/>
  <c r="R808" i="2" s="1"/>
  <c r="O808" i="2"/>
  <c r="N808" i="2"/>
  <c r="M808" i="2"/>
  <c r="L808" i="2"/>
  <c r="V808" i="2" s="1"/>
  <c r="U807" i="2"/>
  <c r="S807" i="2"/>
  <c r="T807" i="2" s="1"/>
  <c r="Q807" i="2"/>
  <c r="P807" i="2"/>
  <c r="R807" i="2" s="1"/>
  <c r="O807" i="2"/>
  <c r="N807" i="2"/>
  <c r="M807" i="2"/>
  <c r="L807" i="2"/>
  <c r="V807" i="2" s="1"/>
  <c r="U806" i="2"/>
  <c r="S806" i="2"/>
  <c r="T806" i="2" s="1"/>
  <c r="Q806" i="2"/>
  <c r="P806" i="2"/>
  <c r="R806" i="2" s="1"/>
  <c r="O806" i="2"/>
  <c r="N806" i="2"/>
  <c r="M806" i="2"/>
  <c r="L806" i="2"/>
  <c r="V806" i="2" s="1"/>
  <c r="U805" i="2"/>
  <c r="S805" i="2"/>
  <c r="T805" i="2" s="1"/>
  <c r="Q805" i="2"/>
  <c r="P805" i="2"/>
  <c r="R805" i="2" s="1"/>
  <c r="O805" i="2"/>
  <c r="N805" i="2"/>
  <c r="M805" i="2"/>
  <c r="L805" i="2"/>
  <c r="V805" i="2" s="1"/>
  <c r="U804" i="2"/>
  <c r="S804" i="2"/>
  <c r="T804" i="2" s="1"/>
  <c r="Q804" i="2"/>
  <c r="P804" i="2"/>
  <c r="R804" i="2" s="1"/>
  <c r="O804" i="2"/>
  <c r="N804" i="2"/>
  <c r="M804" i="2"/>
  <c r="L804" i="2"/>
  <c r="V804" i="2" s="1"/>
  <c r="U803" i="2"/>
  <c r="S803" i="2"/>
  <c r="T803" i="2" s="1"/>
  <c r="P803" i="2"/>
  <c r="R803" i="2" s="1"/>
  <c r="O803" i="2"/>
  <c r="N803" i="2"/>
  <c r="M803" i="2"/>
  <c r="L803" i="2"/>
  <c r="V803" i="2" s="1"/>
  <c r="U802" i="2"/>
  <c r="S802" i="2"/>
  <c r="T802" i="2" s="1"/>
  <c r="Q802" i="2"/>
  <c r="P802" i="2"/>
  <c r="R802" i="2" s="1"/>
  <c r="O802" i="2"/>
  <c r="N802" i="2"/>
  <c r="M802" i="2"/>
  <c r="L802" i="2"/>
  <c r="V802" i="2" s="1"/>
  <c r="U801" i="2"/>
  <c r="S801" i="2"/>
  <c r="T801" i="2" s="1"/>
  <c r="Q801" i="2"/>
  <c r="P801" i="2"/>
  <c r="R801" i="2" s="1"/>
  <c r="O801" i="2"/>
  <c r="N801" i="2"/>
  <c r="M801" i="2"/>
  <c r="L801" i="2"/>
  <c r="V801" i="2" s="1"/>
  <c r="U800" i="2"/>
  <c r="S800" i="2"/>
  <c r="T800" i="2" s="1"/>
  <c r="P800" i="2"/>
  <c r="R800" i="2" s="1"/>
  <c r="O800" i="2"/>
  <c r="N800" i="2"/>
  <c r="M800" i="2"/>
  <c r="L800" i="2"/>
  <c r="V800" i="2" s="1"/>
  <c r="U799" i="2"/>
  <c r="S799" i="2"/>
  <c r="T799" i="2" s="1"/>
  <c r="Q799" i="2"/>
  <c r="P799" i="2"/>
  <c r="R799" i="2" s="1"/>
  <c r="O799" i="2"/>
  <c r="N799" i="2"/>
  <c r="M799" i="2"/>
  <c r="L799" i="2"/>
  <c r="V799" i="2" s="1"/>
  <c r="U798" i="2"/>
  <c r="S798" i="2"/>
  <c r="T798" i="2" s="1"/>
  <c r="Q798" i="2"/>
  <c r="P798" i="2"/>
  <c r="R798" i="2" s="1"/>
  <c r="O798" i="2"/>
  <c r="N798" i="2"/>
  <c r="M798" i="2"/>
  <c r="L798" i="2"/>
  <c r="V798" i="2" s="1"/>
  <c r="U797" i="2"/>
  <c r="S797" i="2"/>
  <c r="T797" i="2" s="1"/>
  <c r="Q797" i="2"/>
  <c r="P797" i="2"/>
  <c r="R797" i="2" s="1"/>
  <c r="O797" i="2"/>
  <c r="N797" i="2"/>
  <c r="M797" i="2"/>
  <c r="L797" i="2"/>
  <c r="V797" i="2" s="1"/>
  <c r="U796" i="2"/>
  <c r="S796" i="2"/>
  <c r="T796" i="2" s="1"/>
  <c r="P796" i="2"/>
  <c r="R796" i="2" s="1"/>
  <c r="O796" i="2"/>
  <c r="N796" i="2"/>
  <c r="M796" i="2"/>
  <c r="L796" i="2"/>
  <c r="V796" i="2" s="1"/>
  <c r="U795" i="2"/>
  <c r="S795" i="2"/>
  <c r="T795" i="2" s="1"/>
  <c r="Q795" i="2"/>
  <c r="P795" i="2"/>
  <c r="R795" i="2" s="1"/>
  <c r="O795" i="2"/>
  <c r="N795" i="2"/>
  <c r="M795" i="2"/>
  <c r="L795" i="2"/>
  <c r="V795" i="2" s="1"/>
  <c r="U794" i="2"/>
  <c r="S794" i="2"/>
  <c r="T794" i="2" s="1"/>
  <c r="Q794" i="2"/>
  <c r="P794" i="2"/>
  <c r="R794" i="2" s="1"/>
  <c r="O794" i="2"/>
  <c r="N794" i="2"/>
  <c r="M794" i="2"/>
  <c r="L794" i="2"/>
  <c r="V794" i="2" s="1"/>
  <c r="U793" i="2"/>
  <c r="S793" i="2"/>
  <c r="T793" i="2" s="1"/>
  <c r="Q793" i="2"/>
  <c r="P793" i="2"/>
  <c r="R793" i="2" s="1"/>
  <c r="O793" i="2"/>
  <c r="N793" i="2"/>
  <c r="M793" i="2"/>
  <c r="L793" i="2"/>
  <c r="V793" i="2" s="1"/>
  <c r="U792" i="2"/>
  <c r="S792" i="2"/>
  <c r="T792" i="2" s="1"/>
  <c r="Q792" i="2"/>
  <c r="P792" i="2"/>
  <c r="R792" i="2" s="1"/>
  <c r="O792" i="2"/>
  <c r="N792" i="2"/>
  <c r="M792" i="2"/>
  <c r="L792" i="2"/>
  <c r="V792" i="2" s="1"/>
  <c r="U791" i="2"/>
  <c r="S791" i="2"/>
  <c r="T791" i="2" s="1"/>
  <c r="Q791" i="2"/>
  <c r="P791" i="2"/>
  <c r="R791" i="2" s="1"/>
  <c r="O791" i="2"/>
  <c r="N791" i="2"/>
  <c r="M791" i="2"/>
  <c r="L791" i="2"/>
  <c r="V791" i="2" s="1"/>
  <c r="U790" i="2"/>
  <c r="S790" i="2"/>
  <c r="T790" i="2" s="1"/>
  <c r="Q790" i="2"/>
  <c r="P790" i="2"/>
  <c r="R790" i="2" s="1"/>
  <c r="O790" i="2"/>
  <c r="N790" i="2"/>
  <c r="M790" i="2"/>
  <c r="L790" i="2"/>
  <c r="V790" i="2" s="1"/>
  <c r="U789" i="2"/>
  <c r="S789" i="2"/>
  <c r="T789" i="2" s="1"/>
  <c r="Q789" i="2"/>
  <c r="P789" i="2"/>
  <c r="R789" i="2" s="1"/>
  <c r="O789" i="2"/>
  <c r="N789" i="2"/>
  <c r="M789" i="2"/>
  <c r="L789" i="2"/>
  <c r="V789" i="2" s="1"/>
  <c r="U788" i="2"/>
  <c r="S788" i="2"/>
  <c r="T788" i="2" s="1"/>
  <c r="Q788" i="2"/>
  <c r="P788" i="2"/>
  <c r="R788" i="2" s="1"/>
  <c r="O788" i="2"/>
  <c r="N788" i="2"/>
  <c r="M788" i="2"/>
  <c r="L788" i="2"/>
  <c r="V788" i="2" s="1"/>
  <c r="U787" i="2"/>
  <c r="S787" i="2"/>
  <c r="T787" i="2" s="1"/>
  <c r="Q787" i="2"/>
  <c r="P787" i="2"/>
  <c r="R787" i="2" s="1"/>
  <c r="O787" i="2"/>
  <c r="N787" i="2"/>
  <c r="M787" i="2"/>
  <c r="L787" i="2"/>
  <c r="V787" i="2" s="1"/>
  <c r="U786" i="2"/>
  <c r="S786" i="2"/>
  <c r="T786" i="2" s="1"/>
  <c r="Q786" i="2"/>
  <c r="P786" i="2"/>
  <c r="R786" i="2" s="1"/>
  <c r="O786" i="2"/>
  <c r="N786" i="2"/>
  <c r="M786" i="2"/>
  <c r="L786" i="2"/>
  <c r="V786" i="2" s="1"/>
  <c r="U785" i="2"/>
  <c r="S785" i="2"/>
  <c r="T785" i="2" s="1"/>
  <c r="Q785" i="2"/>
  <c r="P785" i="2"/>
  <c r="R785" i="2" s="1"/>
  <c r="O785" i="2"/>
  <c r="N785" i="2"/>
  <c r="M785" i="2"/>
  <c r="L785" i="2"/>
  <c r="V785" i="2" s="1"/>
  <c r="U784" i="2"/>
  <c r="S784" i="2"/>
  <c r="T784" i="2" s="1"/>
  <c r="P784" i="2"/>
  <c r="R784" i="2" s="1"/>
  <c r="O784" i="2"/>
  <c r="N784" i="2"/>
  <c r="M784" i="2"/>
  <c r="L784" i="2"/>
  <c r="V784" i="2" s="1"/>
  <c r="U783" i="2"/>
  <c r="S783" i="2"/>
  <c r="T783" i="2" s="1"/>
  <c r="Q783" i="2"/>
  <c r="P783" i="2"/>
  <c r="R783" i="2" s="1"/>
  <c r="O783" i="2"/>
  <c r="N783" i="2"/>
  <c r="M783" i="2"/>
  <c r="L783" i="2"/>
  <c r="V783" i="2" s="1"/>
  <c r="U782" i="2"/>
  <c r="S782" i="2"/>
  <c r="T782" i="2" s="1"/>
  <c r="Q782" i="2"/>
  <c r="P782" i="2"/>
  <c r="R782" i="2" s="1"/>
  <c r="O782" i="2"/>
  <c r="N782" i="2"/>
  <c r="M782" i="2"/>
  <c r="L782" i="2"/>
  <c r="V782" i="2" s="1"/>
  <c r="U781" i="2"/>
  <c r="S781" i="2"/>
  <c r="T781" i="2" s="1"/>
  <c r="Q781" i="2"/>
  <c r="P781" i="2"/>
  <c r="R781" i="2" s="1"/>
  <c r="O781" i="2"/>
  <c r="N781" i="2"/>
  <c r="M781" i="2"/>
  <c r="L781" i="2"/>
  <c r="V781" i="2" s="1"/>
  <c r="U780" i="2"/>
  <c r="S780" i="2"/>
  <c r="T780" i="2" s="1"/>
  <c r="Q780" i="2"/>
  <c r="P780" i="2"/>
  <c r="R780" i="2" s="1"/>
  <c r="O780" i="2"/>
  <c r="N780" i="2"/>
  <c r="M780" i="2"/>
  <c r="L780" i="2"/>
  <c r="V780" i="2" s="1"/>
  <c r="U779" i="2"/>
  <c r="S779" i="2"/>
  <c r="T779" i="2" s="1"/>
  <c r="Q779" i="2"/>
  <c r="P779" i="2"/>
  <c r="R779" i="2" s="1"/>
  <c r="O779" i="2"/>
  <c r="N779" i="2"/>
  <c r="M779" i="2"/>
  <c r="L779" i="2"/>
  <c r="V779" i="2" s="1"/>
  <c r="U778" i="2"/>
  <c r="S778" i="2"/>
  <c r="T778" i="2" s="1"/>
  <c r="Q778" i="2"/>
  <c r="P778" i="2"/>
  <c r="R778" i="2" s="1"/>
  <c r="O778" i="2"/>
  <c r="N778" i="2"/>
  <c r="M778" i="2"/>
  <c r="L778" i="2"/>
  <c r="V778" i="2" s="1"/>
  <c r="U777" i="2"/>
  <c r="S777" i="2"/>
  <c r="T777" i="2" s="1"/>
  <c r="Q777" i="2"/>
  <c r="P777" i="2"/>
  <c r="R777" i="2" s="1"/>
  <c r="O777" i="2"/>
  <c r="N777" i="2"/>
  <c r="M777" i="2"/>
  <c r="L777" i="2"/>
  <c r="V777" i="2" s="1"/>
  <c r="U776" i="2"/>
  <c r="S776" i="2"/>
  <c r="T776" i="2" s="1"/>
  <c r="Q776" i="2"/>
  <c r="P776" i="2"/>
  <c r="R776" i="2" s="1"/>
  <c r="O776" i="2"/>
  <c r="N776" i="2"/>
  <c r="M776" i="2"/>
  <c r="L776" i="2"/>
  <c r="V776" i="2" s="1"/>
  <c r="U775" i="2"/>
  <c r="S775" i="2"/>
  <c r="T775" i="2" s="1"/>
  <c r="Q775" i="2"/>
  <c r="P775" i="2"/>
  <c r="R775" i="2" s="1"/>
  <c r="O775" i="2"/>
  <c r="N775" i="2"/>
  <c r="M775" i="2"/>
  <c r="L775" i="2"/>
  <c r="V775" i="2" s="1"/>
  <c r="U774" i="2"/>
  <c r="S774" i="2"/>
  <c r="T774" i="2" s="1"/>
  <c r="Q774" i="2"/>
  <c r="P774" i="2"/>
  <c r="R774" i="2" s="1"/>
  <c r="O774" i="2"/>
  <c r="N774" i="2"/>
  <c r="M774" i="2"/>
  <c r="L774" i="2"/>
  <c r="V774" i="2" s="1"/>
  <c r="U773" i="2"/>
  <c r="S773" i="2"/>
  <c r="T773" i="2" s="1"/>
  <c r="P773" i="2"/>
  <c r="R773" i="2" s="1"/>
  <c r="O773" i="2"/>
  <c r="N773" i="2"/>
  <c r="M773" i="2"/>
  <c r="L773" i="2"/>
  <c r="V773" i="2" s="1"/>
  <c r="U772" i="2"/>
  <c r="S772" i="2"/>
  <c r="T772" i="2" s="1"/>
  <c r="Q772" i="2"/>
  <c r="P772" i="2"/>
  <c r="R772" i="2" s="1"/>
  <c r="O772" i="2"/>
  <c r="N772" i="2"/>
  <c r="M772" i="2"/>
  <c r="L772" i="2"/>
  <c r="V772" i="2" s="1"/>
  <c r="U771" i="2"/>
  <c r="S771" i="2"/>
  <c r="T771" i="2" s="1"/>
  <c r="Q771" i="2"/>
  <c r="P771" i="2"/>
  <c r="R771" i="2" s="1"/>
  <c r="O771" i="2"/>
  <c r="N771" i="2"/>
  <c r="M771" i="2"/>
  <c r="L771" i="2"/>
  <c r="V771" i="2" s="1"/>
  <c r="U770" i="2"/>
  <c r="S770" i="2"/>
  <c r="T770" i="2" s="1"/>
  <c r="Q770" i="2"/>
  <c r="P770" i="2"/>
  <c r="R770" i="2" s="1"/>
  <c r="O770" i="2"/>
  <c r="N770" i="2"/>
  <c r="M770" i="2"/>
  <c r="L770" i="2"/>
  <c r="V770" i="2" s="1"/>
  <c r="U769" i="2"/>
  <c r="S769" i="2"/>
  <c r="T769" i="2" s="1"/>
  <c r="Q769" i="2"/>
  <c r="P769" i="2"/>
  <c r="R769" i="2" s="1"/>
  <c r="O769" i="2"/>
  <c r="N769" i="2"/>
  <c r="M769" i="2"/>
  <c r="L769" i="2"/>
  <c r="V769" i="2" s="1"/>
  <c r="U768" i="2"/>
  <c r="S768" i="2"/>
  <c r="T768" i="2" s="1"/>
  <c r="Q768" i="2"/>
  <c r="P768" i="2"/>
  <c r="R768" i="2" s="1"/>
  <c r="O768" i="2"/>
  <c r="N768" i="2"/>
  <c r="M768" i="2"/>
  <c r="L768" i="2"/>
  <c r="V768" i="2" s="1"/>
  <c r="U767" i="2"/>
  <c r="S767" i="2"/>
  <c r="T767" i="2" s="1"/>
  <c r="Q767" i="2"/>
  <c r="P767" i="2"/>
  <c r="R767" i="2" s="1"/>
  <c r="O767" i="2"/>
  <c r="N767" i="2"/>
  <c r="M767" i="2"/>
  <c r="L767" i="2"/>
  <c r="V767" i="2" s="1"/>
  <c r="U766" i="2"/>
  <c r="S766" i="2"/>
  <c r="T766" i="2" s="1"/>
  <c r="Q766" i="2"/>
  <c r="P766" i="2"/>
  <c r="R766" i="2" s="1"/>
  <c r="O766" i="2"/>
  <c r="N766" i="2"/>
  <c r="M766" i="2"/>
  <c r="L766" i="2"/>
  <c r="V766" i="2" s="1"/>
  <c r="U765" i="2"/>
  <c r="S765" i="2"/>
  <c r="T765" i="2" s="1"/>
  <c r="Q765" i="2"/>
  <c r="P765" i="2"/>
  <c r="R765" i="2" s="1"/>
  <c r="O765" i="2"/>
  <c r="N765" i="2"/>
  <c r="M765" i="2"/>
  <c r="L765" i="2"/>
  <c r="V765" i="2" s="1"/>
  <c r="U764" i="2"/>
  <c r="S764" i="2"/>
  <c r="T764" i="2" s="1"/>
  <c r="Q764" i="2"/>
  <c r="P764" i="2"/>
  <c r="R764" i="2" s="1"/>
  <c r="O764" i="2"/>
  <c r="N764" i="2"/>
  <c r="M764" i="2"/>
  <c r="L764" i="2"/>
  <c r="V764" i="2" s="1"/>
  <c r="U763" i="2"/>
  <c r="S763" i="2"/>
  <c r="T763" i="2" s="1"/>
  <c r="Q763" i="2"/>
  <c r="P763" i="2"/>
  <c r="R763" i="2" s="1"/>
  <c r="O763" i="2"/>
  <c r="N763" i="2"/>
  <c r="M763" i="2"/>
  <c r="L763" i="2"/>
  <c r="V763" i="2" s="1"/>
  <c r="U762" i="2"/>
  <c r="S762" i="2"/>
  <c r="T762" i="2" s="1"/>
  <c r="P762" i="2"/>
  <c r="R762" i="2" s="1"/>
  <c r="O762" i="2"/>
  <c r="N762" i="2"/>
  <c r="M762" i="2"/>
  <c r="L762" i="2"/>
  <c r="V762" i="2" s="1"/>
  <c r="U761" i="2"/>
  <c r="S761" i="2"/>
  <c r="T761" i="2" s="1"/>
  <c r="Q761" i="2"/>
  <c r="P761" i="2"/>
  <c r="R761" i="2" s="1"/>
  <c r="O761" i="2"/>
  <c r="N761" i="2"/>
  <c r="M761" i="2"/>
  <c r="L761" i="2"/>
  <c r="V761" i="2" s="1"/>
  <c r="U760" i="2"/>
  <c r="S760" i="2"/>
  <c r="T760" i="2" s="1"/>
  <c r="Q760" i="2"/>
  <c r="P760" i="2"/>
  <c r="R760" i="2" s="1"/>
  <c r="O760" i="2"/>
  <c r="N760" i="2"/>
  <c r="M760" i="2"/>
  <c r="L760" i="2"/>
  <c r="V760" i="2" s="1"/>
  <c r="U759" i="2"/>
  <c r="S759" i="2"/>
  <c r="T759" i="2" s="1"/>
  <c r="Q759" i="2"/>
  <c r="P759" i="2"/>
  <c r="R759" i="2" s="1"/>
  <c r="O759" i="2"/>
  <c r="N759" i="2"/>
  <c r="M759" i="2"/>
  <c r="L759" i="2"/>
  <c r="V759" i="2" s="1"/>
  <c r="U758" i="2"/>
  <c r="S758" i="2"/>
  <c r="T758" i="2" s="1"/>
  <c r="Q758" i="2"/>
  <c r="P758" i="2"/>
  <c r="R758" i="2" s="1"/>
  <c r="O758" i="2"/>
  <c r="N758" i="2"/>
  <c r="M758" i="2"/>
  <c r="L758" i="2"/>
  <c r="V758" i="2" s="1"/>
  <c r="U757" i="2"/>
  <c r="S757" i="2"/>
  <c r="T757" i="2" s="1"/>
  <c r="Q757" i="2"/>
  <c r="P757" i="2"/>
  <c r="R757" i="2" s="1"/>
  <c r="O757" i="2"/>
  <c r="N757" i="2"/>
  <c r="M757" i="2"/>
  <c r="L757" i="2"/>
  <c r="V757" i="2" s="1"/>
  <c r="U756" i="2"/>
  <c r="S756" i="2"/>
  <c r="T756" i="2" s="1"/>
  <c r="Q756" i="2"/>
  <c r="P756" i="2"/>
  <c r="R756" i="2" s="1"/>
  <c r="O756" i="2"/>
  <c r="N756" i="2"/>
  <c r="M756" i="2"/>
  <c r="L756" i="2"/>
  <c r="V756" i="2" s="1"/>
  <c r="U755" i="2"/>
  <c r="S755" i="2"/>
  <c r="T755" i="2" s="1"/>
  <c r="Q755" i="2"/>
  <c r="P755" i="2"/>
  <c r="R755" i="2" s="1"/>
  <c r="O755" i="2"/>
  <c r="N755" i="2"/>
  <c r="M755" i="2"/>
  <c r="L755" i="2"/>
  <c r="V755" i="2" s="1"/>
  <c r="U754" i="2"/>
  <c r="S754" i="2"/>
  <c r="T754" i="2" s="1"/>
  <c r="Q754" i="2"/>
  <c r="P754" i="2"/>
  <c r="R754" i="2" s="1"/>
  <c r="O754" i="2"/>
  <c r="N754" i="2"/>
  <c r="M754" i="2"/>
  <c r="L754" i="2"/>
  <c r="V754" i="2" s="1"/>
  <c r="U753" i="2"/>
  <c r="S753" i="2"/>
  <c r="T753" i="2" s="1"/>
  <c r="Q753" i="2"/>
  <c r="P753" i="2"/>
  <c r="R753" i="2" s="1"/>
  <c r="O753" i="2"/>
  <c r="N753" i="2"/>
  <c r="M753" i="2"/>
  <c r="L753" i="2"/>
  <c r="V753" i="2" s="1"/>
  <c r="U752" i="2"/>
  <c r="S752" i="2"/>
  <c r="T752" i="2" s="1"/>
  <c r="Q752" i="2"/>
  <c r="P752" i="2"/>
  <c r="R752" i="2" s="1"/>
  <c r="O752" i="2"/>
  <c r="N752" i="2"/>
  <c r="M752" i="2"/>
  <c r="L752" i="2"/>
  <c r="V752" i="2" s="1"/>
  <c r="U751" i="2"/>
  <c r="S751" i="2"/>
  <c r="T751" i="2" s="1"/>
  <c r="Q751" i="2"/>
  <c r="P751" i="2"/>
  <c r="R751" i="2" s="1"/>
  <c r="O751" i="2"/>
  <c r="N751" i="2"/>
  <c r="M751" i="2"/>
  <c r="L751" i="2"/>
  <c r="V751" i="2" s="1"/>
  <c r="U750" i="2"/>
  <c r="S750" i="2"/>
  <c r="T750" i="2" s="1"/>
  <c r="P750" i="2"/>
  <c r="R750" i="2" s="1"/>
  <c r="O750" i="2"/>
  <c r="N750" i="2"/>
  <c r="M750" i="2"/>
  <c r="L750" i="2"/>
  <c r="V750" i="2" s="1"/>
  <c r="U749" i="2"/>
  <c r="S749" i="2"/>
  <c r="T749" i="2" s="1"/>
  <c r="Q749" i="2"/>
  <c r="P749" i="2"/>
  <c r="R749" i="2" s="1"/>
  <c r="O749" i="2"/>
  <c r="N749" i="2"/>
  <c r="M749" i="2"/>
  <c r="L749" i="2"/>
  <c r="V749" i="2" s="1"/>
  <c r="U748" i="2"/>
  <c r="S748" i="2"/>
  <c r="T748" i="2" s="1"/>
  <c r="Q748" i="2"/>
  <c r="P748" i="2"/>
  <c r="R748" i="2" s="1"/>
  <c r="O748" i="2"/>
  <c r="N748" i="2"/>
  <c r="M748" i="2"/>
  <c r="L748" i="2"/>
  <c r="V748" i="2" s="1"/>
  <c r="U747" i="2"/>
  <c r="S747" i="2"/>
  <c r="T747" i="2" s="1"/>
  <c r="Q747" i="2"/>
  <c r="P747" i="2"/>
  <c r="R747" i="2" s="1"/>
  <c r="O747" i="2"/>
  <c r="N747" i="2"/>
  <c r="M747" i="2"/>
  <c r="L747" i="2"/>
  <c r="V747" i="2" s="1"/>
  <c r="U746" i="2"/>
  <c r="S746" i="2"/>
  <c r="T746" i="2" s="1"/>
  <c r="Q746" i="2"/>
  <c r="P746" i="2"/>
  <c r="R746" i="2" s="1"/>
  <c r="O746" i="2"/>
  <c r="N746" i="2"/>
  <c r="M746" i="2"/>
  <c r="L746" i="2"/>
  <c r="V746" i="2" s="1"/>
  <c r="U745" i="2"/>
  <c r="S745" i="2"/>
  <c r="T745" i="2" s="1"/>
  <c r="Q745" i="2"/>
  <c r="P745" i="2"/>
  <c r="R745" i="2" s="1"/>
  <c r="O745" i="2"/>
  <c r="N745" i="2"/>
  <c r="M745" i="2"/>
  <c r="L745" i="2"/>
  <c r="V745" i="2" s="1"/>
  <c r="U744" i="2"/>
  <c r="S744" i="2"/>
  <c r="T744" i="2" s="1"/>
  <c r="P744" i="2"/>
  <c r="R744" i="2" s="1"/>
  <c r="O744" i="2"/>
  <c r="N744" i="2"/>
  <c r="M744" i="2"/>
  <c r="L744" i="2"/>
  <c r="V744" i="2" s="1"/>
  <c r="U743" i="2"/>
  <c r="S743" i="2"/>
  <c r="T743" i="2" s="1"/>
  <c r="Q743" i="2"/>
  <c r="P743" i="2"/>
  <c r="R743" i="2" s="1"/>
  <c r="O743" i="2"/>
  <c r="N743" i="2"/>
  <c r="M743" i="2"/>
  <c r="L743" i="2"/>
  <c r="V743" i="2" s="1"/>
  <c r="U742" i="2"/>
  <c r="S742" i="2"/>
  <c r="T742" i="2" s="1"/>
  <c r="Q742" i="2"/>
  <c r="P742" i="2"/>
  <c r="R742" i="2" s="1"/>
  <c r="O742" i="2"/>
  <c r="N742" i="2"/>
  <c r="M742" i="2"/>
  <c r="L742" i="2"/>
  <c r="V742" i="2" s="1"/>
  <c r="U741" i="2"/>
  <c r="S741" i="2"/>
  <c r="T741" i="2" s="1"/>
  <c r="P741" i="2"/>
  <c r="R741" i="2" s="1"/>
  <c r="O741" i="2"/>
  <c r="N741" i="2"/>
  <c r="M741" i="2"/>
  <c r="L741" i="2"/>
  <c r="V741" i="2" s="1"/>
  <c r="U740" i="2"/>
  <c r="S740" i="2"/>
  <c r="T740" i="2" s="1"/>
  <c r="Q740" i="2"/>
  <c r="P740" i="2"/>
  <c r="R740" i="2" s="1"/>
  <c r="O740" i="2"/>
  <c r="N740" i="2"/>
  <c r="M740" i="2"/>
  <c r="L740" i="2"/>
  <c r="V740" i="2" s="1"/>
  <c r="U739" i="2"/>
  <c r="S739" i="2"/>
  <c r="T739" i="2" s="1"/>
  <c r="Q739" i="2"/>
  <c r="P739" i="2"/>
  <c r="R739" i="2" s="1"/>
  <c r="O739" i="2"/>
  <c r="N739" i="2"/>
  <c r="M739" i="2"/>
  <c r="L739" i="2"/>
  <c r="V739" i="2" s="1"/>
  <c r="U738" i="2"/>
  <c r="S738" i="2"/>
  <c r="T738" i="2" s="1"/>
  <c r="Q738" i="2"/>
  <c r="P738" i="2"/>
  <c r="R738" i="2" s="1"/>
  <c r="O738" i="2"/>
  <c r="N738" i="2"/>
  <c r="M738" i="2"/>
  <c r="L738" i="2"/>
  <c r="V738" i="2" s="1"/>
  <c r="U737" i="2"/>
  <c r="S737" i="2"/>
  <c r="T737" i="2" s="1"/>
  <c r="Q737" i="2"/>
  <c r="P737" i="2"/>
  <c r="R737" i="2" s="1"/>
  <c r="O737" i="2"/>
  <c r="N737" i="2"/>
  <c r="M737" i="2"/>
  <c r="L737" i="2"/>
  <c r="V737" i="2" s="1"/>
  <c r="U736" i="2"/>
  <c r="S736" i="2"/>
  <c r="T736" i="2" s="1"/>
  <c r="Q736" i="2"/>
  <c r="P736" i="2"/>
  <c r="R736" i="2" s="1"/>
  <c r="O736" i="2"/>
  <c r="N736" i="2"/>
  <c r="M736" i="2"/>
  <c r="L736" i="2"/>
  <c r="V736" i="2" s="1"/>
  <c r="U735" i="2"/>
  <c r="S735" i="2"/>
  <c r="T735" i="2" s="1"/>
  <c r="P735" i="2"/>
  <c r="R735" i="2" s="1"/>
  <c r="O735" i="2"/>
  <c r="N735" i="2"/>
  <c r="M735" i="2"/>
  <c r="L735" i="2"/>
  <c r="V735" i="2" s="1"/>
  <c r="U734" i="2"/>
  <c r="S734" i="2"/>
  <c r="T734" i="2" s="1"/>
  <c r="Q734" i="2"/>
  <c r="P734" i="2"/>
  <c r="R734" i="2" s="1"/>
  <c r="O734" i="2"/>
  <c r="N734" i="2"/>
  <c r="M734" i="2"/>
  <c r="L734" i="2"/>
  <c r="V734" i="2" s="1"/>
  <c r="U733" i="2"/>
  <c r="S733" i="2"/>
  <c r="T733" i="2" s="1"/>
  <c r="Q733" i="2"/>
  <c r="P733" i="2"/>
  <c r="R733" i="2" s="1"/>
  <c r="O733" i="2"/>
  <c r="N733" i="2"/>
  <c r="M733" i="2"/>
  <c r="L733" i="2"/>
  <c r="V733" i="2" s="1"/>
  <c r="U732" i="2"/>
  <c r="S732" i="2"/>
  <c r="T732" i="2" s="1"/>
  <c r="Q732" i="2"/>
  <c r="P732" i="2"/>
  <c r="R732" i="2" s="1"/>
  <c r="O732" i="2"/>
  <c r="N732" i="2"/>
  <c r="M732" i="2"/>
  <c r="L732" i="2"/>
  <c r="V732" i="2" s="1"/>
  <c r="V731" i="2"/>
  <c r="U731" i="2"/>
  <c r="S731" i="2"/>
  <c r="T731" i="2" s="1"/>
  <c r="Q731" i="2"/>
  <c r="P731" i="2"/>
  <c r="R731" i="2" s="1"/>
  <c r="O731" i="2"/>
  <c r="N731" i="2"/>
  <c r="M731" i="2"/>
  <c r="L731" i="2"/>
  <c r="U730" i="2"/>
  <c r="S730" i="2"/>
  <c r="T730" i="2" s="1"/>
  <c r="Q730" i="2"/>
  <c r="P730" i="2"/>
  <c r="R730" i="2" s="1"/>
  <c r="O730" i="2"/>
  <c r="N730" i="2"/>
  <c r="M730" i="2"/>
  <c r="L730" i="2"/>
  <c r="V730" i="2" s="1"/>
  <c r="U729" i="2"/>
  <c r="S729" i="2"/>
  <c r="T729" i="2" s="1"/>
  <c r="Q729" i="2"/>
  <c r="P729" i="2"/>
  <c r="R729" i="2" s="1"/>
  <c r="O729" i="2"/>
  <c r="N729" i="2"/>
  <c r="M729" i="2"/>
  <c r="L729" i="2"/>
  <c r="V729" i="2" s="1"/>
  <c r="U728" i="2"/>
  <c r="S728" i="2"/>
  <c r="T728" i="2" s="1"/>
  <c r="P728" i="2"/>
  <c r="R728" i="2" s="1"/>
  <c r="O728" i="2"/>
  <c r="N728" i="2"/>
  <c r="M728" i="2"/>
  <c r="L728" i="2"/>
  <c r="V728" i="2" s="1"/>
  <c r="U727" i="2"/>
  <c r="S727" i="2"/>
  <c r="T727" i="2" s="1"/>
  <c r="P727" i="2"/>
  <c r="R727" i="2" s="1"/>
  <c r="O727" i="2"/>
  <c r="N727" i="2"/>
  <c r="M727" i="2"/>
  <c r="L727" i="2"/>
  <c r="V727" i="2" s="1"/>
  <c r="U726" i="2"/>
  <c r="S726" i="2"/>
  <c r="T726" i="2" s="1"/>
  <c r="Q726" i="2"/>
  <c r="P726" i="2"/>
  <c r="R726" i="2" s="1"/>
  <c r="O726" i="2"/>
  <c r="N726" i="2"/>
  <c r="M726" i="2"/>
  <c r="L726" i="2"/>
  <c r="V726" i="2" s="1"/>
  <c r="U725" i="2"/>
  <c r="S725" i="2"/>
  <c r="T725" i="2" s="1"/>
  <c r="Q725" i="2"/>
  <c r="P725" i="2"/>
  <c r="R725" i="2" s="1"/>
  <c r="O725" i="2"/>
  <c r="N725" i="2"/>
  <c r="M725" i="2"/>
  <c r="L725" i="2"/>
  <c r="V725" i="2" s="1"/>
  <c r="U724" i="2"/>
  <c r="S724" i="2"/>
  <c r="T724" i="2" s="1"/>
  <c r="Q724" i="2"/>
  <c r="P724" i="2"/>
  <c r="R724" i="2" s="1"/>
  <c r="O724" i="2"/>
  <c r="N724" i="2"/>
  <c r="M724" i="2"/>
  <c r="L724" i="2"/>
  <c r="V724" i="2" s="1"/>
  <c r="U723" i="2"/>
  <c r="S723" i="2"/>
  <c r="T723" i="2" s="1"/>
  <c r="Q723" i="2"/>
  <c r="P723" i="2"/>
  <c r="R723" i="2" s="1"/>
  <c r="O723" i="2"/>
  <c r="N723" i="2"/>
  <c r="M723" i="2"/>
  <c r="L723" i="2"/>
  <c r="V723" i="2" s="1"/>
  <c r="U722" i="2"/>
  <c r="S722" i="2"/>
  <c r="T722" i="2" s="1"/>
  <c r="Q722" i="2"/>
  <c r="P722" i="2"/>
  <c r="R722" i="2" s="1"/>
  <c r="O722" i="2"/>
  <c r="N722" i="2"/>
  <c r="M722" i="2"/>
  <c r="L722" i="2"/>
  <c r="V722" i="2" s="1"/>
  <c r="U721" i="2"/>
  <c r="S721" i="2"/>
  <c r="T721" i="2" s="1"/>
  <c r="Q721" i="2"/>
  <c r="P721" i="2"/>
  <c r="R721" i="2" s="1"/>
  <c r="O721" i="2"/>
  <c r="N721" i="2"/>
  <c r="M721" i="2"/>
  <c r="L721" i="2"/>
  <c r="V721" i="2" s="1"/>
  <c r="U720" i="2"/>
  <c r="S720" i="2"/>
  <c r="T720" i="2" s="1"/>
  <c r="Q720" i="2"/>
  <c r="P720" i="2"/>
  <c r="R720" i="2" s="1"/>
  <c r="O720" i="2"/>
  <c r="N720" i="2"/>
  <c r="M720" i="2"/>
  <c r="L720" i="2"/>
  <c r="V720" i="2" s="1"/>
  <c r="U719" i="2"/>
  <c r="S719" i="2"/>
  <c r="T719" i="2" s="1"/>
  <c r="Q719" i="2"/>
  <c r="P719" i="2"/>
  <c r="R719" i="2" s="1"/>
  <c r="O719" i="2"/>
  <c r="N719" i="2"/>
  <c r="M719" i="2"/>
  <c r="L719" i="2"/>
  <c r="V719" i="2" s="1"/>
  <c r="U718" i="2"/>
  <c r="S718" i="2"/>
  <c r="T718" i="2" s="1"/>
  <c r="Q718" i="2"/>
  <c r="P718" i="2"/>
  <c r="R718" i="2" s="1"/>
  <c r="O718" i="2"/>
  <c r="N718" i="2"/>
  <c r="M718" i="2"/>
  <c r="L718" i="2"/>
  <c r="V718" i="2" s="1"/>
  <c r="U717" i="2"/>
  <c r="S717" i="2"/>
  <c r="T717" i="2" s="1"/>
  <c r="P717" i="2"/>
  <c r="R717" i="2" s="1"/>
  <c r="O717" i="2"/>
  <c r="N717" i="2"/>
  <c r="M717" i="2"/>
  <c r="L717" i="2"/>
  <c r="V717" i="2" s="1"/>
  <c r="U716" i="2"/>
  <c r="S716" i="2"/>
  <c r="T716" i="2" s="1"/>
  <c r="Q716" i="2"/>
  <c r="P716" i="2"/>
  <c r="R716" i="2" s="1"/>
  <c r="O716" i="2"/>
  <c r="N716" i="2"/>
  <c r="M716" i="2"/>
  <c r="L716" i="2"/>
  <c r="V716" i="2" s="1"/>
  <c r="U715" i="2"/>
  <c r="S715" i="2"/>
  <c r="T715" i="2" s="1"/>
  <c r="Q715" i="2"/>
  <c r="P715" i="2"/>
  <c r="R715" i="2" s="1"/>
  <c r="O715" i="2"/>
  <c r="N715" i="2"/>
  <c r="M715" i="2"/>
  <c r="L715" i="2"/>
  <c r="V715" i="2" s="1"/>
  <c r="U714" i="2"/>
  <c r="S714" i="2"/>
  <c r="T714" i="2" s="1"/>
  <c r="Q714" i="2"/>
  <c r="P714" i="2"/>
  <c r="R714" i="2" s="1"/>
  <c r="O714" i="2"/>
  <c r="N714" i="2"/>
  <c r="M714" i="2"/>
  <c r="L714" i="2"/>
  <c r="V714" i="2" s="1"/>
  <c r="U713" i="2"/>
  <c r="S713" i="2"/>
  <c r="T713" i="2" s="1"/>
  <c r="Q713" i="2"/>
  <c r="P713" i="2"/>
  <c r="R713" i="2" s="1"/>
  <c r="O713" i="2"/>
  <c r="N713" i="2"/>
  <c r="M713" i="2"/>
  <c r="L713" i="2"/>
  <c r="V713" i="2" s="1"/>
  <c r="U712" i="2"/>
  <c r="S712" i="2"/>
  <c r="T712" i="2" s="1"/>
  <c r="Q712" i="2"/>
  <c r="P712" i="2"/>
  <c r="R712" i="2" s="1"/>
  <c r="O712" i="2"/>
  <c r="N712" i="2"/>
  <c r="M712" i="2"/>
  <c r="L712" i="2"/>
  <c r="V712" i="2" s="1"/>
  <c r="U711" i="2"/>
  <c r="S711" i="2"/>
  <c r="T711" i="2" s="1"/>
  <c r="Q711" i="2"/>
  <c r="P711" i="2"/>
  <c r="R711" i="2" s="1"/>
  <c r="O711" i="2"/>
  <c r="N711" i="2"/>
  <c r="M711" i="2"/>
  <c r="L711" i="2"/>
  <c r="V711" i="2" s="1"/>
  <c r="U710" i="2"/>
  <c r="S710" i="2"/>
  <c r="T710" i="2" s="1"/>
  <c r="Q710" i="2"/>
  <c r="P710" i="2"/>
  <c r="R710" i="2" s="1"/>
  <c r="O710" i="2"/>
  <c r="N710" i="2"/>
  <c r="M710" i="2"/>
  <c r="L710" i="2"/>
  <c r="V710" i="2" s="1"/>
  <c r="U709" i="2"/>
  <c r="S709" i="2"/>
  <c r="T709" i="2" s="1"/>
  <c r="Q709" i="2"/>
  <c r="P709" i="2"/>
  <c r="R709" i="2" s="1"/>
  <c r="O709" i="2"/>
  <c r="N709" i="2"/>
  <c r="M709" i="2"/>
  <c r="L709" i="2"/>
  <c r="V709" i="2" s="1"/>
  <c r="U708" i="2"/>
  <c r="S708" i="2"/>
  <c r="T708" i="2" s="1"/>
  <c r="Q708" i="2"/>
  <c r="P708" i="2"/>
  <c r="R708" i="2" s="1"/>
  <c r="O708" i="2"/>
  <c r="N708" i="2"/>
  <c r="M708" i="2"/>
  <c r="L708" i="2"/>
  <c r="V708" i="2" s="1"/>
  <c r="U707" i="2"/>
  <c r="S707" i="2"/>
  <c r="T707" i="2" s="1"/>
  <c r="Q707" i="2"/>
  <c r="P707" i="2"/>
  <c r="R707" i="2" s="1"/>
  <c r="O707" i="2"/>
  <c r="N707" i="2"/>
  <c r="M707" i="2"/>
  <c r="L707" i="2"/>
  <c r="V707" i="2" s="1"/>
  <c r="U706" i="2"/>
  <c r="S706" i="2"/>
  <c r="T706" i="2" s="1"/>
  <c r="Q706" i="2"/>
  <c r="P706" i="2"/>
  <c r="R706" i="2" s="1"/>
  <c r="O706" i="2"/>
  <c r="N706" i="2"/>
  <c r="M706" i="2"/>
  <c r="L706" i="2"/>
  <c r="V706" i="2" s="1"/>
  <c r="U705" i="2"/>
  <c r="S705" i="2"/>
  <c r="T705" i="2" s="1"/>
  <c r="Q705" i="2"/>
  <c r="P705" i="2"/>
  <c r="R705" i="2" s="1"/>
  <c r="O705" i="2"/>
  <c r="N705" i="2"/>
  <c r="M705" i="2"/>
  <c r="L705" i="2"/>
  <c r="V705" i="2" s="1"/>
  <c r="U704" i="2"/>
  <c r="S704" i="2"/>
  <c r="T704" i="2" s="1"/>
  <c r="Q704" i="2"/>
  <c r="P704" i="2"/>
  <c r="R704" i="2" s="1"/>
  <c r="O704" i="2"/>
  <c r="N704" i="2"/>
  <c r="M704" i="2"/>
  <c r="L704" i="2"/>
  <c r="V704" i="2" s="1"/>
  <c r="U703" i="2"/>
  <c r="S703" i="2"/>
  <c r="T703" i="2" s="1"/>
  <c r="Q703" i="2"/>
  <c r="P703" i="2"/>
  <c r="R703" i="2" s="1"/>
  <c r="O703" i="2"/>
  <c r="N703" i="2"/>
  <c r="M703" i="2"/>
  <c r="L703" i="2"/>
  <c r="V703" i="2" s="1"/>
  <c r="U702" i="2"/>
  <c r="S702" i="2"/>
  <c r="T702" i="2" s="1"/>
  <c r="Q702" i="2"/>
  <c r="P702" i="2"/>
  <c r="R702" i="2" s="1"/>
  <c r="O702" i="2"/>
  <c r="N702" i="2"/>
  <c r="M702" i="2"/>
  <c r="L702" i="2"/>
  <c r="V702" i="2" s="1"/>
  <c r="U701" i="2"/>
  <c r="S701" i="2"/>
  <c r="T701" i="2" s="1"/>
  <c r="Q701" i="2"/>
  <c r="P701" i="2"/>
  <c r="R701" i="2" s="1"/>
  <c r="O701" i="2"/>
  <c r="N701" i="2"/>
  <c r="M701" i="2"/>
  <c r="L701" i="2"/>
  <c r="V701" i="2" s="1"/>
  <c r="U700" i="2"/>
  <c r="S700" i="2"/>
  <c r="T700" i="2" s="1"/>
  <c r="Q700" i="2"/>
  <c r="P700" i="2"/>
  <c r="R700" i="2" s="1"/>
  <c r="O700" i="2"/>
  <c r="N700" i="2"/>
  <c r="M700" i="2"/>
  <c r="L700" i="2"/>
  <c r="V700" i="2" s="1"/>
  <c r="U699" i="2"/>
  <c r="S699" i="2"/>
  <c r="T699" i="2" s="1"/>
  <c r="Q699" i="2"/>
  <c r="P699" i="2"/>
  <c r="R699" i="2" s="1"/>
  <c r="O699" i="2"/>
  <c r="N699" i="2"/>
  <c r="M699" i="2"/>
  <c r="L699" i="2"/>
  <c r="V699" i="2" s="1"/>
  <c r="U698" i="2"/>
  <c r="S698" i="2"/>
  <c r="T698" i="2" s="1"/>
  <c r="Q698" i="2"/>
  <c r="P698" i="2"/>
  <c r="R698" i="2" s="1"/>
  <c r="O698" i="2"/>
  <c r="N698" i="2"/>
  <c r="M698" i="2"/>
  <c r="L698" i="2"/>
  <c r="V698" i="2" s="1"/>
  <c r="U697" i="2"/>
  <c r="S697" i="2"/>
  <c r="T697" i="2" s="1"/>
  <c r="Q697" i="2"/>
  <c r="P697" i="2"/>
  <c r="R697" i="2" s="1"/>
  <c r="O697" i="2"/>
  <c r="N697" i="2"/>
  <c r="M697" i="2"/>
  <c r="L697" i="2"/>
  <c r="V697" i="2" s="1"/>
  <c r="U696" i="2"/>
  <c r="S696" i="2"/>
  <c r="T696" i="2" s="1"/>
  <c r="Q696" i="2"/>
  <c r="P696" i="2"/>
  <c r="R696" i="2" s="1"/>
  <c r="O696" i="2"/>
  <c r="N696" i="2"/>
  <c r="M696" i="2"/>
  <c r="L696" i="2"/>
  <c r="V696" i="2" s="1"/>
  <c r="U695" i="2"/>
  <c r="S695" i="2"/>
  <c r="T695" i="2" s="1"/>
  <c r="Q695" i="2"/>
  <c r="P695" i="2"/>
  <c r="R695" i="2" s="1"/>
  <c r="O695" i="2"/>
  <c r="N695" i="2"/>
  <c r="M695" i="2"/>
  <c r="L695" i="2"/>
  <c r="V695" i="2" s="1"/>
  <c r="U694" i="2"/>
  <c r="S694" i="2"/>
  <c r="T694" i="2" s="1"/>
  <c r="Q694" i="2"/>
  <c r="P694" i="2"/>
  <c r="R694" i="2" s="1"/>
  <c r="O694" i="2"/>
  <c r="N694" i="2"/>
  <c r="M694" i="2"/>
  <c r="L694" i="2"/>
  <c r="V694" i="2" s="1"/>
  <c r="U693" i="2"/>
  <c r="S693" i="2"/>
  <c r="T693" i="2" s="1"/>
  <c r="Q693" i="2"/>
  <c r="P693" i="2"/>
  <c r="R693" i="2" s="1"/>
  <c r="O693" i="2"/>
  <c r="N693" i="2"/>
  <c r="M693" i="2"/>
  <c r="L693" i="2"/>
  <c r="V693" i="2" s="1"/>
  <c r="U692" i="2"/>
  <c r="S692" i="2"/>
  <c r="T692" i="2" s="1"/>
  <c r="Q692" i="2"/>
  <c r="P692" i="2"/>
  <c r="R692" i="2" s="1"/>
  <c r="O692" i="2"/>
  <c r="N692" i="2"/>
  <c r="M692" i="2"/>
  <c r="L692" i="2"/>
  <c r="V692" i="2" s="1"/>
  <c r="U691" i="2"/>
  <c r="S691" i="2"/>
  <c r="T691" i="2" s="1"/>
  <c r="Q691" i="2"/>
  <c r="P691" i="2"/>
  <c r="R691" i="2" s="1"/>
  <c r="O691" i="2"/>
  <c r="N691" i="2"/>
  <c r="M691" i="2"/>
  <c r="L691" i="2"/>
  <c r="V691" i="2" s="1"/>
  <c r="U690" i="2"/>
  <c r="S690" i="2"/>
  <c r="T690" i="2" s="1"/>
  <c r="Q690" i="2"/>
  <c r="P690" i="2"/>
  <c r="R690" i="2" s="1"/>
  <c r="O690" i="2"/>
  <c r="N690" i="2"/>
  <c r="M690" i="2"/>
  <c r="L690" i="2"/>
  <c r="V690" i="2" s="1"/>
  <c r="U689" i="2"/>
  <c r="S689" i="2"/>
  <c r="T689" i="2" s="1"/>
  <c r="Q689" i="2"/>
  <c r="P689" i="2"/>
  <c r="R689" i="2" s="1"/>
  <c r="O689" i="2"/>
  <c r="N689" i="2"/>
  <c r="M689" i="2"/>
  <c r="L689" i="2"/>
  <c r="V689" i="2" s="1"/>
  <c r="U688" i="2"/>
  <c r="S688" i="2"/>
  <c r="T688" i="2" s="1"/>
  <c r="Q688" i="2"/>
  <c r="P688" i="2"/>
  <c r="R688" i="2" s="1"/>
  <c r="O688" i="2"/>
  <c r="N688" i="2"/>
  <c r="M688" i="2"/>
  <c r="L688" i="2"/>
  <c r="V688" i="2" s="1"/>
  <c r="U687" i="2"/>
  <c r="S687" i="2"/>
  <c r="T687" i="2" s="1"/>
  <c r="Q687" i="2"/>
  <c r="P687" i="2"/>
  <c r="R687" i="2" s="1"/>
  <c r="O687" i="2"/>
  <c r="N687" i="2"/>
  <c r="M687" i="2"/>
  <c r="L687" i="2"/>
  <c r="V687" i="2" s="1"/>
  <c r="U686" i="2"/>
  <c r="S686" i="2"/>
  <c r="T686" i="2" s="1"/>
  <c r="Q686" i="2"/>
  <c r="P686" i="2"/>
  <c r="R686" i="2" s="1"/>
  <c r="O686" i="2"/>
  <c r="N686" i="2"/>
  <c r="M686" i="2"/>
  <c r="L686" i="2"/>
  <c r="V686" i="2" s="1"/>
  <c r="U685" i="2"/>
  <c r="S685" i="2"/>
  <c r="T685" i="2" s="1"/>
  <c r="Q685" i="2"/>
  <c r="P685" i="2"/>
  <c r="R685" i="2" s="1"/>
  <c r="O685" i="2"/>
  <c r="N685" i="2"/>
  <c r="M685" i="2"/>
  <c r="L685" i="2"/>
  <c r="V685" i="2" s="1"/>
  <c r="U684" i="2"/>
  <c r="S684" i="2"/>
  <c r="T684" i="2" s="1"/>
  <c r="Q684" i="2"/>
  <c r="P684" i="2"/>
  <c r="R684" i="2" s="1"/>
  <c r="O684" i="2"/>
  <c r="N684" i="2"/>
  <c r="M684" i="2"/>
  <c r="L684" i="2"/>
  <c r="V684" i="2" s="1"/>
  <c r="U683" i="2"/>
  <c r="S683" i="2"/>
  <c r="T683" i="2" s="1"/>
  <c r="Q683" i="2"/>
  <c r="P683" i="2"/>
  <c r="R683" i="2" s="1"/>
  <c r="O683" i="2"/>
  <c r="N683" i="2"/>
  <c r="M683" i="2"/>
  <c r="L683" i="2"/>
  <c r="V683" i="2" s="1"/>
  <c r="U682" i="2"/>
  <c r="S682" i="2"/>
  <c r="T682" i="2" s="1"/>
  <c r="Q682" i="2"/>
  <c r="P682" i="2"/>
  <c r="R682" i="2" s="1"/>
  <c r="O682" i="2"/>
  <c r="N682" i="2"/>
  <c r="M682" i="2"/>
  <c r="L682" i="2"/>
  <c r="V682" i="2" s="1"/>
  <c r="U681" i="2"/>
  <c r="S681" i="2"/>
  <c r="T681" i="2" s="1"/>
  <c r="Q681" i="2"/>
  <c r="P681" i="2"/>
  <c r="R681" i="2" s="1"/>
  <c r="O681" i="2"/>
  <c r="N681" i="2"/>
  <c r="M681" i="2"/>
  <c r="L681" i="2"/>
  <c r="V681" i="2" s="1"/>
  <c r="U680" i="2"/>
  <c r="S680" i="2"/>
  <c r="T680" i="2" s="1"/>
  <c r="Q680" i="2"/>
  <c r="P680" i="2"/>
  <c r="R680" i="2" s="1"/>
  <c r="O680" i="2"/>
  <c r="N680" i="2"/>
  <c r="M680" i="2"/>
  <c r="L680" i="2"/>
  <c r="V680" i="2" s="1"/>
  <c r="U679" i="2"/>
  <c r="S679" i="2"/>
  <c r="T679" i="2" s="1"/>
  <c r="Q679" i="2"/>
  <c r="P679" i="2"/>
  <c r="R679" i="2" s="1"/>
  <c r="O679" i="2"/>
  <c r="N679" i="2"/>
  <c r="M679" i="2"/>
  <c r="L679" i="2"/>
  <c r="V679" i="2" s="1"/>
  <c r="U678" i="2"/>
  <c r="S678" i="2"/>
  <c r="T678" i="2" s="1"/>
  <c r="P678" i="2"/>
  <c r="R678" i="2" s="1"/>
  <c r="O678" i="2"/>
  <c r="N678" i="2"/>
  <c r="M678" i="2"/>
  <c r="L678" i="2"/>
  <c r="V678" i="2" s="1"/>
  <c r="U677" i="2"/>
  <c r="S677" i="2"/>
  <c r="T677" i="2" s="1"/>
  <c r="Q677" i="2"/>
  <c r="P677" i="2"/>
  <c r="R677" i="2" s="1"/>
  <c r="O677" i="2"/>
  <c r="N677" i="2"/>
  <c r="M677" i="2"/>
  <c r="L677" i="2"/>
  <c r="V677" i="2" s="1"/>
  <c r="U676" i="2"/>
  <c r="S676" i="2"/>
  <c r="T676" i="2" s="1"/>
  <c r="Q676" i="2"/>
  <c r="P676" i="2"/>
  <c r="R676" i="2" s="1"/>
  <c r="O676" i="2"/>
  <c r="N676" i="2"/>
  <c r="M676" i="2"/>
  <c r="L676" i="2"/>
  <c r="V676" i="2" s="1"/>
  <c r="U675" i="2"/>
  <c r="S675" i="2"/>
  <c r="T675" i="2" s="1"/>
  <c r="Q675" i="2"/>
  <c r="P675" i="2"/>
  <c r="R675" i="2" s="1"/>
  <c r="O675" i="2"/>
  <c r="N675" i="2"/>
  <c r="M675" i="2"/>
  <c r="L675" i="2"/>
  <c r="V675" i="2" s="1"/>
  <c r="U674" i="2"/>
  <c r="S674" i="2"/>
  <c r="T674" i="2" s="1"/>
  <c r="Q674" i="2"/>
  <c r="P674" i="2"/>
  <c r="R674" i="2" s="1"/>
  <c r="O674" i="2"/>
  <c r="N674" i="2"/>
  <c r="M674" i="2"/>
  <c r="L674" i="2"/>
  <c r="V674" i="2" s="1"/>
  <c r="U673" i="2"/>
  <c r="S673" i="2"/>
  <c r="T673" i="2" s="1"/>
  <c r="Q673" i="2"/>
  <c r="P673" i="2"/>
  <c r="R673" i="2" s="1"/>
  <c r="O673" i="2"/>
  <c r="N673" i="2"/>
  <c r="M673" i="2"/>
  <c r="L673" i="2"/>
  <c r="V673" i="2" s="1"/>
  <c r="U672" i="2"/>
  <c r="S672" i="2"/>
  <c r="T672" i="2" s="1"/>
  <c r="Q672" i="2"/>
  <c r="P672" i="2"/>
  <c r="R672" i="2" s="1"/>
  <c r="O672" i="2"/>
  <c r="N672" i="2"/>
  <c r="M672" i="2"/>
  <c r="L672" i="2"/>
  <c r="V672" i="2" s="1"/>
  <c r="U671" i="2"/>
  <c r="S671" i="2"/>
  <c r="T671" i="2" s="1"/>
  <c r="Q671" i="2"/>
  <c r="P671" i="2"/>
  <c r="R671" i="2" s="1"/>
  <c r="O671" i="2"/>
  <c r="N671" i="2"/>
  <c r="M671" i="2"/>
  <c r="L671" i="2"/>
  <c r="V671" i="2" s="1"/>
  <c r="U670" i="2"/>
  <c r="S670" i="2"/>
  <c r="T670" i="2" s="1"/>
  <c r="Q670" i="2"/>
  <c r="P670" i="2"/>
  <c r="R670" i="2" s="1"/>
  <c r="O670" i="2"/>
  <c r="N670" i="2"/>
  <c r="M670" i="2"/>
  <c r="L670" i="2"/>
  <c r="V670" i="2" s="1"/>
  <c r="U669" i="2"/>
  <c r="S669" i="2"/>
  <c r="T669" i="2" s="1"/>
  <c r="Q669" i="2"/>
  <c r="P669" i="2"/>
  <c r="R669" i="2" s="1"/>
  <c r="O669" i="2"/>
  <c r="N669" i="2"/>
  <c r="M669" i="2"/>
  <c r="L669" i="2"/>
  <c r="V669" i="2" s="1"/>
  <c r="U668" i="2"/>
  <c r="S668" i="2"/>
  <c r="T668" i="2" s="1"/>
  <c r="Q668" i="2"/>
  <c r="P668" i="2"/>
  <c r="R668" i="2" s="1"/>
  <c r="O668" i="2"/>
  <c r="N668" i="2"/>
  <c r="M668" i="2"/>
  <c r="L668" i="2"/>
  <c r="V668" i="2" s="1"/>
  <c r="U667" i="2"/>
  <c r="S667" i="2"/>
  <c r="T667" i="2" s="1"/>
  <c r="Q667" i="2"/>
  <c r="P667" i="2"/>
  <c r="R667" i="2" s="1"/>
  <c r="O667" i="2"/>
  <c r="N667" i="2"/>
  <c r="M667" i="2"/>
  <c r="L667" i="2"/>
  <c r="V667" i="2" s="1"/>
  <c r="U666" i="2"/>
  <c r="S666" i="2"/>
  <c r="T666" i="2" s="1"/>
  <c r="Q666" i="2"/>
  <c r="P666" i="2"/>
  <c r="R666" i="2" s="1"/>
  <c r="O666" i="2"/>
  <c r="N666" i="2"/>
  <c r="M666" i="2"/>
  <c r="L666" i="2"/>
  <c r="V666" i="2" s="1"/>
  <c r="U665" i="2"/>
  <c r="S665" i="2"/>
  <c r="T665" i="2" s="1"/>
  <c r="Q665" i="2"/>
  <c r="P665" i="2"/>
  <c r="R665" i="2" s="1"/>
  <c r="O665" i="2"/>
  <c r="N665" i="2"/>
  <c r="M665" i="2"/>
  <c r="L665" i="2"/>
  <c r="V665" i="2" s="1"/>
  <c r="U664" i="2"/>
  <c r="S664" i="2"/>
  <c r="T664" i="2" s="1"/>
  <c r="Q664" i="2"/>
  <c r="P664" i="2"/>
  <c r="R664" i="2" s="1"/>
  <c r="O664" i="2"/>
  <c r="N664" i="2"/>
  <c r="M664" i="2"/>
  <c r="L664" i="2"/>
  <c r="V664" i="2" s="1"/>
  <c r="U663" i="2"/>
  <c r="S663" i="2"/>
  <c r="T663" i="2" s="1"/>
  <c r="Q663" i="2"/>
  <c r="P663" i="2"/>
  <c r="R663" i="2" s="1"/>
  <c r="O663" i="2"/>
  <c r="N663" i="2"/>
  <c r="M663" i="2"/>
  <c r="L663" i="2"/>
  <c r="V663" i="2" s="1"/>
  <c r="U662" i="2"/>
  <c r="S662" i="2"/>
  <c r="T662" i="2" s="1"/>
  <c r="Q662" i="2"/>
  <c r="P662" i="2"/>
  <c r="R662" i="2" s="1"/>
  <c r="O662" i="2"/>
  <c r="N662" i="2"/>
  <c r="M662" i="2"/>
  <c r="L662" i="2"/>
  <c r="V662" i="2" s="1"/>
  <c r="U661" i="2"/>
  <c r="S661" i="2"/>
  <c r="T661" i="2" s="1"/>
  <c r="Q661" i="2"/>
  <c r="P661" i="2"/>
  <c r="R661" i="2" s="1"/>
  <c r="O661" i="2"/>
  <c r="N661" i="2"/>
  <c r="M661" i="2"/>
  <c r="L661" i="2"/>
  <c r="V661" i="2" s="1"/>
  <c r="U660" i="2"/>
  <c r="S660" i="2"/>
  <c r="T660" i="2" s="1"/>
  <c r="Q660" i="2"/>
  <c r="P660" i="2"/>
  <c r="R660" i="2" s="1"/>
  <c r="O660" i="2"/>
  <c r="N660" i="2"/>
  <c r="M660" i="2"/>
  <c r="L660" i="2"/>
  <c r="V660" i="2" s="1"/>
  <c r="U659" i="2"/>
  <c r="S659" i="2"/>
  <c r="T659" i="2" s="1"/>
  <c r="Q659" i="2"/>
  <c r="P659" i="2"/>
  <c r="R659" i="2" s="1"/>
  <c r="O659" i="2"/>
  <c r="N659" i="2"/>
  <c r="M659" i="2"/>
  <c r="L659" i="2"/>
  <c r="V659" i="2" s="1"/>
  <c r="U658" i="2"/>
  <c r="S658" i="2"/>
  <c r="T658" i="2" s="1"/>
  <c r="Q658" i="2"/>
  <c r="P658" i="2"/>
  <c r="R658" i="2" s="1"/>
  <c r="O658" i="2"/>
  <c r="N658" i="2"/>
  <c r="M658" i="2"/>
  <c r="L658" i="2"/>
  <c r="V658" i="2" s="1"/>
  <c r="U657" i="2"/>
  <c r="S657" i="2"/>
  <c r="T657" i="2" s="1"/>
  <c r="Q657" i="2"/>
  <c r="P657" i="2"/>
  <c r="R657" i="2" s="1"/>
  <c r="O657" i="2"/>
  <c r="N657" i="2"/>
  <c r="M657" i="2"/>
  <c r="L657" i="2"/>
  <c r="V657" i="2" s="1"/>
  <c r="U656" i="2"/>
  <c r="S656" i="2"/>
  <c r="T656" i="2" s="1"/>
  <c r="Q656" i="2"/>
  <c r="P656" i="2"/>
  <c r="R656" i="2" s="1"/>
  <c r="O656" i="2"/>
  <c r="N656" i="2"/>
  <c r="M656" i="2"/>
  <c r="L656" i="2"/>
  <c r="V656" i="2" s="1"/>
  <c r="U655" i="2"/>
  <c r="S655" i="2"/>
  <c r="T655" i="2" s="1"/>
  <c r="Q655" i="2"/>
  <c r="P655" i="2"/>
  <c r="R655" i="2" s="1"/>
  <c r="O655" i="2"/>
  <c r="N655" i="2"/>
  <c r="M655" i="2"/>
  <c r="L655" i="2"/>
  <c r="V655" i="2" s="1"/>
  <c r="U654" i="2"/>
  <c r="S654" i="2"/>
  <c r="T654" i="2" s="1"/>
  <c r="Q654" i="2"/>
  <c r="P654" i="2"/>
  <c r="R654" i="2" s="1"/>
  <c r="O654" i="2"/>
  <c r="N654" i="2"/>
  <c r="M654" i="2"/>
  <c r="L654" i="2"/>
  <c r="V654" i="2" s="1"/>
  <c r="U653" i="2"/>
  <c r="S653" i="2"/>
  <c r="T653" i="2" s="1"/>
  <c r="Q653" i="2"/>
  <c r="P653" i="2"/>
  <c r="R653" i="2" s="1"/>
  <c r="O653" i="2"/>
  <c r="N653" i="2"/>
  <c r="M653" i="2"/>
  <c r="L653" i="2"/>
  <c r="V653" i="2" s="1"/>
  <c r="U652" i="2"/>
  <c r="S652" i="2"/>
  <c r="T652" i="2" s="1"/>
  <c r="Q652" i="2"/>
  <c r="P652" i="2"/>
  <c r="R652" i="2" s="1"/>
  <c r="O652" i="2"/>
  <c r="N652" i="2"/>
  <c r="M652" i="2"/>
  <c r="L652" i="2"/>
  <c r="V652" i="2" s="1"/>
  <c r="U651" i="2"/>
  <c r="S651" i="2"/>
  <c r="T651" i="2" s="1"/>
  <c r="P651" i="2"/>
  <c r="R651" i="2" s="1"/>
  <c r="O651" i="2"/>
  <c r="N651" i="2"/>
  <c r="M651" i="2"/>
  <c r="L651" i="2"/>
  <c r="V651" i="2" s="1"/>
  <c r="U650" i="2"/>
  <c r="S650" i="2"/>
  <c r="T650" i="2" s="1"/>
  <c r="Q650" i="2"/>
  <c r="P650" i="2"/>
  <c r="R650" i="2" s="1"/>
  <c r="O650" i="2"/>
  <c r="N650" i="2"/>
  <c r="M650" i="2"/>
  <c r="L650" i="2"/>
  <c r="V650" i="2" s="1"/>
  <c r="U649" i="2"/>
  <c r="S649" i="2"/>
  <c r="T649" i="2" s="1"/>
  <c r="Q649" i="2"/>
  <c r="P649" i="2"/>
  <c r="R649" i="2" s="1"/>
  <c r="O649" i="2"/>
  <c r="N649" i="2"/>
  <c r="M649" i="2"/>
  <c r="L649" i="2"/>
  <c r="V649" i="2" s="1"/>
  <c r="U648" i="2"/>
  <c r="S648" i="2"/>
  <c r="T648" i="2" s="1"/>
  <c r="Q648" i="2"/>
  <c r="P648" i="2"/>
  <c r="R648" i="2" s="1"/>
  <c r="O648" i="2"/>
  <c r="N648" i="2"/>
  <c r="M648" i="2"/>
  <c r="L648" i="2"/>
  <c r="V648" i="2" s="1"/>
  <c r="U647" i="2"/>
  <c r="S647" i="2"/>
  <c r="T647" i="2" s="1"/>
  <c r="Q647" i="2"/>
  <c r="P647" i="2"/>
  <c r="R647" i="2" s="1"/>
  <c r="O647" i="2"/>
  <c r="N647" i="2"/>
  <c r="M647" i="2"/>
  <c r="L647" i="2"/>
  <c r="V647" i="2" s="1"/>
  <c r="U646" i="2"/>
  <c r="S646" i="2"/>
  <c r="T646" i="2" s="1"/>
  <c r="Q646" i="2"/>
  <c r="P646" i="2"/>
  <c r="R646" i="2" s="1"/>
  <c r="O646" i="2"/>
  <c r="N646" i="2"/>
  <c r="M646" i="2"/>
  <c r="L646" i="2"/>
  <c r="V646" i="2" s="1"/>
  <c r="U645" i="2"/>
  <c r="S645" i="2"/>
  <c r="T645" i="2" s="1"/>
  <c r="P645" i="2"/>
  <c r="R645" i="2" s="1"/>
  <c r="O645" i="2"/>
  <c r="N645" i="2"/>
  <c r="M645" i="2"/>
  <c r="L645" i="2"/>
  <c r="V645" i="2" s="1"/>
  <c r="U644" i="2"/>
  <c r="S644" i="2"/>
  <c r="T644" i="2" s="1"/>
  <c r="Q644" i="2"/>
  <c r="P644" i="2"/>
  <c r="R644" i="2" s="1"/>
  <c r="O644" i="2"/>
  <c r="N644" i="2"/>
  <c r="M644" i="2"/>
  <c r="L644" i="2"/>
  <c r="V644" i="2" s="1"/>
  <c r="U643" i="2"/>
  <c r="S643" i="2"/>
  <c r="T643" i="2" s="1"/>
  <c r="Q643" i="2"/>
  <c r="P643" i="2"/>
  <c r="R643" i="2" s="1"/>
  <c r="O643" i="2"/>
  <c r="N643" i="2"/>
  <c r="M643" i="2"/>
  <c r="L643" i="2"/>
  <c r="V643" i="2" s="1"/>
  <c r="U642" i="2"/>
  <c r="S642" i="2"/>
  <c r="T642" i="2" s="1"/>
  <c r="Q642" i="2"/>
  <c r="P642" i="2"/>
  <c r="R642" i="2" s="1"/>
  <c r="O642" i="2"/>
  <c r="N642" i="2"/>
  <c r="M642" i="2"/>
  <c r="L642" i="2"/>
  <c r="V642" i="2" s="1"/>
  <c r="U641" i="2"/>
  <c r="S641" i="2"/>
  <c r="T641" i="2" s="1"/>
  <c r="Q641" i="2"/>
  <c r="P641" i="2"/>
  <c r="R641" i="2" s="1"/>
  <c r="O641" i="2"/>
  <c r="N641" i="2"/>
  <c r="M641" i="2"/>
  <c r="L641" i="2"/>
  <c r="V641" i="2" s="1"/>
  <c r="U640" i="2"/>
  <c r="S640" i="2"/>
  <c r="T640" i="2" s="1"/>
  <c r="Q640" i="2"/>
  <c r="P640" i="2"/>
  <c r="R640" i="2" s="1"/>
  <c r="O640" i="2"/>
  <c r="N640" i="2"/>
  <c r="M640" i="2"/>
  <c r="L640" i="2"/>
  <c r="V640" i="2" s="1"/>
  <c r="U639" i="2"/>
  <c r="S639" i="2"/>
  <c r="T639" i="2" s="1"/>
  <c r="P639" i="2"/>
  <c r="R639" i="2" s="1"/>
  <c r="O639" i="2"/>
  <c r="N639" i="2"/>
  <c r="M639" i="2"/>
  <c r="L639" i="2"/>
  <c r="V639" i="2" s="1"/>
  <c r="U638" i="2"/>
  <c r="S638" i="2"/>
  <c r="T638" i="2" s="1"/>
  <c r="P638" i="2"/>
  <c r="R638" i="2" s="1"/>
  <c r="O638" i="2"/>
  <c r="N638" i="2"/>
  <c r="M638" i="2"/>
  <c r="L638" i="2"/>
  <c r="V638" i="2" s="1"/>
  <c r="U637" i="2"/>
  <c r="S637" i="2"/>
  <c r="T637" i="2" s="1"/>
  <c r="Q637" i="2"/>
  <c r="P637" i="2"/>
  <c r="R637" i="2" s="1"/>
  <c r="O637" i="2"/>
  <c r="N637" i="2"/>
  <c r="M637" i="2"/>
  <c r="L637" i="2"/>
  <c r="V637" i="2" s="1"/>
  <c r="U636" i="2"/>
  <c r="S636" i="2"/>
  <c r="T636" i="2" s="1"/>
  <c r="Q636" i="2"/>
  <c r="P636" i="2"/>
  <c r="R636" i="2" s="1"/>
  <c r="O636" i="2"/>
  <c r="N636" i="2"/>
  <c r="M636" i="2"/>
  <c r="L636" i="2"/>
  <c r="V636" i="2" s="1"/>
  <c r="U635" i="2"/>
  <c r="S635" i="2"/>
  <c r="T635" i="2" s="1"/>
  <c r="Q635" i="2"/>
  <c r="P635" i="2"/>
  <c r="R635" i="2" s="1"/>
  <c r="O635" i="2"/>
  <c r="N635" i="2"/>
  <c r="M635" i="2"/>
  <c r="L635" i="2"/>
  <c r="V635" i="2" s="1"/>
  <c r="U634" i="2"/>
  <c r="S634" i="2"/>
  <c r="T634" i="2" s="1"/>
  <c r="Q634" i="2"/>
  <c r="P634" i="2"/>
  <c r="R634" i="2" s="1"/>
  <c r="O634" i="2"/>
  <c r="N634" i="2"/>
  <c r="M634" i="2"/>
  <c r="L634" i="2"/>
  <c r="V634" i="2" s="1"/>
  <c r="U633" i="2"/>
  <c r="S633" i="2"/>
  <c r="T633" i="2" s="1"/>
  <c r="Q633" i="2"/>
  <c r="P633" i="2"/>
  <c r="R633" i="2" s="1"/>
  <c r="O633" i="2"/>
  <c r="N633" i="2"/>
  <c r="M633" i="2"/>
  <c r="L633" i="2"/>
  <c r="V633" i="2" s="1"/>
  <c r="U632" i="2"/>
  <c r="S632" i="2"/>
  <c r="T632" i="2" s="1"/>
  <c r="Q632" i="2"/>
  <c r="P632" i="2"/>
  <c r="R632" i="2" s="1"/>
  <c r="O632" i="2"/>
  <c r="N632" i="2"/>
  <c r="M632" i="2"/>
  <c r="L632" i="2"/>
  <c r="V632" i="2" s="1"/>
  <c r="U631" i="2"/>
  <c r="S631" i="2"/>
  <c r="T631" i="2" s="1"/>
  <c r="Q631" i="2"/>
  <c r="P631" i="2"/>
  <c r="R631" i="2" s="1"/>
  <c r="O631" i="2"/>
  <c r="N631" i="2"/>
  <c r="M631" i="2"/>
  <c r="L631" i="2"/>
  <c r="V631" i="2" s="1"/>
  <c r="U630" i="2"/>
  <c r="S630" i="2"/>
  <c r="T630" i="2" s="1"/>
  <c r="Q630" i="2"/>
  <c r="P630" i="2"/>
  <c r="R630" i="2" s="1"/>
  <c r="O630" i="2"/>
  <c r="N630" i="2"/>
  <c r="M630" i="2"/>
  <c r="L630" i="2"/>
  <c r="V630" i="2" s="1"/>
  <c r="U629" i="2"/>
  <c r="S629" i="2"/>
  <c r="T629" i="2" s="1"/>
  <c r="Q629" i="2"/>
  <c r="P629" i="2"/>
  <c r="R629" i="2" s="1"/>
  <c r="O629" i="2"/>
  <c r="N629" i="2"/>
  <c r="M629" i="2"/>
  <c r="L629" i="2"/>
  <c r="V629" i="2" s="1"/>
  <c r="U628" i="2"/>
  <c r="S628" i="2"/>
  <c r="T628" i="2" s="1"/>
  <c r="Q628" i="2"/>
  <c r="P628" i="2"/>
  <c r="R628" i="2" s="1"/>
  <c r="O628" i="2"/>
  <c r="N628" i="2"/>
  <c r="M628" i="2"/>
  <c r="L628" i="2"/>
  <c r="V628" i="2" s="1"/>
  <c r="U627" i="2"/>
  <c r="S627" i="2"/>
  <c r="T627" i="2" s="1"/>
  <c r="Q627" i="2"/>
  <c r="P627" i="2"/>
  <c r="R627" i="2" s="1"/>
  <c r="O627" i="2"/>
  <c r="N627" i="2"/>
  <c r="M627" i="2"/>
  <c r="L627" i="2"/>
  <c r="V627" i="2" s="1"/>
  <c r="U626" i="2"/>
  <c r="S626" i="2"/>
  <c r="T626" i="2" s="1"/>
  <c r="Q626" i="2"/>
  <c r="P626" i="2"/>
  <c r="R626" i="2" s="1"/>
  <c r="O626" i="2"/>
  <c r="N626" i="2"/>
  <c r="M626" i="2"/>
  <c r="L626" i="2"/>
  <c r="V626" i="2" s="1"/>
  <c r="U625" i="2"/>
  <c r="S625" i="2"/>
  <c r="T625" i="2" s="1"/>
  <c r="P625" i="2"/>
  <c r="R625" i="2" s="1"/>
  <c r="O625" i="2"/>
  <c r="N625" i="2"/>
  <c r="M625" i="2"/>
  <c r="L625" i="2"/>
  <c r="V625" i="2" s="1"/>
  <c r="U624" i="2"/>
  <c r="S624" i="2"/>
  <c r="T624" i="2" s="1"/>
  <c r="Q624" i="2"/>
  <c r="P624" i="2"/>
  <c r="R624" i="2" s="1"/>
  <c r="O624" i="2"/>
  <c r="N624" i="2"/>
  <c r="M624" i="2"/>
  <c r="L624" i="2"/>
  <c r="V624" i="2" s="1"/>
  <c r="U623" i="2"/>
  <c r="S623" i="2"/>
  <c r="T623" i="2" s="1"/>
  <c r="Q623" i="2"/>
  <c r="P623" i="2"/>
  <c r="R623" i="2" s="1"/>
  <c r="O623" i="2"/>
  <c r="N623" i="2"/>
  <c r="M623" i="2"/>
  <c r="L623" i="2"/>
  <c r="V623" i="2" s="1"/>
  <c r="U622" i="2"/>
  <c r="S622" i="2"/>
  <c r="T622" i="2" s="1"/>
  <c r="Q622" i="2"/>
  <c r="P622" i="2"/>
  <c r="R622" i="2" s="1"/>
  <c r="O622" i="2"/>
  <c r="N622" i="2"/>
  <c r="M622" i="2"/>
  <c r="L622" i="2"/>
  <c r="V622" i="2" s="1"/>
  <c r="U621" i="2"/>
  <c r="S621" i="2"/>
  <c r="T621" i="2" s="1"/>
  <c r="Q621" i="2"/>
  <c r="P621" i="2"/>
  <c r="R621" i="2" s="1"/>
  <c r="O621" i="2"/>
  <c r="N621" i="2"/>
  <c r="M621" i="2"/>
  <c r="L621" i="2"/>
  <c r="V621" i="2" s="1"/>
  <c r="U620" i="2"/>
  <c r="S620" i="2"/>
  <c r="T620" i="2" s="1"/>
  <c r="Q620" i="2"/>
  <c r="P620" i="2"/>
  <c r="R620" i="2" s="1"/>
  <c r="O620" i="2"/>
  <c r="N620" i="2"/>
  <c r="M620" i="2"/>
  <c r="L620" i="2"/>
  <c r="V620" i="2" s="1"/>
  <c r="U619" i="2"/>
  <c r="S619" i="2"/>
  <c r="T619" i="2" s="1"/>
  <c r="Q619" i="2"/>
  <c r="P619" i="2"/>
  <c r="R619" i="2" s="1"/>
  <c r="O619" i="2"/>
  <c r="N619" i="2"/>
  <c r="M619" i="2"/>
  <c r="L619" i="2"/>
  <c r="V619" i="2" s="1"/>
  <c r="U618" i="2"/>
  <c r="S618" i="2"/>
  <c r="T618" i="2" s="1"/>
  <c r="Q618" i="2"/>
  <c r="P618" i="2"/>
  <c r="R618" i="2" s="1"/>
  <c r="O618" i="2"/>
  <c r="N618" i="2"/>
  <c r="M618" i="2"/>
  <c r="L618" i="2"/>
  <c r="V618" i="2" s="1"/>
  <c r="U617" i="2"/>
  <c r="S617" i="2"/>
  <c r="T617" i="2" s="1"/>
  <c r="Q617" i="2"/>
  <c r="P617" i="2"/>
  <c r="R617" i="2" s="1"/>
  <c r="O617" i="2"/>
  <c r="N617" i="2"/>
  <c r="M617" i="2"/>
  <c r="L617" i="2"/>
  <c r="V617" i="2" s="1"/>
  <c r="U616" i="2"/>
  <c r="S616" i="2"/>
  <c r="T616" i="2" s="1"/>
  <c r="Q616" i="2"/>
  <c r="P616" i="2"/>
  <c r="R616" i="2" s="1"/>
  <c r="O616" i="2"/>
  <c r="N616" i="2"/>
  <c r="M616" i="2"/>
  <c r="L616" i="2"/>
  <c r="V616" i="2" s="1"/>
  <c r="U615" i="2"/>
  <c r="S615" i="2"/>
  <c r="T615" i="2" s="1"/>
  <c r="Q615" i="2"/>
  <c r="P615" i="2"/>
  <c r="R615" i="2" s="1"/>
  <c r="O615" i="2"/>
  <c r="N615" i="2"/>
  <c r="M615" i="2"/>
  <c r="L615" i="2"/>
  <c r="V615" i="2" s="1"/>
  <c r="U614" i="2"/>
  <c r="S614" i="2"/>
  <c r="T614" i="2" s="1"/>
  <c r="Q614" i="2"/>
  <c r="P614" i="2"/>
  <c r="R614" i="2" s="1"/>
  <c r="O614" i="2"/>
  <c r="N614" i="2"/>
  <c r="M614" i="2"/>
  <c r="L614" i="2"/>
  <c r="V614" i="2" s="1"/>
  <c r="U613" i="2"/>
  <c r="S613" i="2"/>
  <c r="T613" i="2" s="1"/>
  <c r="Q613" i="2"/>
  <c r="P613" i="2"/>
  <c r="R613" i="2" s="1"/>
  <c r="O613" i="2"/>
  <c r="N613" i="2"/>
  <c r="M613" i="2"/>
  <c r="L613" i="2"/>
  <c r="V613" i="2" s="1"/>
  <c r="U612" i="2"/>
  <c r="S612" i="2"/>
  <c r="T612" i="2" s="1"/>
  <c r="Q612" i="2"/>
  <c r="P612" i="2"/>
  <c r="R612" i="2" s="1"/>
  <c r="O612" i="2"/>
  <c r="N612" i="2"/>
  <c r="M612" i="2"/>
  <c r="L612" i="2"/>
  <c r="V612" i="2" s="1"/>
  <c r="U611" i="2"/>
  <c r="S611" i="2"/>
  <c r="T611" i="2" s="1"/>
  <c r="Q611" i="2"/>
  <c r="P611" i="2"/>
  <c r="R611" i="2" s="1"/>
  <c r="O611" i="2"/>
  <c r="N611" i="2"/>
  <c r="M611" i="2"/>
  <c r="L611" i="2"/>
  <c r="V611" i="2" s="1"/>
  <c r="U610" i="2"/>
  <c r="S610" i="2"/>
  <c r="T610" i="2" s="1"/>
  <c r="Q610" i="2"/>
  <c r="P610" i="2"/>
  <c r="R610" i="2" s="1"/>
  <c r="O610" i="2"/>
  <c r="N610" i="2"/>
  <c r="M610" i="2"/>
  <c r="L610" i="2"/>
  <c r="V610" i="2" s="1"/>
  <c r="U609" i="2"/>
  <c r="S609" i="2"/>
  <c r="T609" i="2" s="1"/>
  <c r="Q609" i="2"/>
  <c r="P609" i="2"/>
  <c r="R609" i="2" s="1"/>
  <c r="O609" i="2"/>
  <c r="N609" i="2"/>
  <c r="M609" i="2"/>
  <c r="L609" i="2"/>
  <c r="V609" i="2" s="1"/>
  <c r="U608" i="2"/>
  <c r="S608" i="2"/>
  <c r="T608" i="2" s="1"/>
  <c r="Q608" i="2"/>
  <c r="P608" i="2"/>
  <c r="R608" i="2" s="1"/>
  <c r="O608" i="2"/>
  <c r="N608" i="2"/>
  <c r="M608" i="2"/>
  <c r="L608" i="2"/>
  <c r="V608" i="2" s="1"/>
  <c r="U607" i="2"/>
  <c r="S607" i="2"/>
  <c r="T607" i="2" s="1"/>
  <c r="Q607" i="2"/>
  <c r="P607" i="2"/>
  <c r="R607" i="2" s="1"/>
  <c r="O607" i="2"/>
  <c r="N607" i="2"/>
  <c r="M607" i="2"/>
  <c r="L607" i="2"/>
  <c r="V607" i="2" s="1"/>
  <c r="U606" i="2"/>
  <c r="S606" i="2"/>
  <c r="T606" i="2" s="1"/>
  <c r="Q606" i="2"/>
  <c r="P606" i="2"/>
  <c r="R606" i="2" s="1"/>
  <c r="O606" i="2"/>
  <c r="N606" i="2"/>
  <c r="M606" i="2"/>
  <c r="L606" i="2"/>
  <c r="V606" i="2" s="1"/>
  <c r="U605" i="2"/>
  <c r="S605" i="2"/>
  <c r="T605" i="2" s="1"/>
  <c r="Q605" i="2"/>
  <c r="P605" i="2"/>
  <c r="R605" i="2" s="1"/>
  <c r="O605" i="2"/>
  <c r="N605" i="2"/>
  <c r="M605" i="2"/>
  <c r="L605" i="2"/>
  <c r="V605" i="2" s="1"/>
  <c r="U604" i="2"/>
  <c r="S604" i="2"/>
  <c r="T604" i="2" s="1"/>
  <c r="Q604" i="2"/>
  <c r="P604" i="2"/>
  <c r="R604" i="2" s="1"/>
  <c r="O604" i="2"/>
  <c r="N604" i="2"/>
  <c r="M604" i="2"/>
  <c r="L604" i="2"/>
  <c r="V604" i="2" s="1"/>
  <c r="U603" i="2"/>
  <c r="S603" i="2"/>
  <c r="T603" i="2" s="1"/>
  <c r="P603" i="2"/>
  <c r="R603" i="2" s="1"/>
  <c r="O603" i="2"/>
  <c r="N603" i="2"/>
  <c r="M603" i="2"/>
  <c r="L603" i="2"/>
  <c r="V603" i="2" s="1"/>
  <c r="U602" i="2"/>
  <c r="S602" i="2"/>
  <c r="T602" i="2" s="1"/>
  <c r="Q602" i="2"/>
  <c r="P602" i="2"/>
  <c r="R602" i="2" s="1"/>
  <c r="O602" i="2"/>
  <c r="N602" i="2"/>
  <c r="M602" i="2"/>
  <c r="L602" i="2"/>
  <c r="V602" i="2" s="1"/>
  <c r="U601" i="2"/>
  <c r="S601" i="2"/>
  <c r="T601" i="2" s="1"/>
  <c r="Q601" i="2"/>
  <c r="P601" i="2"/>
  <c r="R601" i="2" s="1"/>
  <c r="O601" i="2"/>
  <c r="N601" i="2"/>
  <c r="M601" i="2"/>
  <c r="L601" i="2"/>
  <c r="V601" i="2" s="1"/>
  <c r="U600" i="2"/>
  <c r="S600" i="2"/>
  <c r="T600" i="2" s="1"/>
  <c r="Q600" i="2"/>
  <c r="P600" i="2"/>
  <c r="R600" i="2" s="1"/>
  <c r="O600" i="2"/>
  <c r="N600" i="2"/>
  <c r="M600" i="2"/>
  <c r="L600" i="2"/>
  <c r="V600" i="2" s="1"/>
  <c r="U599" i="2"/>
  <c r="S599" i="2"/>
  <c r="T599" i="2" s="1"/>
  <c r="Q599" i="2"/>
  <c r="P599" i="2"/>
  <c r="R599" i="2" s="1"/>
  <c r="O599" i="2"/>
  <c r="N599" i="2"/>
  <c r="M599" i="2"/>
  <c r="L599" i="2"/>
  <c r="V599" i="2" s="1"/>
  <c r="U598" i="2"/>
  <c r="S598" i="2"/>
  <c r="T598" i="2" s="1"/>
  <c r="Q598" i="2"/>
  <c r="P598" i="2"/>
  <c r="R598" i="2" s="1"/>
  <c r="O598" i="2"/>
  <c r="N598" i="2"/>
  <c r="M598" i="2"/>
  <c r="L598" i="2"/>
  <c r="V598" i="2" s="1"/>
  <c r="U597" i="2"/>
  <c r="S597" i="2"/>
  <c r="T597" i="2" s="1"/>
  <c r="Q597" i="2"/>
  <c r="P597" i="2"/>
  <c r="R597" i="2" s="1"/>
  <c r="O597" i="2"/>
  <c r="N597" i="2"/>
  <c r="M597" i="2"/>
  <c r="L597" i="2"/>
  <c r="V597" i="2" s="1"/>
  <c r="U596" i="2"/>
  <c r="S596" i="2"/>
  <c r="T596" i="2" s="1"/>
  <c r="Q596" i="2"/>
  <c r="P596" i="2"/>
  <c r="R596" i="2" s="1"/>
  <c r="O596" i="2"/>
  <c r="N596" i="2"/>
  <c r="M596" i="2"/>
  <c r="L596" i="2"/>
  <c r="V596" i="2" s="1"/>
  <c r="U595" i="2"/>
  <c r="S595" i="2"/>
  <c r="T595" i="2" s="1"/>
  <c r="Q595" i="2"/>
  <c r="P595" i="2"/>
  <c r="R595" i="2" s="1"/>
  <c r="O595" i="2"/>
  <c r="N595" i="2"/>
  <c r="M595" i="2"/>
  <c r="L595" i="2"/>
  <c r="V595" i="2" s="1"/>
  <c r="U594" i="2"/>
  <c r="S594" i="2"/>
  <c r="T594" i="2" s="1"/>
  <c r="Q594" i="2"/>
  <c r="P594" i="2"/>
  <c r="R594" i="2" s="1"/>
  <c r="O594" i="2"/>
  <c r="N594" i="2"/>
  <c r="M594" i="2"/>
  <c r="L594" i="2"/>
  <c r="V594" i="2" s="1"/>
  <c r="U593" i="2"/>
  <c r="S593" i="2"/>
  <c r="T593" i="2" s="1"/>
  <c r="Q593" i="2"/>
  <c r="P593" i="2"/>
  <c r="R593" i="2" s="1"/>
  <c r="O593" i="2"/>
  <c r="N593" i="2"/>
  <c r="M593" i="2"/>
  <c r="L593" i="2"/>
  <c r="V593" i="2" s="1"/>
  <c r="U592" i="2"/>
  <c r="S592" i="2"/>
  <c r="T592" i="2" s="1"/>
  <c r="Q592" i="2"/>
  <c r="P592" i="2"/>
  <c r="R592" i="2" s="1"/>
  <c r="O592" i="2"/>
  <c r="N592" i="2"/>
  <c r="M592" i="2"/>
  <c r="L592" i="2"/>
  <c r="V592" i="2" s="1"/>
  <c r="U591" i="2"/>
  <c r="S591" i="2"/>
  <c r="T591" i="2" s="1"/>
  <c r="Q591" i="2"/>
  <c r="P591" i="2"/>
  <c r="R591" i="2" s="1"/>
  <c r="O591" i="2"/>
  <c r="N591" i="2"/>
  <c r="M591" i="2"/>
  <c r="L591" i="2"/>
  <c r="V591" i="2" s="1"/>
  <c r="U590" i="2"/>
  <c r="S590" i="2"/>
  <c r="T590" i="2" s="1"/>
  <c r="Q590" i="2"/>
  <c r="P590" i="2"/>
  <c r="R590" i="2" s="1"/>
  <c r="O590" i="2"/>
  <c r="N590" i="2"/>
  <c r="M590" i="2"/>
  <c r="L590" i="2"/>
  <c r="V590" i="2" s="1"/>
  <c r="U589" i="2"/>
  <c r="S589" i="2"/>
  <c r="T589" i="2" s="1"/>
  <c r="Q589" i="2"/>
  <c r="P589" i="2"/>
  <c r="R589" i="2" s="1"/>
  <c r="O589" i="2"/>
  <c r="N589" i="2"/>
  <c r="M589" i="2"/>
  <c r="L589" i="2"/>
  <c r="V589" i="2" s="1"/>
  <c r="U588" i="2"/>
  <c r="S588" i="2"/>
  <c r="T588" i="2" s="1"/>
  <c r="P588" i="2"/>
  <c r="R588" i="2" s="1"/>
  <c r="O588" i="2"/>
  <c r="N588" i="2"/>
  <c r="M588" i="2"/>
  <c r="L588" i="2"/>
  <c r="V588" i="2" s="1"/>
  <c r="U587" i="2"/>
  <c r="S587" i="2"/>
  <c r="T587" i="2" s="1"/>
  <c r="Q587" i="2"/>
  <c r="P587" i="2"/>
  <c r="R587" i="2" s="1"/>
  <c r="O587" i="2"/>
  <c r="N587" i="2"/>
  <c r="M587" i="2"/>
  <c r="L587" i="2"/>
  <c r="V587" i="2" s="1"/>
  <c r="U586" i="2"/>
  <c r="S586" i="2"/>
  <c r="T586" i="2" s="1"/>
  <c r="Q586" i="2"/>
  <c r="P586" i="2"/>
  <c r="R586" i="2" s="1"/>
  <c r="O586" i="2"/>
  <c r="N586" i="2"/>
  <c r="M586" i="2"/>
  <c r="L586" i="2"/>
  <c r="V586" i="2" s="1"/>
  <c r="U585" i="2"/>
  <c r="S585" i="2"/>
  <c r="T585" i="2" s="1"/>
  <c r="P585" i="2"/>
  <c r="R585" i="2" s="1"/>
  <c r="O585" i="2"/>
  <c r="N585" i="2"/>
  <c r="M585" i="2"/>
  <c r="L585" i="2"/>
  <c r="V585" i="2" s="1"/>
  <c r="U584" i="2"/>
  <c r="S584" i="2"/>
  <c r="T584" i="2" s="1"/>
  <c r="Q584" i="2"/>
  <c r="P584" i="2"/>
  <c r="R584" i="2" s="1"/>
  <c r="O584" i="2"/>
  <c r="N584" i="2"/>
  <c r="M584" i="2"/>
  <c r="L584" i="2"/>
  <c r="V584" i="2" s="1"/>
  <c r="U583" i="2"/>
  <c r="S583" i="2"/>
  <c r="T583" i="2" s="1"/>
  <c r="Q583" i="2"/>
  <c r="P583" i="2"/>
  <c r="R583" i="2" s="1"/>
  <c r="O583" i="2"/>
  <c r="N583" i="2"/>
  <c r="M583" i="2"/>
  <c r="L583" i="2"/>
  <c r="V583" i="2" s="1"/>
  <c r="U582" i="2"/>
  <c r="S582" i="2"/>
  <c r="T582" i="2" s="1"/>
  <c r="Q582" i="2"/>
  <c r="P582" i="2"/>
  <c r="R582" i="2" s="1"/>
  <c r="O582" i="2"/>
  <c r="N582" i="2"/>
  <c r="M582" i="2"/>
  <c r="L582" i="2"/>
  <c r="V582" i="2" s="1"/>
  <c r="U581" i="2"/>
  <c r="S581" i="2"/>
  <c r="T581" i="2" s="1"/>
  <c r="Q581" i="2"/>
  <c r="P581" i="2"/>
  <c r="R581" i="2" s="1"/>
  <c r="O581" i="2"/>
  <c r="N581" i="2"/>
  <c r="M581" i="2"/>
  <c r="L581" i="2"/>
  <c r="V581" i="2" s="1"/>
  <c r="U580" i="2"/>
  <c r="S580" i="2"/>
  <c r="T580" i="2" s="1"/>
  <c r="Q580" i="2"/>
  <c r="P580" i="2"/>
  <c r="R580" i="2" s="1"/>
  <c r="O580" i="2"/>
  <c r="N580" i="2"/>
  <c r="M580" i="2"/>
  <c r="L580" i="2"/>
  <c r="V580" i="2" s="1"/>
  <c r="U579" i="2"/>
  <c r="S579" i="2"/>
  <c r="T579" i="2" s="1"/>
  <c r="Q579" i="2"/>
  <c r="P579" i="2"/>
  <c r="R579" i="2" s="1"/>
  <c r="O579" i="2"/>
  <c r="N579" i="2"/>
  <c r="M579" i="2"/>
  <c r="L579" i="2"/>
  <c r="V579" i="2" s="1"/>
  <c r="U578" i="2"/>
  <c r="S578" i="2"/>
  <c r="T578" i="2" s="1"/>
  <c r="Q578" i="2"/>
  <c r="P578" i="2"/>
  <c r="R578" i="2" s="1"/>
  <c r="O578" i="2"/>
  <c r="N578" i="2"/>
  <c r="M578" i="2"/>
  <c r="L578" i="2"/>
  <c r="V578" i="2" s="1"/>
  <c r="U577" i="2"/>
  <c r="S577" i="2"/>
  <c r="T577" i="2" s="1"/>
  <c r="Q577" i="2"/>
  <c r="P577" i="2"/>
  <c r="R577" i="2" s="1"/>
  <c r="O577" i="2"/>
  <c r="N577" i="2"/>
  <c r="M577" i="2"/>
  <c r="L577" i="2"/>
  <c r="V577" i="2" s="1"/>
  <c r="U576" i="2"/>
  <c r="S576" i="2"/>
  <c r="T576" i="2" s="1"/>
  <c r="Q576" i="2"/>
  <c r="P576" i="2"/>
  <c r="R576" i="2" s="1"/>
  <c r="O576" i="2"/>
  <c r="N576" i="2"/>
  <c r="M576" i="2"/>
  <c r="L576" i="2"/>
  <c r="V576" i="2" s="1"/>
  <c r="U575" i="2"/>
  <c r="S575" i="2"/>
  <c r="T575" i="2" s="1"/>
  <c r="Q575" i="2"/>
  <c r="P575" i="2"/>
  <c r="R575" i="2" s="1"/>
  <c r="O575" i="2"/>
  <c r="N575" i="2"/>
  <c r="M575" i="2"/>
  <c r="L575" i="2"/>
  <c r="V575" i="2" s="1"/>
  <c r="U574" i="2"/>
  <c r="S574" i="2"/>
  <c r="T574" i="2" s="1"/>
  <c r="Q574" i="2"/>
  <c r="P574" i="2"/>
  <c r="R574" i="2" s="1"/>
  <c r="O574" i="2"/>
  <c r="N574" i="2"/>
  <c r="M574" i="2"/>
  <c r="L574" i="2"/>
  <c r="V574" i="2" s="1"/>
  <c r="U573" i="2"/>
  <c r="S573" i="2"/>
  <c r="T573" i="2" s="1"/>
  <c r="Q573" i="2"/>
  <c r="P573" i="2"/>
  <c r="R573" i="2" s="1"/>
  <c r="O573" i="2"/>
  <c r="N573" i="2"/>
  <c r="M573" i="2"/>
  <c r="L573" i="2"/>
  <c r="V573" i="2" s="1"/>
  <c r="U572" i="2"/>
  <c r="S572" i="2"/>
  <c r="T572" i="2" s="1"/>
  <c r="Q572" i="2"/>
  <c r="P572" i="2"/>
  <c r="R572" i="2" s="1"/>
  <c r="O572" i="2"/>
  <c r="N572" i="2"/>
  <c r="M572" i="2"/>
  <c r="L572" i="2"/>
  <c r="V572" i="2" s="1"/>
  <c r="U571" i="2"/>
  <c r="S571" i="2"/>
  <c r="T571" i="2" s="1"/>
  <c r="Q571" i="2"/>
  <c r="P571" i="2"/>
  <c r="R571" i="2" s="1"/>
  <c r="O571" i="2"/>
  <c r="N571" i="2"/>
  <c r="M571" i="2"/>
  <c r="L571" i="2"/>
  <c r="V571" i="2" s="1"/>
  <c r="U570" i="2"/>
  <c r="S570" i="2"/>
  <c r="T570" i="2" s="1"/>
  <c r="Q570" i="2"/>
  <c r="P570" i="2"/>
  <c r="R570" i="2" s="1"/>
  <c r="O570" i="2"/>
  <c r="N570" i="2"/>
  <c r="M570" i="2"/>
  <c r="L570" i="2"/>
  <c r="V570" i="2" s="1"/>
  <c r="U569" i="2"/>
  <c r="S569" i="2"/>
  <c r="T569" i="2" s="1"/>
  <c r="Q569" i="2"/>
  <c r="P569" i="2"/>
  <c r="R569" i="2" s="1"/>
  <c r="O569" i="2"/>
  <c r="N569" i="2"/>
  <c r="M569" i="2"/>
  <c r="L569" i="2"/>
  <c r="V569" i="2" s="1"/>
  <c r="U568" i="2"/>
  <c r="S568" i="2"/>
  <c r="T568" i="2" s="1"/>
  <c r="Q568" i="2"/>
  <c r="P568" i="2"/>
  <c r="R568" i="2" s="1"/>
  <c r="O568" i="2"/>
  <c r="N568" i="2"/>
  <c r="M568" i="2"/>
  <c r="L568" i="2"/>
  <c r="V568" i="2" s="1"/>
  <c r="U567" i="2"/>
  <c r="S567" i="2"/>
  <c r="T567" i="2" s="1"/>
  <c r="Q567" i="2"/>
  <c r="P567" i="2"/>
  <c r="R567" i="2" s="1"/>
  <c r="O567" i="2"/>
  <c r="N567" i="2"/>
  <c r="M567" i="2"/>
  <c r="L567" i="2"/>
  <c r="V567" i="2" s="1"/>
  <c r="U566" i="2"/>
  <c r="S566" i="2"/>
  <c r="T566" i="2" s="1"/>
  <c r="Q566" i="2"/>
  <c r="P566" i="2"/>
  <c r="R566" i="2" s="1"/>
  <c r="O566" i="2"/>
  <c r="N566" i="2"/>
  <c r="M566" i="2"/>
  <c r="L566" i="2"/>
  <c r="V566" i="2" s="1"/>
  <c r="U565" i="2"/>
  <c r="S565" i="2"/>
  <c r="T565" i="2" s="1"/>
  <c r="Q565" i="2"/>
  <c r="P565" i="2"/>
  <c r="R565" i="2" s="1"/>
  <c r="O565" i="2"/>
  <c r="N565" i="2"/>
  <c r="M565" i="2"/>
  <c r="L565" i="2"/>
  <c r="V565" i="2" s="1"/>
  <c r="U564" i="2"/>
  <c r="S564" i="2"/>
  <c r="T564" i="2" s="1"/>
  <c r="Q564" i="2"/>
  <c r="P564" i="2"/>
  <c r="R564" i="2" s="1"/>
  <c r="O564" i="2"/>
  <c r="N564" i="2"/>
  <c r="M564" i="2"/>
  <c r="L564" i="2"/>
  <c r="V564" i="2" s="1"/>
  <c r="U563" i="2"/>
  <c r="S563" i="2"/>
  <c r="T563" i="2" s="1"/>
  <c r="Q563" i="2"/>
  <c r="P563" i="2"/>
  <c r="R563" i="2" s="1"/>
  <c r="O563" i="2"/>
  <c r="N563" i="2"/>
  <c r="M563" i="2"/>
  <c r="L563" i="2"/>
  <c r="V563" i="2" s="1"/>
  <c r="U562" i="2"/>
  <c r="S562" i="2"/>
  <c r="T562" i="2" s="1"/>
  <c r="Q562" i="2"/>
  <c r="P562" i="2"/>
  <c r="R562" i="2" s="1"/>
  <c r="O562" i="2"/>
  <c r="N562" i="2"/>
  <c r="M562" i="2"/>
  <c r="L562" i="2"/>
  <c r="V562" i="2" s="1"/>
  <c r="U561" i="2"/>
  <c r="S561" i="2"/>
  <c r="T561" i="2" s="1"/>
  <c r="Q561" i="2"/>
  <c r="P561" i="2"/>
  <c r="R561" i="2" s="1"/>
  <c r="O561" i="2"/>
  <c r="N561" i="2"/>
  <c r="M561" i="2"/>
  <c r="L561" i="2"/>
  <c r="V561" i="2" s="1"/>
  <c r="U560" i="2"/>
  <c r="S560" i="2"/>
  <c r="T560" i="2" s="1"/>
  <c r="Q560" i="2"/>
  <c r="P560" i="2"/>
  <c r="R560" i="2" s="1"/>
  <c r="O560" i="2"/>
  <c r="N560" i="2"/>
  <c r="M560" i="2"/>
  <c r="L560" i="2"/>
  <c r="V560" i="2" s="1"/>
  <c r="U559" i="2"/>
  <c r="S559" i="2"/>
  <c r="T559" i="2" s="1"/>
  <c r="Q559" i="2"/>
  <c r="P559" i="2"/>
  <c r="R559" i="2" s="1"/>
  <c r="O559" i="2"/>
  <c r="N559" i="2"/>
  <c r="M559" i="2"/>
  <c r="L559" i="2"/>
  <c r="V559" i="2" s="1"/>
  <c r="U558" i="2"/>
  <c r="S558" i="2"/>
  <c r="T558" i="2" s="1"/>
  <c r="Q558" i="2"/>
  <c r="P558" i="2"/>
  <c r="R558" i="2" s="1"/>
  <c r="O558" i="2"/>
  <c r="N558" i="2"/>
  <c r="M558" i="2"/>
  <c r="L558" i="2"/>
  <c r="V558" i="2" s="1"/>
  <c r="U557" i="2"/>
  <c r="S557" i="2"/>
  <c r="T557" i="2" s="1"/>
  <c r="Q557" i="2"/>
  <c r="P557" i="2"/>
  <c r="R557" i="2" s="1"/>
  <c r="O557" i="2"/>
  <c r="N557" i="2"/>
  <c r="M557" i="2"/>
  <c r="L557" i="2"/>
  <c r="V557" i="2" s="1"/>
  <c r="U556" i="2"/>
  <c r="S556" i="2"/>
  <c r="T556" i="2" s="1"/>
  <c r="Q556" i="2"/>
  <c r="P556" i="2"/>
  <c r="R556" i="2" s="1"/>
  <c r="O556" i="2"/>
  <c r="N556" i="2"/>
  <c r="M556" i="2"/>
  <c r="L556" i="2"/>
  <c r="V556" i="2" s="1"/>
  <c r="U555" i="2"/>
  <c r="S555" i="2"/>
  <c r="T555" i="2" s="1"/>
  <c r="Q555" i="2"/>
  <c r="P555" i="2"/>
  <c r="R555" i="2" s="1"/>
  <c r="O555" i="2"/>
  <c r="N555" i="2"/>
  <c r="M555" i="2"/>
  <c r="L555" i="2"/>
  <c r="V555" i="2" s="1"/>
  <c r="U554" i="2"/>
  <c r="S554" i="2"/>
  <c r="T554" i="2" s="1"/>
  <c r="Q554" i="2"/>
  <c r="P554" i="2"/>
  <c r="R554" i="2" s="1"/>
  <c r="O554" i="2"/>
  <c r="N554" i="2"/>
  <c r="M554" i="2"/>
  <c r="L554" i="2"/>
  <c r="V554" i="2" s="1"/>
  <c r="U553" i="2"/>
  <c r="S553" i="2"/>
  <c r="T553" i="2" s="1"/>
  <c r="Q553" i="2"/>
  <c r="P553" i="2"/>
  <c r="R553" i="2" s="1"/>
  <c r="O553" i="2"/>
  <c r="N553" i="2"/>
  <c r="M553" i="2"/>
  <c r="L553" i="2"/>
  <c r="V553" i="2" s="1"/>
  <c r="U552" i="2"/>
  <c r="S552" i="2"/>
  <c r="T552" i="2" s="1"/>
  <c r="Q552" i="2"/>
  <c r="P552" i="2"/>
  <c r="R552" i="2" s="1"/>
  <c r="O552" i="2"/>
  <c r="N552" i="2"/>
  <c r="M552" i="2"/>
  <c r="L552" i="2"/>
  <c r="V552" i="2" s="1"/>
  <c r="U551" i="2"/>
  <c r="S551" i="2"/>
  <c r="T551" i="2" s="1"/>
  <c r="Q551" i="2"/>
  <c r="P551" i="2"/>
  <c r="R551" i="2" s="1"/>
  <c r="O551" i="2"/>
  <c r="N551" i="2"/>
  <c r="M551" i="2"/>
  <c r="L551" i="2"/>
  <c r="V551" i="2" s="1"/>
  <c r="U550" i="2"/>
  <c r="S550" i="2"/>
  <c r="T550" i="2" s="1"/>
  <c r="Q550" i="2"/>
  <c r="P550" i="2"/>
  <c r="R550" i="2" s="1"/>
  <c r="O550" i="2"/>
  <c r="N550" i="2"/>
  <c r="M550" i="2"/>
  <c r="L550" i="2"/>
  <c r="V550" i="2" s="1"/>
  <c r="U549" i="2"/>
  <c r="S549" i="2"/>
  <c r="T549" i="2" s="1"/>
  <c r="Q549" i="2"/>
  <c r="P549" i="2"/>
  <c r="R549" i="2" s="1"/>
  <c r="O549" i="2"/>
  <c r="N549" i="2"/>
  <c r="M549" i="2"/>
  <c r="L549" i="2"/>
  <c r="V549" i="2" s="1"/>
  <c r="U548" i="2"/>
  <c r="S548" i="2"/>
  <c r="T548" i="2" s="1"/>
  <c r="Q548" i="2"/>
  <c r="P548" i="2"/>
  <c r="R548" i="2" s="1"/>
  <c r="O548" i="2"/>
  <c r="N548" i="2"/>
  <c r="M548" i="2"/>
  <c r="L548" i="2"/>
  <c r="V548" i="2" s="1"/>
  <c r="U547" i="2"/>
  <c r="S547" i="2"/>
  <c r="T547" i="2" s="1"/>
  <c r="Q547" i="2"/>
  <c r="P547" i="2"/>
  <c r="R547" i="2" s="1"/>
  <c r="O547" i="2"/>
  <c r="N547" i="2"/>
  <c r="M547" i="2"/>
  <c r="L547" i="2"/>
  <c r="V547" i="2" s="1"/>
  <c r="U546" i="2"/>
  <c r="S546" i="2"/>
  <c r="T546" i="2" s="1"/>
  <c r="Q546" i="2"/>
  <c r="P546" i="2"/>
  <c r="R546" i="2" s="1"/>
  <c r="O546" i="2"/>
  <c r="N546" i="2"/>
  <c r="M546" i="2"/>
  <c r="L546" i="2"/>
  <c r="V546" i="2" s="1"/>
  <c r="U545" i="2"/>
  <c r="S545" i="2"/>
  <c r="T545" i="2" s="1"/>
  <c r="Q545" i="2"/>
  <c r="P545" i="2"/>
  <c r="R545" i="2" s="1"/>
  <c r="O545" i="2"/>
  <c r="N545" i="2"/>
  <c r="M545" i="2"/>
  <c r="L545" i="2"/>
  <c r="V545" i="2" s="1"/>
  <c r="U544" i="2"/>
  <c r="S544" i="2"/>
  <c r="T544" i="2" s="1"/>
  <c r="Q544" i="2"/>
  <c r="P544" i="2"/>
  <c r="R544" i="2" s="1"/>
  <c r="O544" i="2"/>
  <c r="N544" i="2"/>
  <c r="M544" i="2"/>
  <c r="L544" i="2"/>
  <c r="V544" i="2" s="1"/>
  <c r="U543" i="2"/>
  <c r="S543" i="2"/>
  <c r="T543" i="2" s="1"/>
  <c r="Q543" i="2"/>
  <c r="P543" i="2"/>
  <c r="R543" i="2" s="1"/>
  <c r="O543" i="2"/>
  <c r="N543" i="2"/>
  <c r="M543" i="2"/>
  <c r="L543" i="2"/>
  <c r="V543" i="2" s="1"/>
  <c r="U542" i="2"/>
  <c r="S542" i="2"/>
  <c r="T542" i="2" s="1"/>
  <c r="Q542" i="2"/>
  <c r="P542" i="2"/>
  <c r="R542" i="2" s="1"/>
  <c r="O542" i="2"/>
  <c r="N542" i="2"/>
  <c r="M542" i="2"/>
  <c r="L542" i="2"/>
  <c r="V542" i="2" s="1"/>
  <c r="U541" i="2"/>
  <c r="S541" i="2"/>
  <c r="T541" i="2" s="1"/>
  <c r="Q541" i="2"/>
  <c r="P541" i="2"/>
  <c r="R541" i="2" s="1"/>
  <c r="O541" i="2"/>
  <c r="N541" i="2"/>
  <c r="M541" i="2"/>
  <c r="L541" i="2"/>
  <c r="V541" i="2" s="1"/>
  <c r="U540" i="2"/>
  <c r="S540" i="2"/>
  <c r="T540" i="2" s="1"/>
  <c r="Q540" i="2"/>
  <c r="P540" i="2"/>
  <c r="R540" i="2" s="1"/>
  <c r="O540" i="2"/>
  <c r="N540" i="2"/>
  <c r="M540" i="2"/>
  <c r="L540" i="2"/>
  <c r="V540" i="2" s="1"/>
  <c r="U539" i="2"/>
  <c r="S539" i="2"/>
  <c r="T539" i="2" s="1"/>
  <c r="Q539" i="2"/>
  <c r="P539" i="2"/>
  <c r="R539" i="2" s="1"/>
  <c r="O539" i="2"/>
  <c r="N539" i="2"/>
  <c r="M539" i="2"/>
  <c r="L539" i="2"/>
  <c r="V539" i="2" s="1"/>
  <c r="U538" i="2"/>
  <c r="S538" i="2"/>
  <c r="T538" i="2" s="1"/>
  <c r="Q538" i="2"/>
  <c r="P538" i="2"/>
  <c r="R538" i="2" s="1"/>
  <c r="O538" i="2"/>
  <c r="N538" i="2"/>
  <c r="M538" i="2"/>
  <c r="L538" i="2"/>
  <c r="V538" i="2" s="1"/>
  <c r="U537" i="2"/>
  <c r="S537" i="2"/>
  <c r="T537" i="2" s="1"/>
  <c r="Q537" i="2"/>
  <c r="P537" i="2"/>
  <c r="R537" i="2" s="1"/>
  <c r="O537" i="2"/>
  <c r="N537" i="2"/>
  <c r="M537" i="2"/>
  <c r="L537" i="2"/>
  <c r="V537" i="2" s="1"/>
  <c r="U536" i="2"/>
  <c r="S536" i="2"/>
  <c r="T536" i="2" s="1"/>
  <c r="Q536" i="2"/>
  <c r="P536" i="2"/>
  <c r="R536" i="2" s="1"/>
  <c r="O536" i="2"/>
  <c r="N536" i="2"/>
  <c r="M536" i="2"/>
  <c r="L536" i="2"/>
  <c r="V536" i="2" s="1"/>
  <c r="U535" i="2"/>
  <c r="S535" i="2"/>
  <c r="T535" i="2" s="1"/>
  <c r="Q535" i="2"/>
  <c r="P535" i="2"/>
  <c r="R535" i="2" s="1"/>
  <c r="O535" i="2"/>
  <c r="N535" i="2"/>
  <c r="M535" i="2"/>
  <c r="L535" i="2"/>
  <c r="V535" i="2" s="1"/>
  <c r="U534" i="2"/>
  <c r="S534" i="2"/>
  <c r="T534" i="2" s="1"/>
  <c r="Q534" i="2"/>
  <c r="P534" i="2"/>
  <c r="R534" i="2" s="1"/>
  <c r="O534" i="2"/>
  <c r="N534" i="2"/>
  <c r="M534" i="2"/>
  <c r="L534" i="2"/>
  <c r="V534" i="2" s="1"/>
  <c r="U533" i="2"/>
  <c r="T533" i="2"/>
  <c r="S533" i="2"/>
  <c r="Q533" i="2"/>
  <c r="P533" i="2"/>
  <c r="R533" i="2" s="1"/>
  <c r="O533" i="2"/>
  <c r="N533" i="2"/>
  <c r="M533" i="2"/>
  <c r="L533" i="2"/>
  <c r="V533" i="2" s="1"/>
  <c r="U532" i="2"/>
  <c r="S532" i="2"/>
  <c r="T532" i="2" s="1"/>
  <c r="Q532" i="2"/>
  <c r="P532" i="2"/>
  <c r="R532" i="2" s="1"/>
  <c r="O532" i="2"/>
  <c r="N532" i="2"/>
  <c r="M532" i="2"/>
  <c r="L532" i="2"/>
  <c r="V532" i="2" s="1"/>
  <c r="U531" i="2"/>
  <c r="S531" i="2"/>
  <c r="T531" i="2" s="1"/>
  <c r="Q531" i="2"/>
  <c r="P531" i="2"/>
  <c r="R531" i="2" s="1"/>
  <c r="O531" i="2"/>
  <c r="N531" i="2"/>
  <c r="M531" i="2"/>
  <c r="L531" i="2"/>
  <c r="V531" i="2" s="1"/>
  <c r="U530" i="2"/>
  <c r="S530" i="2"/>
  <c r="T530" i="2" s="1"/>
  <c r="Q530" i="2"/>
  <c r="P530" i="2"/>
  <c r="R530" i="2" s="1"/>
  <c r="O530" i="2"/>
  <c r="N530" i="2"/>
  <c r="M530" i="2"/>
  <c r="L530" i="2"/>
  <c r="V530" i="2" s="1"/>
  <c r="U529" i="2"/>
  <c r="S529" i="2"/>
  <c r="T529" i="2" s="1"/>
  <c r="Q529" i="2"/>
  <c r="P529" i="2"/>
  <c r="R529" i="2" s="1"/>
  <c r="O529" i="2"/>
  <c r="N529" i="2"/>
  <c r="M529" i="2"/>
  <c r="L529" i="2"/>
  <c r="V529" i="2" s="1"/>
  <c r="U528" i="2"/>
  <c r="S528" i="2"/>
  <c r="T528" i="2" s="1"/>
  <c r="Q528" i="2"/>
  <c r="P528" i="2"/>
  <c r="R528" i="2" s="1"/>
  <c r="O528" i="2"/>
  <c r="N528" i="2"/>
  <c r="M528" i="2"/>
  <c r="L528" i="2"/>
  <c r="V528" i="2" s="1"/>
  <c r="U527" i="2"/>
  <c r="S527" i="2"/>
  <c r="T527" i="2" s="1"/>
  <c r="Q527" i="2"/>
  <c r="P527" i="2"/>
  <c r="R527" i="2" s="1"/>
  <c r="O527" i="2"/>
  <c r="N527" i="2"/>
  <c r="M527" i="2"/>
  <c r="L527" i="2"/>
  <c r="V527" i="2" s="1"/>
  <c r="U526" i="2"/>
  <c r="S526" i="2"/>
  <c r="T526" i="2" s="1"/>
  <c r="Q526" i="2"/>
  <c r="P526" i="2"/>
  <c r="R526" i="2" s="1"/>
  <c r="O526" i="2"/>
  <c r="N526" i="2"/>
  <c r="M526" i="2"/>
  <c r="L526" i="2"/>
  <c r="V526" i="2" s="1"/>
  <c r="U525" i="2"/>
  <c r="S525" i="2"/>
  <c r="T525" i="2" s="1"/>
  <c r="Q525" i="2"/>
  <c r="P525" i="2"/>
  <c r="R525" i="2" s="1"/>
  <c r="O525" i="2"/>
  <c r="N525" i="2"/>
  <c r="M525" i="2"/>
  <c r="L525" i="2"/>
  <c r="V525" i="2" s="1"/>
  <c r="U524" i="2"/>
  <c r="S524" i="2"/>
  <c r="T524" i="2" s="1"/>
  <c r="Q524" i="2"/>
  <c r="P524" i="2"/>
  <c r="R524" i="2" s="1"/>
  <c r="O524" i="2"/>
  <c r="N524" i="2"/>
  <c r="M524" i="2"/>
  <c r="L524" i="2"/>
  <c r="V524" i="2" s="1"/>
  <c r="U523" i="2"/>
  <c r="S523" i="2"/>
  <c r="T523" i="2" s="1"/>
  <c r="Q523" i="2"/>
  <c r="P523" i="2"/>
  <c r="R523" i="2" s="1"/>
  <c r="O523" i="2"/>
  <c r="N523" i="2"/>
  <c r="M523" i="2"/>
  <c r="L523" i="2"/>
  <c r="V523" i="2" s="1"/>
  <c r="U522" i="2"/>
  <c r="S522" i="2"/>
  <c r="T522" i="2" s="1"/>
  <c r="Q522" i="2"/>
  <c r="P522" i="2"/>
  <c r="R522" i="2" s="1"/>
  <c r="O522" i="2"/>
  <c r="N522" i="2"/>
  <c r="M522" i="2"/>
  <c r="L522" i="2"/>
  <c r="V522" i="2" s="1"/>
  <c r="U521" i="2"/>
  <c r="S521" i="2"/>
  <c r="T521" i="2" s="1"/>
  <c r="Q521" i="2"/>
  <c r="P521" i="2"/>
  <c r="R521" i="2" s="1"/>
  <c r="O521" i="2"/>
  <c r="N521" i="2"/>
  <c r="M521" i="2"/>
  <c r="L521" i="2"/>
  <c r="V521" i="2" s="1"/>
  <c r="U520" i="2"/>
  <c r="S520" i="2"/>
  <c r="T520" i="2" s="1"/>
  <c r="Q520" i="2"/>
  <c r="P520" i="2"/>
  <c r="R520" i="2" s="1"/>
  <c r="O520" i="2"/>
  <c r="N520" i="2"/>
  <c r="M520" i="2"/>
  <c r="L520" i="2"/>
  <c r="V520" i="2" s="1"/>
  <c r="U519" i="2"/>
  <c r="S519" i="2"/>
  <c r="T519" i="2" s="1"/>
  <c r="Q519" i="2"/>
  <c r="P519" i="2"/>
  <c r="R519" i="2" s="1"/>
  <c r="O519" i="2"/>
  <c r="N519" i="2"/>
  <c r="M519" i="2"/>
  <c r="L519" i="2"/>
  <c r="V519" i="2" s="1"/>
  <c r="U518" i="2"/>
  <c r="S518" i="2"/>
  <c r="T518" i="2" s="1"/>
  <c r="Q518" i="2"/>
  <c r="P518" i="2"/>
  <c r="R518" i="2" s="1"/>
  <c r="O518" i="2"/>
  <c r="N518" i="2"/>
  <c r="M518" i="2"/>
  <c r="L518" i="2"/>
  <c r="V518" i="2" s="1"/>
  <c r="U517" i="2"/>
  <c r="S517" i="2"/>
  <c r="T517" i="2" s="1"/>
  <c r="Q517" i="2"/>
  <c r="P517" i="2"/>
  <c r="R517" i="2" s="1"/>
  <c r="O517" i="2"/>
  <c r="N517" i="2"/>
  <c r="M517" i="2"/>
  <c r="L517" i="2"/>
  <c r="V517" i="2" s="1"/>
  <c r="U516" i="2"/>
  <c r="S516" i="2"/>
  <c r="T516" i="2" s="1"/>
  <c r="Q516" i="2"/>
  <c r="P516" i="2"/>
  <c r="R516" i="2" s="1"/>
  <c r="O516" i="2"/>
  <c r="N516" i="2"/>
  <c r="M516" i="2"/>
  <c r="L516" i="2"/>
  <c r="V516" i="2" s="1"/>
  <c r="U515" i="2"/>
  <c r="S515" i="2"/>
  <c r="T515" i="2" s="1"/>
  <c r="Q515" i="2"/>
  <c r="P515" i="2"/>
  <c r="R515" i="2" s="1"/>
  <c r="O515" i="2"/>
  <c r="N515" i="2"/>
  <c r="M515" i="2"/>
  <c r="L515" i="2"/>
  <c r="V515" i="2" s="1"/>
  <c r="U514" i="2"/>
  <c r="S514" i="2"/>
  <c r="T514" i="2" s="1"/>
  <c r="Q514" i="2"/>
  <c r="P514" i="2"/>
  <c r="R514" i="2" s="1"/>
  <c r="O514" i="2"/>
  <c r="N514" i="2"/>
  <c r="M514" i="2"/>
  <c r="L514" i="2"/>
  <c r="V514" i="2" s="1"/>
  <c r="U513" i="2"/>
  <c r="S513" i="2"/>
  <c r="T513" i="2" s="1"/>
  <c r="Q513" i="2"/>
  <c r="P513" i="2"/>
  <c r="R513" i="2" s="1"/>
  <c r="O513" i="2"/>
  <c r="N513" i="2"/>
  <c r="M513" i="2"/>
  <c r="L513" i="2"/>
  <c r="V513" i="2" s="1"/>
  <c r="U512" i="2"/>
  <c r="S512" i="2"/>
  <c r="T512" i="2" s="1"/>
  <c r="P512" i="2"/>
  <c r="R512" i="2" s="1"/>
  <c r="O512" i="2"/>
  <c r="N512" i="2"/>
  <c r="M512" i="2"/>
  <c r="L512" i="2"/>
  <c r="V512" i="2" s="1"/>
  <c r="U511" i="2"/>
  <c r="S511" i="2"/>
  <c r="T511" i="2" s="1"/>
  <c r="Q511" i="2"/>
  <c r="P511" i="2"/>
  <c r="R511" i="2" s="1"/>
  <c r="O511" i="2"/>
  <c r="N511" i="2"/>
  <c r="M511" i="2"/>
  <c r="L511" i="2"/>
  <c r="V511" i="2" s="1"/>
  <c r="U510" i="2"/>
  <c r="S510" i="2"/>
  <c r="T510" i="2" s="1"/>
  <c r="P510" i="2"/>
  <c r="R510" i="2" s="1"/>
  <c r="O510" i="2"/>
  <c r="N510" i="2"/>
  <c r="M510" i="2"/>
  <c r="L510" i="2"/>
  <c r="V510" i="2" s="1"/>
  <c r="U509" i="2"/>
  <c r="S509" i="2"/>
  <c r="T509" i="2" s="1"/>
  <c r="Q509" i="2"/>
  <c r="P509" i="2"/>
  <c r="R509" i="2" s="1"/>
  <c r="O509" i="2"/>
  <c r="N509" i="2"/>
  <c r="M509" i="2"/>
  <c r="L509" i="2"/>
  <c r="V509" i="2" s="1"/>
  <c r="U508" i="2"/>
  <c r="S508" i="2"/>
  <c r="T508" i="2" s="1"/>
  <c r="Q508" i="2"/>
  <c r="P508" i="2"/>
  <c r="R508" i="2" s="1"/>
  <c r="O508" i="2"/>
  <c r="N508" i="2"/>
  <c r="M508" i="2"/>
  <c r="L508" i="2"/>
  <c r="V508" i="2" s="1"/>
  <c r="U507" i="2"/>
  <c r="S507" i="2"/>
  <c r="T507" i="2" s="1"/>
  <c r="Q507" i="2"/>
  <c r="P507" i="2"/>
  <c r="R507" i="2" s="1"/>
  <c r="O507" i="2"/>
  <c r="N507" i="2"/>
  <c r="M507" i="2"/>
  <c r="L507" i="2"/>
  <c r="V507" i="2" s="1"/>
  <c r="U506" i="2"/>
  <c r="S506" i="2"/>
  <c r="T506" i="2" s="1"/>
  <c r="Q506" i="2"/>
  <c r="P506" i="2"/>
  <c r="R506" i="2" s="1"/>
  <c r="O506" i="2"/>
  <c r="N506" i="2"/>
  <c r="M506" i="2"/>
  <c r="L506" i="2"/>
  <c r="V506" i="2" s="1"/>
  <c r="U505" i="2"/>
  <c r="S505" i="2"/>
  <c r="T505" i="2" s="1"/>
  <c r="Q505" i="2"/>
  <c r="P505" i="2"/>
  <c r="R505" i="2" s="1"/>
  <c r="O505" i="2"/>
  <c r="N505" i="2"/>
  <c r="M505" i="2"/>
  <c r="L505" i="2"/>
  <c r="V505" i="2" s="1"/>
  <c r="U504" i="2"/>
  <c r="S504" i="2"/>
  <c r="T504" i="2" s="1"/>
  <c r="Q504" i="2"/>
  <c r="P504" i="2"/>
  <c r="R504" i="2" s="1"/>
  <c r="O504" i="2"/>
  <c r="N504" i="2"/>
  <c r="M504" i="2"/>
  <c r="L504" i="2"/>
  <c r="V504" i="2" s="1"/>
  <c r="U503" i="2"/>
  <c r="S503" i="2"/>
  <c r="T503" i="2" s="1"/>
  <c r="Q503" i="2"/>
  <c r="P503" i="2"/>
  <c r="R503" i="2" s="1"/>
  <c r="O503" i="2"/>
  <c r="N503" i="2"/>
  <c r="M503" i="2"/>
  <c r="L503" i="2"/>
  <c r="V503" i="2" s="1"/>
  <c r="U502" i="2"/>
  <c r="S502" i="2"/>
  <c r="T502" i="2" s="1"/>
  <c r="Q502" i="2"/>
  <c r="P502" i="2"/>
  <c r="R502" i="2" s="1"/>
  <c r="O502" i="2"/>
  <c r="N502" i="2"/>
  <c r="M502" i="2"/>
  <c r="L502" i="2"/>
  <c r="V502" i="2" s="1"/>
  <c r="U501" i="2"/>
  <c r="S501" i="2"/>
  <c r="T501" i="2" s="1"/>
  <c r="Q501" i="2"/>
  <c r="P501" i="2"/>
  <c r="R501" i="2" s="1"/>
  <c r="O501" i="2"/>
  <c r="N501" i="2"/>
  <c r="M501" i="2"/>
  <c r="L501" i="2"/>
  <c r="V501" i="2" s="1"/>
  <c r="U500" i="2"/>
  <c r="S500" i="2"/>
  <c r="T500" i="2" s="1"/>
  <c r="Q500" i="2"/>
  <c r="P500" i="2"/>
  <c r="R500" i="2" s="1"/>
  <c r="O500" i="2"/>
  <c r="N500" i="2"/>
  <c r="M500" i="2"/>
  <c r="L500" i="2"/>
  <c r="V500" i="2" s="1"/>
  <c r="U499" i="2"/>
  <c r="S499" i="2"/>
  <c r="T499" i="2" s="1"/>
  <c r="P499" i="2"/>
  <c r="R499" i="2" s="1"/>
  <c r="O499" i="2"/>
  <c r="N499" i="2"/>
  <c r="M499" i="2"/>
  <c r="L499" i="2"/>
  <c r="V499" i="2" s="1"/>
  <c r="U498" i="2"/>
  <c r="S498" i="2"/>
  <c r="T498" i="2" s="1"/>
  <c r="Q498" i="2"/>
  <c r="P498" i="2"/>
  <c r="R498" i="2" s="1"/>
  <c r="O498" i="2"/>
  <c r="N498" i="2"/>
  <c r="M498" i="2"/>
  <c r="L498" i="2"/>
  <c r="V498" i="2" s="1"/>
  <c r="U497" i="2"/>
  <c r="S497" i="2"/>
  <c r="T497" i="2" s="1"/>
  <c r="Q497" i="2"/>
  <c r="P497" i="2"/>
  <c r="R497" i="2" s="1"/>
  <c r="O497" i="2"/>
  <c r="N497" i="2"/>
  <c r="M497" i="2"/>
  <c r="L497" i="2"/>
  <c r="V497" i="2" s="1"/>
  <c r="U496" i="2"/>
  <c r="S496" i="2"/>
  <c r="T496" i="2" s="1"/>
  <c r="Q496" i="2"/>
  <c r="P496" i="2"/>
  <c r="R496" i="2" s="1"/>
  <c r="O496" i="2"/>
  <c r="N496" i="2"/>
  <c r="M496" i="2"/>
  <c r="L496" i="2"/>
  <c r="V496" i="2" s="1"/>
  <c r="U495" i="2"/>
  <c r="S495" i="2"/>
  <c r="T495" i="2" s="1"/>
  <c r="Q495" i="2"/>
  <c r="P495" i="2"/>
  <c r="R495" i="2" s="1"/>
  <c r="O495" i="2"/>
  <c r="N495" i="2"/>
  <c r="M495" i="2"/>
  <c r="L495" i="2"/>
  <c r="V495" i="2" s="1"/>
  <c r="U494" i="2"/>
  <c r="S494" i="2"/>
  <c r="T494" i="2" s="1"/>
  <c r="Q494" i="2"/>
  <c r="P494" i="2"/>
  <c r="R494" i="2" s="1"/>
  <c r="O494" i="2"/>
  <c r="N494" i="2"/>
  <c r="M494" i="2"/>
  <c r="L494" i="2"/>
  <c r="V494" i="2" s="1"/>
  <c r="U493" i="2"/>
  <c r="S493" i="2"/>
  <c r="T493" i="2" s="1"/>
  <c r="Q493" i="2"/>
  <c r="P493" i="2"/>
  <c r="R493" i="2" s="1"/>
  <c r="O493" i="2"/>
  <c r="N493" i="2"/>
  <c r="M493" i="2"/>
  <c r="L493" i="2"/>
  <c r="V493" i="2" s="1"/>
  <c r="U492" i="2"/>
  <c r="S492" i="2"/>
  <c r="T492" i="2" s="1"/>
  <c r="Q492" i="2"/>
  <c r="P492" i="2"/>
  <c r="R492" i="2" s="1"/>
  <c r="O492" i="2"/>
  <c r="N492" i="2"/>
  <c r="M492" i="2"/>
  <c r="L492" i="2"/>
  <c r="V492" i="2" s="1"/>
  <c r="U491" i="2"/>
  <c r="S491" i="2"/>
  <c r="T491" i="2" s="1"/>
  <c r="Q491" i="2"/>
  <c r="P491" i="2"/>
  <c r="R491" i="2" s="1"/>
  <c r="O491" i="2"/>
  <c r="N491" i="2"/>
  <c r="M491" i="2"/>
  <c r="L491" i="2"/>
  <c r="V491" i="2" s="1"/>
  <c r="U490" i="2"/>
  <c r="S490" i="2"/>
  <c r="T490" i="2" s="1"/>
  <c r="Q490" i="2"/>
  <c r="P490" i="2"/>
  <c r="R490" i="2" s="1"/>
  <c r="O490" i="2"/>
  <c r="N490" i="2"/>
  <c r="M490" i="2"/>
  <c r="L490" i="2"/>
  <c r="V490" i="2" s="1"/>
  <c r="U489" i="2"/>
  <c r="S489" i="2"/>
  <c r="T489" i="2" s="1"/>
  <c r="Q489" i="2"/>
  <c r="P489" i="2"/>
  <c r="R489" i="2" s="1"/>
  <c r="O489" i="2"/>
  <c r="N489" i="2"/>
  <c r="M489" i="2"/>
  <c r="L489" i="2"/>
  <c r="V489" i="2" s="1"/>
  <c r="U488" i="2"/>
  <c r="S488" i="2"/>
  <c r="T488" i="2" s="1"/>
  <c r="Q488" i="2"/>
  <c r="P488" i="2"/>
  <c r="R488" i="2" s="1"/>
  <c r="O488" i="2"/>
  <c r="N488" i="2"/>
  <c r="M488" i="2"/>
  <c r="L488" i="2"/>
  <c r="V488" i="2" s="1"/>
  <c r="U487" i="2"/>
  <c r="S487" i="2"/>
  <c r="T487" i="2" s="1"/>
  <c r="Q487" i="2"/>
  <c r="P487" i="2"/>
  <c r="R487" i="2" s="1"/>
  <c r="O487" i="2"/>
  <c r="N487" i="2"/>
  <c r="M487" i="2"/>
  <c r="L487" i="2"/>
  <c r="V487" i="2" s="1"/>
  <c r="U486" i="2"/>
  <c r="S486" i="2"/>
  <c r="T486" i="2" s="1"/>
  <c r="Q486" i="2"/>
  <c r="P486" i="2"/>
  <c r="R486" i="2" s="1"/>
  <c r="O486" i="2"/>
  <c r="N486" i="2"/>
  <c r="M486" i="2"/>
  <c r="L486" i="2"/>
  <c r="V486" i="2" s="1"/>
  <c r="U485" i="2"/>
  <c r="S485" i="2"/>
  <c r="T485" i="2" s="1"/>
  <c r="Q485" i="2"/>
  <c r="P485" i="2"/>
  <c r="R485" i="2" s="1"/>
  <c r="O485" i="2"/>
  <c r="N485" i="2"/>
  <c r="M485" i="2"/>
  <c r="L485" i="2"/>
  <c r="V485" i="2" s="1"/>
  <c r="U484" i="2"/>
  <c r="S484" i="2"/>
  <c r="T484" i="2" s="1"/>
  <c r="Q484" i="2"/>
  <c r="P484" i="2"/>
  <c r="R484" i="2" s="1"/>
  <c r="O484" i="2"/>
  <c r="N484" i="2"/>
  <c r="M484" i="2"/>
  <c r="L484" i="2"/>
  <c r="V484" i="2" s="1"/>
  <c r="U483" i="2"/>
  <c r="S483" i="2"/>
  <c r="T483" i="2" s="1"/>
  <c r="Q483" i="2"/>
  <c r="P483" i="2"/>
  <c r="R483" i="2" s="1"/>
  <c r="O483" i="2"/>
  <c r="N483" i="2"/>
  <c r="M483" i="2"/>
  <c r="L483" i="2"/>
  <c r="V483" i="2" s="1"/>
  <c r="U482" i="2"/>
  <c r="S482" i="2"/>
  <c r="T482" i="2" s="1"/>
  <c r="Q482" i="2"/>
  <c r="P482" i="2"/>
  <c r="R482" i="2" s="1"/>
  <c r="O482" i="2"/>
  <c r="N482" i="2"/>
  <c r="M482" i="2"/>
  <c r="L482" i="2"/>
  <c r="V482" i="2" s="1"/>
  <c r="U481" i="2"/>
  <c r="S481" i="2"/>
  <c r="T481" i="2" s="1"/>
  <c r="Q481" i="2"/>
  <c r="P481" i="2"/>
  <c r="R481" i="2" s="1"/>
  <c r="O481" i="2"/>
  <c r="N481" i="2"/>
  <c r="M481" i="2"/>
  <c r="L481" i="2"/>
  <c r="V481" i="2" s="1"/>
  <c r="U480" i="2"/>
  <c r="S480" i="2"/>
  <c r="T480" i="2" s="1"/>
  <c r="Q480" i="2"/>
  <c r="P480" i="2"/>
  <c r="R480" i="2" s="1"/>
  <c r="O480" i="2"/>
  <c r="N480" i="2"/>
  <c r="M480" i="2"/>
  <c r="L480" i="2"/>
  <c r="V480" i="2" s="1"/>
  <c r="U479" i="2"/>
  <c r="S479" i="2"/>
  <c r="T479" i="2" s="1"/>
  <c r="Q479" i="2"/>
  <c r="P479" i="2"/>
  <c r="R479" i="2" s="1"/>
  <c r="O479" i="2"/>
  <c r="N479" i="2"/>
  <c r="M479" i="2"/>
  <c r="L479" i="2"/>
  <c r="V479" i="2" s="1"/>
  <c r="U478" i="2"/>
  <c r="S478" i="2"/>
  <c r="T478" i="2" s="1"/>
  <c r="Q478" i="2"/>
  <c r="P478" i="2"/>
  <c r="R478" i="2" s="1"/>
  <c r="O478" i="2"/>
  <c r="N478" i="2"/>
  <c r="M478" i="2"/>
  <c r="L478" i="2"/>
  <c r="V478" i="2" s="1"/>
  <c r="U477" i="2"/>
  <c r="S477" i="2"/>
  <c r="T477" i="2" s="1"/>
  <c r="Q477" i="2"/>
  <c r="P477" i="2"/>
  <c r="R477" i="2" s="1"/>
  <c r="O477" i="2"/>
  <c r="N477" i="2"/>
  <c r="M477" i="2"/>
  <c r="L477" i="2"/>
  <c r="V477" i="2" s="1"/>
  <c r="U476" i="2"/>
  <c r="S476" i="2"/>
  <c r="T476" i="2" s="1"/>
  <c r="Q476" i="2"/>
  <c r="P476" i="2"/>
  <c r="R476" i="2" s="1"/>
  <c r="O476" i="2"/>
  <c r="N476" i="2"/>
  <c r="M476" i="2"/>
  <c r="L476" i="2"/>
  <c r="V476" i="2" s="1"/>
  <c r="U475" i="2"/>
  <c r="S475" i="2"/>
  <c r="T475" i="2" s="1"/>
  <c r="Q475" i="2"/>
  <c r="P475" i="2"/>
  <c r="R475" i="2" s="1"/>
  <c r="O475" i="2"/>
  <c r="N475" i="2"/>
  <c r="M475" i="2"/>
  <c r="L475" i="2"/>
  <c r="V475" i="2" s="1"/>
  <c r="U474" i="2"/>
  <c r="S474" i="2"/>
  <c r="T474" i="2" s="1"/>
  <c r="Q474" i="2"/>
  <c r="P474" i="2"/>
  <c r="R474" i="2" s="1"/>
  <c r="O474" i="2"/>
  <c r="N474" i="2"/>
  <c r="M474" i="2"/>
  <c r="L474" i="2"/>
  <c r="V474" i="2" s="1"/>
  <c r="U473" i="2"/>
  <c r="S473" i="2"/>
  <c r="T473" i="2" s="1"/>
  <c r="Q473" i="2"/>
  <c r="P473" i="2"/>
  <c r="R473" i="2" s="1"/>
  <c r="O473" i="2"/>
  <c r="N473" i="2"/>
  <c r="M473" i="2"/>
  <c r="L473" i="2"/>
  <c r="V473" i="2" s="1"/>
  <c r="U472" i="2"/>
  <c r="S472" i="2"/>
  <c r="T472" i="2" s="1"/>
  <c r="Q472" i="2"/>
  <c r="P472" i="2"/>
  <c r="R472" i="2" s="1"/>
  <c r="O472" i="2"/>
  <c r="N472" i="2"/>
  <c r="M472" i="2"/>
  <c r="L472" i="2"/>
  <c r="V472" i="2" s="1"/>
  <c r="U471" i="2"/>
  <c r="S471" i="2"/>
  <c r="T471" i="2" s="1"/>
  <c r="Q471" i="2"/>
  <c r="P471" i="2"/>
  <c r="R471" i="2" s="1"/>
  <c r="O471" i="2"/>
  <c r="N471" i="2"/>
  <c r="M471" i="2"/>
  <c r="L471" i="2"/>
  <c r="V471" i="2" s="1"/>
  <c r="U470" i="2"/>
  <c r="S470" i="2"/>
  <c r="T470" i="2" s="1"/>
  <c r="Q470" i="2"/>
  <c r="P470" i="2"/>
  <c r="R470" i="2" s="1"/>
  <c r="O470" i="2"/>
  <c r="N470" i="2"/>
  <c r="M470" i="2"/>
  <c r="L470" i="2"/>
  <c r="V470" i="2" s="1"/>
  <c r="U469" i="2"/>
  <c r="S469" i="2"/>
  <c r="T469" i="2" s="1"/>
  <c r="Q469" i="2"/>
  <c r="P469" i="2"/>
  <c r="R469" i="2" s="1"/>
  <c r="O469" i="2"/>
  <c r="N469" i="2"/>
  <c r="M469" i="2"/>
  <c r="L469" i="2"/>
  <c r="V469" i="2" s="1"/>
  <c r="U468" i="2"/>
  <c r="S468" i="2"/>
  <c r="T468" i="2" s="1"/>
  <c r="Q468" i="2"/>
  <c r="P468" i="2"/>
  <c r="R468" i="2" s="1"/>
  <c r="O468" i="2"/>
  <c r="N468" i="2"/>
  <c r="M468" i="2"/>
  <c r="L468" i="2"/>
  <c r="V468" i="2" s="1"/>
  <c r="U467" i="2"/>
  <c r="S467" i="2"/>
  <c r="T467" i="2" s="1"/>
  <c r="Q467" i="2"/>
  <c r="P467" i="2"/>
  <c r="R467" i="2" s="1"/>
  <c r="O467" i="2"/>
  <c r="N467" i="2"/>
  <c r="M467" i="2"/>
  <c r="L467" i="2"/>
  <c r="V467" i="2" s="1"/>
  <c r="U466" i="2"/>
  <c r="S466" i="2"/>
  <c r="T466" i="2" s="1"/>
  <c r="Q466" i="2"/>
  <c r="P466" i="2"/>
  <c r="R466" i="2" s="1"/>
  <c r="O466" i="2"/>
  <c r="N466" i="2"/>
  <c r="M466" i="2"/>
  <c r="L466" i="2"/>
  <c r="V466" i="2" s="1"/>
  <c r="U465" i="2"/>
  <c r="S465" i="2"/>
  <c r="T465" i="2" s="1"/>
  <c r="Q465" i="2"/>
  <c r="P465" i="2"/>
  <c r="R465" i="2" s="1"/>
  <c r="O465" i="2"/>
  <c r="N465" i="2"/>
  <c r="M465" i="2"/>
  <c r="L465" i="2"/>
  <c r="V465" i="2" s="1"/>
  <c r="U464" i="2"/>
  <c r="S464" i="2"/>
  <c r="T464" i="2" s="1"/>
  <c r="Q464" i="2"/>
  <c r="P464" i="2"/>
  <c r="R464" i="2" s="1"/>
  <c r="O464" i="2"/>
  <c r="N464" i="2"/>
  <c r="M464" i="2"/>
  <c r="L464" i="2"/>
  <c r="V464" i="2" s="1"/>
  <c r="U463" i="2"/>
  <c r="S463" i="2"/>
  <c r="T463" i="2" s="1"/>
  <c r="Q463" i="2"/>
  <c r="P463" i="2"/>
  <c r="R463" i="2" s="1"/>
  <c r="O463" i="2"/>
  <c r="N463" i="2"/>
  <c r="M463" i="2"/>
  <c r="L463" i="2"/>
  <c r="V463" i="2" s="1"/>
  <c r="U462" i="2"/>
  <c r="S462" i="2"/>
  <c r="T462" i="2" s="1"/>
  <c r="P462" i="2"/>
  <c r="R462" i="2" s="1"/>
  <c r="O462" i="2"/>
  <c r="N462" i="2"/>
  <c r="M462" i="2"/>
  <c r="L462" i="2"/>
  <c r="V462" i="2" s="1"/>
  <c r="U461" i="2"/>
  <c r="S461" i="2"/>
  <c r="T461" i="2" s="1"/>
  <c r="Q461" i="2"/>
  <c r="P461" i="2"/>
  <c r="R461" i="2" s="1"/>
  <c r="O461" i="2"/>
  <c r="N461" i="2"/>
  <c r="M461" i="2"/>
  <c r="L461" i="2"/>
  <c r="V461" i="2" s="1"/>
  <c r="U460" i="2"/>
  <c r="S460" i="2"/>
  <c r="T460" i="2" s="1"/>
  <c r="Q460" i="2"/>
  <c r="P460" i="2"/>
  <c r="R460" i="2" s="1"/>
  <c r="O460" i="2"/>
  <c r="N460" i="2"/>
  <c r="M460" i="2"/>
  <c r="L460" i="2"/>
  <c r="V460" i="2" s="1"/>
  <c r="U459" i="2"/>
  <c r="S459" i="2"/>
  <c r="T459" i="2" s="1"/>
  <c r="Q459" i="2"/>
  <c r="P459" i="2"/>
  <c r="R459" i="2" s="1"/>
  <c r="O459" i="2"/>
  <c r="N459" i="2"/>
  <c r="M459" i="2"/>
  <c r="L459" i="2"/>
  <c r="V459" i="2" s="1"/>
  <c r="U458" i="2"/>
  <c r="S458" i="2"/>
  <c r="T458" i="2" s="1"/>
  <c r="P458" i="2"/>
  <c r="R458" i="2" s="1"/>
  <c r="O458" i="2"/>
  <c r="N458" i="2"/>
  <c r="M458" i="2"/>
  <c r="L458" i="2"/>
  <c r="V458" i="2" s="1"/>
  <c r="U457" i="2"/>
  <c r="S457" i="2"/>
  <c r="T457" i="2" s="1"/>
  <c r="Q457" i="2"/>
  <c r="P457" i="2"/>
  <c r="R457" i="2" s="1"/>
  <c r="O457" i="2"/>
  <c r="N457" i="2"/>
  <c r="M457" i="2"/>
  <c r="L457" i="2"/>
  <c r="V457" i="2" s="1"/>
  <c r="U456" i="2"/>
  <c r="S456" i="2"/>
  <c r="T456" i="2" s="1"/>
  <c r="Q456" i="2"/>
  <c r="P456" i="2"/>
  <c r="R456" i="2" s="1"/>
  <c r="O456" i="2"/>
  <c r="N456" i="2"/>
  <c r="M456" i="2"/>
  <c r="L456" i="2"/>
  <c r="V456" i="2" s="1"/>
  <c r="U455" i="2"/>
  <c r="S455" i="2"/>
  <c r="T455" i="2" s="1"/>
  <c r="Q455" i="2"/>
  <c r="P455" i="2"/>
  <c r="R455" i="2" s="1"/>
  <c r="O455" i="2"/>
  <c r="N455" i="2"/>
  <c r="M455" i="2"/>
  <c r="L455" i="2"/>
  <c r="V455" i="2" s="1"/>
  <c r="U454" i="2"/>
  <c r="S454" i="2"/>
  <c r="T454" i="2" s="1"/>
  <c r="Q454" i="2"/>
  <c r="P454" i="2"/>
  <c r="R454" i="2" s="1"/>
  <c r="O454" i="2"/>
  <c r="N454" i="2"/>
  <c r="M454" i="2"/>
  <c r="L454" i="2"/>
  <c r="V454" i="2" s="1"/>
  <c r="U453" i="2"/>
  <c r="S453" i="2"/>
  <c r="T453" i="2" s="1"/>
  <c r="Q453" i="2"/>
  <c r="P453" i="2"/>
  <c r="R453" i="2" s="1"/>
  <c r="O453" i="2"/>
  <c r="N453" i="2"/>
  <c r="M453" i="2"/>
  <c r="L453" i="2"/>
  <c r="V453" i="2" s="1"/>
  <c r="U452" i="2"/>
  <c r="S452" i="2"/>
  <c r="T452" i="2" s="1"/>
  <c r="Q452" i="2"/>
  <c r="P452" i="2"/>
  <c r="R452" i="2" s="1"/>
  <c r="O452" i="2"/>
  <c r="N452" i="2"/>
  <c r="M452" i="2"/>
  <c r="L452" i="2"/>
  <c r="V452" i="2" s="1"/>
  <c r="U451" i="2"/>
  <c r="S451" i="2"/>
  <c r="T451" i="2" s="1"/>
  <c r="Q451" i="2"/>
  <c r="P451" i="2"/>
  <c r="R451" i="2" s="1"/>
  <c r="O451" i="2"/>
  <c r="N451" i="2"/>
  <c r="M451" i="2"/>
  <c r="L451" i="2"/>
  <c r="V451" i="2" s="1"/>
  <c r="U450" i="2"/>
  <c r="S450" i="2"/>
  <c r="T450" i="2" s="1"/>
  <c r="Q450" i="2"/>
  <c r="P450" i="2"/>
  <c r="R450" i="2" s="1"/>
  <c r="O450" i="2"/>
  <c r="N450" i="2"/>
  <c r="M450" i="2"/>
  <c r="L450" i="2"/>
  <c r="V450" i="2" s="1"/>
  <c r="U449" i="2"/>
  <c r="S449" i="2"/>
  <c r="T449" i="2" s="1"/>
  <c r="Q449" i="2"/>
  <c r="P449" i="2"/>
  <c r="R449" i="2" s="1"/>
  <c r="O449" i="2"/>
  <c r="N449" i="2"/>
  <c r="M449" i="2"/>
  <c r="L449" i="2"/>
  <c r="V449" i="2" s="1"/>
  <c r="U448" i="2"/>
  <c r="S448" i="2"/>
  <c r="T448" i="2" s="1"/>
  <c r="Q448" i="2"/>
  <c r="P448" i="2"/>
  <c r="R448" i="2" s="1"/>
  <c r="O448" i="2"/>
  <c r="N448" i="2"/>
  <c r="M448" i="2"/>
  <c r="L448" i="2"/>
  <c r="V448" i="2" s="1"/>
  <c r="U447" i="2"/>
  <c r="S447" i="2"/>
  <c r="T447" i="2" s="1"/>
  <c r="Q447" i="2"/>
  <c r="P447" i="2"/>
  <c r="R447" i="2" s="1"/>
  <c r="O447" i="2"/>
  <c r="N447" i="2"/>
  <c r="M447" i="2"/>
  <c r="L447" i="2"/>
  <c r="V447" i="2" s="1"/>
  <c r="U446" i="2"/>
  <c r="S446" i="2"/>
  <c r="T446" i="2" s="1"/>
  <c r="Q446" i="2"/>
  <c r="P446" i="2"/>
  <c r="R446" i="2" s="1"/>
  <c r="O446" i="2"/>
  <c r="N446" i="2"/>
  <c r="M446" i="2"/>
  <c r="L446" i="2"/>
  <c r="V446" i="2" s="1"/>
  <c r="U445" i="2"/>
  <c r="S445" i="2"/>
  <c r="T445" i="2" s="1"/>
  <c r="Q445" i="2"/>
  <c r="P445" i="2"/>
  <c r="R445" i="2" s="1"/>
  <c r="O445" i="2"/>
  <c r="N445" i="2"/>
  <c r="M445" i="2"/>
  <c r="L445" i="2"/>
  <c r="V445" i="2" s="1"/>
  <c r="U444" i="2"/>
  <c r="S444" i="2"/>
  <c r="T444" i="2" s="1"/>
  <c r="P444" i="2"/>
  <c r="R444" i="2" s="1"/>
  <c r="O444" i="2"/>
  <c r="N444" i="2"/>
  <c r="M444" i="2"/>
  <c r="L444" i="2"/>
  <c r="V444" i="2" s="1"/>
  <c r="U443" i="2"/>
  <c r="S443" i="2"/>
  <c r="T443" i="2" s="1"/>
  <c r="Q443" i="2"/>
  <c r="P443" i="2"/>
  <c r="R443" i="2" s="1"/>
  <c r="O443" i="2"/>
  <c r="N443" i="2"/>
  <c r="M443" i="2"/>
  <c r="L443" i="2"/>
  <c r="V443" i="2" s="1"/>
  <c r="U442" i="2"/>
  <c r="S442" i="2"/>
  <c r="T442" i="2" s="1"/>
  <c r="Q442" i="2"/>
  <c r="P442" i="2"/>
  <c r="R442" i="2" s="1"/>
  <c r="O442" i="2"/>
  <c r="N442" i="2"/>
  <c r="M442" i="2"/>
  <c r="L442" i="2"/>
  <c r="V442" i="2" s="1"/>
  <c r="U441" i="2"/>
  <c r="S441" i="2"/>
  <c r="T441" i="2" s="1"/>
  <c r="Q441" i="2"/>
  <c r="P441" i="2"/>
  <c r="R441" i="2" s="1"/>
  <c r="O441" i="2"/>
  <c r="N441" i="2"/>
  <c r="M441" i="2"/>
  <c r="L441" i="2"/>
  <c r="V441" i="2" s="1"/>
  <c r="U440" i="2"/>
  <c r="S440" i="2"/>
  <c r="T440" i="2" s="1"/>
  <c r="Q440" i="2"/>
  <c r="P440" i="2"/>
  <c r="R440" i="2" s="1"/>
  <c r="O440" i="2"/>
  <c r="N440" i="2"/>
  <c r="M440" i="2"/>
  <c r="L440" i="2"/>
  <c r="V440" i="2" s="1"/>
  <c r="U439" i="2"/>
  <c r="S439" i="2"/>
  <c r="T439" i="2" s="1"/>
  <c r="Q439" i="2"/>
  <c r="P439" i="2"/>
  <c r="R439" i="2" s="1"/>
  <c r="O439" i="2"/>
  <c r="N439" i="2"/>
  <c r="M439" i="2"/>
  <c r="L439" i="2"/>
  <c r="V439" i="2" s="1"/>
  <c r="U438" i="2"/>
  <c r="S438" i="2"/>
  <c r="T438" i="2" s="1"/>
  <c r="Q438" i="2"/>
  <c r="P438" i="2"/>
  <c r="R438" i="2" s="1"/>
  <c r="O438" i="2"/>
  <c r="N438" i="2"/>
  <c r="M438" i="2"/>
  <c r="L438" i="2"/>
  <c r="V438" i="2" s="1"/>
  <c r="U437" i="2"/>
  <c r="S437" i="2"/>
  <c r="T437" i="2" s="1"/>
  <c r="Q437" i="2"/>
  <c r="P437" i="2"/>
  <c r="R437" i="2" s="1"/>
  <c r="O437" i="2"/>
  <c r="N437" i="2"/>
  <c r="M437" i="2"/>
  <c r="L437" i="2"/>
  <c r="V437" i="2" s="1"/>
  <c r="U436" i="2"/>
  <c r="S436" i="2"/>
  <c r="T436" i="2" s="1"/>
  <c r="Q436" i="2"/>
  <c r="P436" i="2"/>
  <c r="R436" i="2" s="1"/>
  <c r="O436" i="2"/>
  <c r="N436" i="2"/>
  <c r="M436" i="2"/>
  <c r="L436" i="2"/>
  <c r="V436" i="2" s="1"/>
  <c r="U435" i="2"/>
  <c r="S435" i="2"/>
  <c r="T435" i="2" s="1"/>
  <c r="Q435" i="2"/>
  <c r="P435" i="2"/>
  <c r="R435" i="2" s="1"/>
  <c r="O435" i="2"/>
  <c r="N435" i="2"/>
  <c r="M435" i="2"/>
  <c r="L435" i="2"/>
  <c r="V435" i="2" s="1"/>
  <c r="U434" i="2"/>
  <c r="S434" i="2"/>
  <c r="T434" i="2" s="1"/>
  <c r="Q434" i="2"/>
  <c r="P434" i="2"/>
  <c r="R434" i="2" s="1"/>
  <c r="O434" i="2"/>
  <c r="N434" i="2"/>
  <c r="M434" i="2"/>
  <c r="L434" i="2"/>
  <c r="V434" i="2" s="1"/>
  <c r="U433" i="2"/>
  <c r="S433" i="2"/>
  <c r="T433" i="2" s="1"/>
  <c r="Q433" i="2"/>
  <c r="P433" i="2"/>
  <c r="R433" i="2" s="1"/>
  <c r="O433" i="2"/>
  <c r="N433" i="2"/>
  <c r="M433" i="2"/>
  <c r="L433" i="2"/>
  <c r="V433" i="2" s="1"/>
  <c r="U432" i="2"/>
  <c r="S432" i="2"/>
  <c r="T432" i="2" s="1"/>
  <c r="Q432" i="2"/>
  <c r="P432" i="2"/>
  <c r="R432" i="2" s="1"/>
  <c r="O432" i="2"/>
  <c r="N432" i="2"/>
  <c r="M432" i="2"/>
  <c r="L432" i="2"/>
  <c r="V432" i="2" s="1"/>
  <c r="U431" i="2"/>
  <c r="S431" i="2"/>
  <c r="T431" i="2" s="1"/>
  <c r="Q431" i="2"/>
  <c r="P431" i="2"/>
  <c r="R431" i="2" s="1"/>
  <c r="O431" i="2"/>
  <c r="N431" i="2"/>
  <c r="M431" i="2"/>
  <c r="L431" i="2"/>
  <c r="V431" i="2" s="1"/>
  <c r="U430" i="2"/>
  <c r="S430" i="2"/>
  <c r="T430" i="2" s="1"/>
  <c r="Q430" i="2"/>
  <c r="P430" i="2"/>
  <c r="R430" i="2" s="1"/>
  <c r="O430" i="2"/>
  <c r="N430" i="2"/>
  <c r="M430" i="2"/>
  <c r="L430" i="2"/>
  <c r="V430" i="2" s="1"/>
  <c r="U429" i="2"/>
  <c r="S429" i="2"/>
  <c r="T429" i="2" s="1"/>
  <c r="Q429" i="2"/>
  <c r="P429" i="2"/>
  <c r="R429" i="2" s="1"/>
  <c r="O429" i="2"/>
  <c r="N429" i="2"/>
  <c r="M429" i="2"/>
  <c r="L429" i="2"/>
  <c r="V429" i="2" s="1"/>
  <c r="U428" i="2"/>
  <c r="S428" i="2"/>
  <c r="T428" i="2" s="1"/>
  <c r="Q428" i="2"/>
  <c r="P428" i="2"/>
  <c r="R428" i="2" s="1"/>
  <c r="O428" i="2"/>
  <c r="N428" i="2"/>
  <c r="M428" i="2"/>
  <c r="L428" i="2"/>
  <c r="V428" i="2" s="1"/>
  <c r="U427" i="2"/>
  <c r="S427" i="2"/>
  <c r="T427" i="2" s="1"/>
  <c r="Q427" i="2"/>
  <c r="P427" i="2"/>
  <c r="R427" i="2" s="1"/>
  <c r="O427" i="2"/>
  <c r="N427" i="2"/>
  <c r="M427" i="2"/>
  <c r="L427" i="2"/>
  <c r="V427" i="2" s="1"/>
  <c r="U426" i="2"/>
  <c r="S426" i="2"/>
  <c r="T426" i="2" s="1"/>
  <c r="Q426" i="2"/>
  <c r="P426" i="2"/>
  <c r="R426" i="2" s="1"/>
  <c r="O426" i="2"/>
  <c r="N426" i="2"/>
  <c r="M426" i="2"/>
  <c r="L426" i="2"/>
  <c r="V426" i="2" s="1"/>
  <c r="U425" i="2"/>
  <c r="S425" i="2"/>
  <c r="T425" i="2" s="1"/>
  <c r="Q425" i="2"/>
  <c r="P425" i="2"/>
  <c r="R425" i="2" s="1"/>
  <c r="O425" i="2"/>
  <c r="N425" i="2"/>
  <c r="M425" i="2"/>
  <c r="L425" i="2"/>
  <c r="V425" i="2" s="1"/>
  <c r="U424" i="2"/>
  <c r="S424" i="2"/>
  <c r="T424" i="2" s="1"/>
  <c r="Q424" i="2"/>
  <c r="P424" i="2"/>
  <c r="R424" i="2" s="1"/>
  <c r="O424" i="2"/>
  <c r="N424" i="2"/>
  <c r="M424" i="2"/>
  <c r="L424" i="2"/>
  <c r="V424" i="2" s="1"/>
  <c r="U423" i="2"/>
  <c r="S423" i="2"/>
  <c r="T423" i="2" s="1"/>
  <c r="Q423" i="2"/>
  <c r="P423" i="2"/>
  <c r="R423" i="2" s="1"/>
  <c r="O423" i="2"/>
  <c r="N423" i="2"/>
  <c r="M423" i="2"/>
  <c r="L423" i="2"/>
  <c r="V423" i="2" s="1"/>
  <c r="U422" i="2"/>
  <c r="S422" i="2"/>
  <c r="T422" i="2" s="1"/>
  <c r="Q422" i="2"/>
  <c r="P422" i="2"/>
  <c r="R422" i="2" s="1"/>
  <c r="O422" i="2"/>
  <c r="N422" i="2"/>
  <c r="M422" i="2"/>
  <c r="L422" i="2"/>
  <c r="V422" i="2" s="1"/>
  <c r="U421" i="2"/>
  <c r="S421" i="2"/>
  <c r="T421" i="2" s="1"/>
  <c r="Q421" i="2"/>
  <c r="P421" i="2"/>
  <c r="R421" i="2" s="1"/>
  <c r="O421" i="2"/>
  <c r="N421" i="2"/>
  <c r="M421" i="2"/>
  <c r="L421" i="2"/>
  <c r="V421" i="2" s="1"/>
  <c r="U420" i="2"/>
  <c r="S420" i="2"/>
  <c r="T420" i="2" s="1"/>
  <c r="Q420" i="2"/>
  <c r="P420" i="2"/>
  <c r="R420" i="2" s="1"/>
  <c r="O420" i="2"/>
  <c r="N420" i="2"/>
  <c r="M420" i="2"/>
  <c r="L420" i="2"/>
  <c r="V420" i="2" s="1"/>
  <c r="U419" i="2"/>
  <c r="S419" i="2"/>
  <c r="T419" i="2" s="1"/>
  <c r="Q419" i="2"/>
  <c r="P419" i="2"/>
  <c r="R419" i="2" s="1"/>
  <c r="O419" i="2"/>
  <c r="N419" i="2"/>
  <c r="M419" i="2"/>
  <c r="L419" i="2"/>
  <c r="V419" i="2" s="1"/>
  <c r="U418" i="2"/>
  <c r="S418" i="2"/>
  <c r="T418" i="2" s="1"/>
  <c r="Q418" i="2"/>
  <c r="P418" i="2"/>
  <c r="R418" i="2" s="1"/>
  <c r="O418" i="2"/>
  <c r="N418" i="2"/>
  <c r="M418" i="2"/>
  <c r="L418" i="2"/>
  <c r="V418" i="2" s="1"/>
  <c r="U417" i="2"/>
  <c r="S417" i="2"/>
  <c r="T417" i="2" s="1"/>
  <c r="Q417" i="2"/>
  <c r="P417" i="2"/>
  <c r="R417" i="2" s="1"/>
  <c r="O417" i="2"/>
  <c r="N417" i="2"/>
  <c r="M417" i="2"/>
  <c r="L417" i="2"/>
  <c r="V417" i="2" s="1"/>
  <c r="U416" i="2"/>
  <c r="S416" i="2"/>
  <c r="T416" i="2" s="1"/>
  <c r="Q416" i="2"/>
  <c r="P416" i="2"/>
  <c r="R416" i="2" s="1"/>
  <c r="O416" i="2"/>
  <c r="N416" i="2"/>
  <c r="M416" i="2"/>
  <c r="L416" i="2"/>
  <c r="V416" i="2" s="1"/>
  <c r="U415" i="2"/>
  <c r="S415" i="2"/>
  <c r="T415" i="2" s="1"/>
  <c r="Q415" i="2"/>
  <c r="P415" i="2"/>
  <c r="R415" i="2" s="1"/>
  <c r="O415" i="2"/>
  <c r="N415" i="2"/>
  <c r="M415" i="2"/>
  <c r="L415" i="2"/>
  <c r="V415" i="2" s="1"/>
  <c r="U414" i="2"/>
  <c r="S414" i="2"/>
  <c r="T414" i="2" s="1"/>
  <c r="Q414" i="2"/>
  <c r="P414" i="2"/>
  <c r="R414" i="2" s="1"/>
  <c r="O414" i="2"/>
  <c r="N414" i="2"/>
  <c r="M414" i="2"/>
  <c r="L414" i="2"/>
  <c r="V414" i="2" s="1"/>
  <c r="U413" i="2"/>
  <c r="S413" i="2"/>
  <c r="T413" i="2" s="1"/>
  <c r="Q413" i="2"/>
  <c r="P413" i="2"/>
  <c r="R413" i="2" s="1"/>
  <c r="O413" i="2"/>
  <c r="N413" i="2"/>
  <c r="M413" i="2"/>
  <c r="L413" i="2"/>
  <c r="V413" i="2" s="1"/>
  <c r="U412" i="2"/>
  <c r="S412" i="2"/>
  <c r="T412" i="2" s="1"/>
  <c r="Q412" i="2"/>
  <c r="P412" i="2"/>
  <c r="R412" i="2" s="1"/>
  <c r="O412" i="2"/>
  <c r="N412" i="2"/>
  <c r="M412" i="2"/>
  <c r="L412" i="2"/>
  <c r="V412" i="2" s="1"/>
  <c r="U411" i="2"/>
  <c r="S411" i="2"/>
  <c r="T411" i="2" s="1"/>
  <c r="Q411" i="2"/>
  <c r="P411" i="2"/>
  <c r="R411" i="2" s="1"/>
  <c r="O411" i="2"/>
  <c r="N411" i="2"/>
  <c r="M411" i="2"/>
  <c r="L411" i="2"/>
  <c r="V411" i="2" s="1"/>
  <c r="U410" i="2"/>
  <c r="S410" i="2"/>
  <c r="T410" i="2" s="1"/>
  <c r="P410" i="2"/>
  <c r="R410" i="2" s="1"/>
  <c r="O410" i="2"/>
  <c r="N410" i="2"/>
  <c r="M410" i="2"/>
  <c r="L410" i="2"/>
  <c r="V410" i="2" s="1"/>
  <c r="U409" i="2"/>
  <c r="S409" i="2"/>
  <c r="T409" i="2" s="1"/>
  <c r="Q409" i="2"/>
  <c r="P409" i="2"/>
  <c r="R409" i="2" s="1"/>
  <c r="O409" i="2"/>
  <c r="N409" i="2"/>
  <c r="M409" i="2"/>
  <c r="L409" i="2"/>
  <c r="V409" i="2" s="1"/>
  <c r="U408" i="2"/>
  <c r="S408" i="2"/>
  <c r="T408" i="2" s="1"/>
  <c r="Q408" i="2"/>
  <c r="P408" i="2"/>
  <c r="R408" i="2" s="1"/>
  <c r="O408" i="2"/>
  <c r="N408" i="2"/>
  <c r="M408" i="2"/>
  <c r="L408" i="2"/>
  <c r="V408" i="2" s="1"/>
  <c r="U407" i="2"/>
  <c r="S407" i="2"/>
  <c r="T407" i="2" s="1"/>
  <c r="P407" i="2"/>
  <c r="R407" i="2" s="1"/>
  <c r="O407" i="2"/>
  <c r="N407" i="2"/>
  <c r="M407" i="2"/>
  <c r="L407" i="2"/>
  <c r="V407" i="2" s="1"/>
  <c r="U406" i="2"/>
  <c r="S406" i="2"/>
  <c r="T406" i="2" s="1"/>
  <c r="Q406" i="2"/>
  <c r="P406" i="2"/>
  <c r="R406" i="2" s="1"/>
  <c r="O406" i="2"/>
  <c r="N406" i="2"/>
  <c r="M406" i="2"/>
  <c r="L406" i="2"/>
  <c r="V406" i="2" s="1"/>
  <c r="U405" i="2"/>
  <c r="S405" i="2"/>
  <c r="T405" i="2" s="1"/>
  <c r="Q405" i="2"/>
  <c r="P405" i="2"/>
  <c r="R405" i="2" s="1"/>
  <c r="O405" i="2"/>
  <c r="N405" i="2"/>
  <c r="M405" i="2"/>
  <c r="L405" i="2"/>
  <c r="V405" i="2" s="1"/>
  <c r="U404" i="2"/>
  <c r="S404" i="2"/>
  <c r="T404" i="2" s="1"/>
  <c r="P404" i="2"/>
  <c r="R404" i="2" s="1"/>
  <c r="O404" i="2"/>
  <c r="N404" i="2"/>
  <c r="M404" i="2"/>
  <c r="L404" i="2"/>
  <c r="V404" i="2" s="1"/>
  <c r="U403" i="2"/>
  <c r="S403" i="2"/>
  <c r="T403" i="2" s="1"/>
  <c r="Q403" i="2"/>
  <c r="P403" i="2"/>
  <c r="R403" i="2" s="1"/>
  <c r="O403" i="2"/>
  <c r="N403" i="2"/>
  <c r="M403" i="2"/>
  <c r="L403" i="2"/>
  <c r="V403" i="2" s="1"/>
  <c r="U402" i="2"/>
  <c r="S402" i="2"/>
  <c r="T402" i="2" s="1"/>
  <c r="Q402" i="2"/>
  <c r="P402" i="2"/>
  <c r="R402" i="2" s="1"/>
  <c r="O402" i="2"/>
  <c r="N402" i="2"/>
  <c r="M402" i="2"/>
  <c r="L402" i="2"/>
  <c r="V402" i="2" s="1"/>
  <c r="U401" i="2"/>
  <c r="S401" i="2"/>
  <c r="T401" i="2" s="1"/>
  <c r="Q401" i="2"/>
  <c r="P401" i="2"/>
  <c r="R401" i="2" s="1"/>
  <c r="O401" i="2"/>
  <c r="N401" i="2"/>
  <c r="M401" i="2"/>
  <c r="L401" i="2"/>
  <c r="V401" i="2" s="1"/>
  <c r="U400" i="2"/>
  <c r="S400" i="2"/>
  <c r="T400" i="2" s="1"/>
  <c r="Q400" i="2"/>
  <c r="P400" i="2"/>
  <c r="R400" i="2" s="1"/>
  <c r="O400" i="2"/>
  <c r="N400" i="2"/>
  <c r="M400" i="2"/>
  <c r="L400" i="2"/>
  <c r="V400" i="2" s="1"/>
  <c r="U399" i="2"/>
  <c r="S399" i="2"/>
  <c r="T399" i="2" s="1"/>
  <c r="Q399" i="2"/>
  <c r="P399" i="2"/>
  <c r="R399" i="2" s="1"/>
  <c r="O399" i="2"/>
  <c r="N399" i="2"/>
  <c r="M399" i="2"/>
  <c r="L399" i="2"/>
  <c r="V399" i="2" s="1"/>
  <c r="U398" i="2"/>
  <c r="S398" i="2"/>
  <c r="T398" i="2" s="1"/>
  <c r="Q398" i="2"/>
  <c r="P398" i="2"/>
  <c r="R398" i="2" s="1"/>
  <c r="O398" i="2"/>
  <c r="N398" i="2"/>
  <c r="M398" i="2"/>
  <c r="L398" i="2"/>
  <c r="V398" i="2" s="1"/>
  <c r="U397" i="2"/>
  <c r="S397" i="2"/>
  <c r="T397" i="2" s="1"/>
  <c r="Q397" i="2"/>
  <c r="P397" i="2"/>
  <c r="R397" i="2" s="1"/>
  <c r="O397" i="2"/>
  <c r="N397" i="2"/>
  <c r="M397" i="2"/>
  <c r="L397" i="2"/>
  <c r="V397" i="2" s="1"/>
  <c r="U396" i="2"/>
  <c r="S396" i="2"/>
  <c r="T396" i="2" s="1"/>
  <c r="Q396" i="2"/>
  <c r="P396" i="2"/>
  <c r="R396" i="2" s="1"/>
  <c r="O396" i="2"/>
  <c r="N396" i="2"/>
  <c r="M396" i="2"/>
  <c r="L396" i="2"/>
  <c r="V396" i="2" s="1"/>
  <c r="U395" i="2"/>
  <c r="S395" i="2"/>
  <c r="T395" i="2" s="1"/>
  <c r="P395" i="2"/>
  <c r="R395" i="2" s="1"/>
  <c r="O395" i="2"/>
  <c r="N395" i="2"/>
  <c r="M395" i="2"/>
  <c r="L395" i="2"/>
  <c r="V395" i="2" s="1"/>
  <c r="U394" i="2"/>
  <c r="S394" i="2"/>
  <c r="T394" i="2" s="1"/>
  <c r="Q394" i="2"/>
  <c r="P394" i="2"/>
  <c r="R394" i="2" s="1"/>
  <c r="O394" i="2"/>
  <c r="N394" i="2"/>
  <c r="M394" i="2"/>
  <c r="L394" i="2"/>
  <c r="V394" i="2" s="1"/>
  <c r="U393" i="2"/>
  <c r="S393" i="2"/>
  <c r="T393" i="2" s="1"/>
  <c r="Q393" i="2"/>
  <c r="P393" i="2"/>
  <c r="R393" i="2" s="1"/>
  <c r="O393" i="2"/>
  <c r="N393" i="2"/>
  <c r="M393" i="2"/>
  <c r="L393" i="2"/>
  <c r="V393" i="2" s="1"/>
  <c r="U392" i="2"/>
  <c r="S392" i="2"/>
  <c r="T392" i="2" s="1"/>
  <c r="Q392" i="2"/>
  <c r="P392" i="2"/>
  <c r="R392" i="2" s="1"/>
  <c r="O392" i="2"/>
  <c r="N392" i="2"/>
  <c r="M392" i="2"/>
  <c r="L392" i="2"/>
  <c r="V392" i="2" s="1"/>
  <c r="U391" i="2"/>
  <c r="S391" i="2"/>
  <c r="T391" i="2" s="1"/>
  <c r="Q391" i="2"/>
  <c r="P391" i="2"/>
  <c r="R391" i="2" s="1"/>
  <c r="O391" i="2"/>
  <c r="N391" i="2"/>
  <c r="M391" i="2"/>
  <c r="L391" i="2"/>
  <c r="V391" i="2" s="1"/>
  <c r="U390" i="2"/>
  <c r="S390" i="2"/>
  <c r="T390" i="2" s="1"/>
  <c r="Q390" i="2"/>
  <c r="P390" i="2"/>
  <c r="R390" i="2" s="1"/>
  <c r="O390" i="2"/>
  <c r="N390" i="2"/>
  <c r="M390" i="2"/>
  <c r="L390" i="2"/>
  <c r="V390" i="2" s="1"/>
  <c r="U389" i="2"/>
  <c r="S389" i="2"/>
  <c r="T389" i="2" s="1"/>
  <c r="Q389" i="2"/>
  <c r="P389" i="2"/>
  <c r="R389" i="2" s="1"/>
  <c r="O389" i="2"/>
  <c r="N389" i="2"/>
  <c r="M389" i="2"/>
  <c r="L389" i="2"/>
  <c r="V389" i="2" s="1"/>
  <c r="U388" i="2"/>
  <c r="S388" i="2"/>
  <c r="T388" i="2" s="1"/>
  <c r="Q388" i="2"/>
  <c r="P388" i="2"/>
  <c r="R388" i="2" s="1"/>
  <c r="O388" i="2"/>
  <c r="N388" i="2"/>
  <c r="M388" i="2"/>
  <c r="L388" i="2"/>
  <c r="V388" i="2" s="1"/>
  <c r="U387" i="2"/>
  <c r="S387" i="2"/>
  <c r="T387" i="2" s="1"/>
  <c r="Q387" i="2"/>
  <c r="P387" i="2"/>
  <c r="R387" i="2" s="1"/>
  <c r="O387" i="2"/>
  <c r="N387" i="2"/>
  <c r="M387" i="2"/>
  <c r="L387" i="2"/>
  <c r="V387" i="2" s="1"/>
  <c r="U386" i="2"/>
  <c r="S386" i="2"/>
  <c r="T386" i="2" s="1"/>
  <c r="Q386" i="2"/>
  <c r="P386" i="2"/>
  <c r="R386" i="2" s="1"/>
  <c r="O386" i="2"/>
  <c r="N386" i="2"/>
  <c r="M386" i="2"/>
  <c r="L386" i="2"/>
  <c r="V386" i="2" s="1"/>
  <c r="U385" i="2"/>
  <c r="S385" i="2"/>
  <c r="T385" i="2" s="1"/>
  <c r="Q385" i="2"/>
  <c r="P385" i="2"/>
  <c r="R385" i="2" s="1"/>
  <c r="O385" i="2"/>
  <c r="N385" i="2"/>
  <c r="M385" i="2"/>
  <c r="L385" i="2"/>
  <c r="V385" i="2" s="1"/>
  <c r="U384" i="2"/>
  <c r="S384" i="2"/>
  <c r="T384" i="2" s="1"/>
  <c r="Q384" i="2"/>
  <c r="P384" i="2"/>
  <c r="R384" i="2" s="1"/>
  <c r="O384" i="2"/>
  <c r="N384" i="2"/>
  <c r="M384" i="2"/>
  <c r="L384" i="2"/>
  <c r="V384" i="2" s="1"/>
  <c r="U383" i="2"/>
  <c r="S383" i="2"/>
  <c r="T383" i="2" s="1"/>
  <c r="Q383" i="2"/>
  <c r="P383" i="2"/>
  <c r="R383" i="2" s="1"/>
  <c r="O383" i="2"/>
  <c r="N383" i="2"/>
  <c r="M383" i="2"/>
  <c r="L383" i="2"/>
  <c r="V383" i="2" s="1"/>
  <c r="U382" i="2"/>
  <c r="S382" i="2"/>
  <c r="T382" i="2" s="1"/>
  <c r="Q382" i="2"/>
  <c r="P382" i="2"/>
  <c r="R382" i="2" s="1"/>
  <c r="O382" i="2"/>
  <c r="N382" i="2"/>
  <c r="M382" i="2"/>
  <c r="L382" i="2"/>
  <c r="V382" i="2" s="1"/>
  <c r="U381" i="2"/>
  <c r="S381" i="2"/>
  <c r="T381" i="2" s="1"/>
  <c r="Q381" i="2"/>
  <c r="P381" i="2"/>
  <c r="R381" i="2" s="1"/>
  <c r="O381" i="2"/>
  <c r="N381" i="2"/>
  <c r="M381" i="2"/>
  <c r="L381" i="2"/>
  <c r="V381" i="2" s="1"/>
  <c r="U380" i="2"/>
  <c r="S380" i="2"/>
  <c r="T380" i="2" s="1"/>
  <c r="Q380" i="2"/>
  <c r="P380" i="2"/>
  <c r="R380" i="2" s="1"/>
  <c r="O380" i="2"/>
  <c r="N380" i="2"/>
  <c r="M380" i="2"/>
  <c r="L380" i="2"/>
  <c r="V380" i="2" s="1"/>
  <c r="U379" i="2"/>
  <c r="S379" i="2"/>
  <c r="T379" i="2" s="1"/>
  <c r="Q379" i="2"/>
  <c r="P379" i="2"/>
  <c r="R379" i="2" s="1"/>
  <c r="O379" i="2"/>
  <c r="N379" i="2"/>
  <c r="M379" i="2"/>
  <c r="L379" i="2"/>
  <c r="V379" i="2" s="1"/>
  <c r="U378" i="2"/>
  <c r="S378" i="2"/>
  <c r="T378" i="2" s="1"/>
  <c r="Q378" i="2"/>
  <c r="P378" i="2"/>
  <c r="R378" i="2" s="1"/>
  <c r="O378" i="2"/>
  <c r="N378" i="2"/>
  <c r="M378" i="2"/>
  <c r="L378" i="2"/>
  <c r="V378" i="2" s="1"/>
  <c r="U377" i="2"/>
  <c r="S377" i="2"/>
  <c r="T377" i="2" s="1"/>
  <c r="Q377" i="2"/>
  <c r="P377" i="2"/>
  <c r="R377" i="2" s="1"/>
  <c r="O377" i="2"/>
  <c r="N377" i="2"/>
  <c r="M377" i="2"/>
  <c r="L377" i="2"/>
  <c r="V377" i="2" s="1"/>
  <c r="U376" i="2"/>
  <c r="S376" i="2"/>
  <c r="T376" i="2" s="1"/>
  <c r="Q376" i="2"/>
  <c r="P376" i="2"/>
  <c r="R376" i="2" s="1"/>
  <c r="O376" i="2"/>
  <c r="N376" i="2"/>
  <c r="M376" i="2"/>
  <c r="L376" i="2"/>
  <c r="V376" i="2" s="1"/>
  <c r="U375" i="2"/>
  <c r="S375" i="2"/>
  <c r="T375" i="2" s="1"/>
  <c r="Q375" i="2"/>
  <c r="P375" i="2"/>
  <c r="R375" i="2" s="1"/>
  <c r="O375" i="2"/>
  <c r="N375" i="2"/>
  <c r="M375" i="2"/>
  <c r="L375" i="2"/>
  <c r="V375" i="2" s="1"/>
  <c r="U374" i="2"/>
  <c r="S374" i="2"/>
  <c r="T374" i="2" s="1"/>
  <c r="Q374" i="2"/>
  <c r="P374" i="2"/>
  <c r="R374" i="2" s="1"/>
  <c r="O374" i="2"/>
  <c r="N374" i="2"/>
  <c r="M374" i="2"/>
  <c r="L374" i="2"/>
  <c r="V374" i="2" s="1"/>
  <c r="U373" i="2"/>
  <c r="S373" i="2"/>
  <c r="T373" i="2" s="1"/>
  <c r="Q373" i="2"/>
  <c r="P373" i="2"/>
  <c r="R373" i="2" s="1"/>
  <c r="O373" i="2"/>
  <c r="N373" i="2"/>
  <c r="M373" i="2"/>
  <c r="L373" i="2"/>
  <c r="V373" i="2" s="1"/>
  <c r="U372" i="2"/>
  <c r="S372" i="2"/>
  <c r="T372" i="2" s="1"/>
  <c r="Q372" i="2"/>
  <c r="P372" i="2"/>
  <c r="R372" i="2" s="1"/>
  <c r="O372" i="2"/>
  <c r="N372" i="2"/>
  <c r="M372" i="2"/>
  <c r="L372" i="2"/>
  <c r="V372" i="2" s="1"/>
  <c r="U371" i="2"/>
  <c r="S371" i="2"/>
  <c r="T371" i="2" s="1"/>
  <c r="Q371" i="2"/>
  <c r="P371" i="2"/>
  <c r="R371" i="2" s="1"/>
  <c r="O371" i="2"/>
  <c r="N371" i="2"/>
  <c r="M371" i="2"/>
  <c r="L371" i="2"/>
  <c r="V371" i="2" s="1"/>
  <c r="U370" i="2"/>
  <c r="S370" i="2"/>
  <c r="T370" i="2" s="1"/>
  <c r="Q370" i="2"/>
  <c r="P370" i="2"/>
  <c r="R370" i="2" s="1"/>
  <c r="O370" i="2"/>
  <c r="N370" i="2"/>
  <c r="M370" i="2"/>
  <c r="L370" i="2"/>
  <c r="V370" i="2" s="1"/>
  <c r="U369" i="2"/>
  <c r="S369" i="2"/>
  <c r="T369" i="2" s="1"/>
  <c r="Q369" i="2"/>
  <c r="P369" i="2"/>
  <c r="R369" i="2" s="1"/>
  <c r="O369" i="2"/>
  <c r="N369" i="2"/>
  <c r="M369" i="2"/>
  <c r="L369" i="2"/>
  <c r="V369" i="2" s="1"/>
  <c r="U368" i="2"/>
  <c r="S368" i="2"/>
  <c r="T368" i="2" s="1"/>
  <c r="Q368" i="2"/>
  <c r="P368" i="2"/>
  <c r="R368" i="2" s="1"/>
  <c r="O368" i="2"/>
  <c r="N368" i="2"/>
  <c r="M368" i="2"/>
  <c r="L368" i="2"/>
  <c r="V368" i="2" s="1"/>
  <c r="U367" i="2"/>
  <c r="S367" i="2"/>
  <c r="T367" i="2" s="1"/>
  <c r="Q367" i="2"/>
  <c r="P367" i="2"/>
  <c r="R367" i="2" s="1"/>
  <c r="O367" i="2"/>
  <c r="N367" i="2"/>
  <c r="M367" i="2"/>
  <c r="L367" i="2"/>
  <c r="V367" i="2" s="1"/>
  <c r="U366" i="2"/>
  <c r="S366" i="2"/>
  <c r="T366" i="2" s="1"/>
  <c r="Q366" i="2"/>
  <c r="P366" i="2"/>
  <c r="R366" i="2" s="1"/>
  <c r="O366" i="2"/>
  <c r="N366" i="2"/>
  <c r="M366" i="2"/>
  <c r="L366" i="2"/>
  <c r="V366" i="2" s="1"/>
  <c r="U365" i="2"/>
  <c r="S365" i="2"/>
  <c r="T365" i="2" s="1"/>
  <c r="Q365" i="2"/>
  <c r="P365" i="2"/>
  <c r="R365" i="2" s="1"/>
  <c r="O365" i="2"/>
  <c r="N365" i="2"/>
  <c r="M365" i="2"/>
  <c r="L365" i="2"/>
  <c r="V365" i="2" s="1"/>
  <c r="U364" i="2"/>
  <c r="S364" i="2"/>
  <c r="T364" i="2" s="1"/>
  <c r="Q364" i="2"/>
  <c r="P364" i="2"/>
  <c r="R364" i="2" s="1"/>
  <c r="O364" i="2"/>
  <c r="N364" i="2"/>
  <c r="M364" i="2"/>
  <c r="L364" i="2"/>
  <c r="V364" i="2" s="1"/>
  <c r="U363" i="2"/>
  <c r="S363" i="2"/>
  <c r="T363" i="2" s="1"/>
  <c r="Q363" i="2"/>
  <c r="P363" i="2"/>
  <c r="R363" i="2" s="1"/>
  <c r="O363" i="2"/>
  <c r="N363" i="2"/>
  <c r="M363" i="2"/>
  <c r="L363" i="2"/>
  <c r="V363" i="2" s="1"/>
  <c r="U362" i="2"/>
  <c r="S362" i="2"/>
  <c r="T362" i="2" s="1"/>
  <c r="Q362" i="2"/>
  <c r="P362" i="2"/>
  <c r="R362" i="2" s="1"/>
  <c r="O362" i="2"/>
  <c r="N362" i="2"/>
  <c r="M362" i="2"/>
  <c r="L362" i="2"/>
  <c r="V362" i="2" s="1"/>
  <c r="U361" i="2"/>
  <c r="S361" i="2"/>
  <c r="T361" i="2" s="1"/>
  <c r="Q361" i="2"/>
  <c r="P361" i="2"/>
  <c r="R361" i="2" s="1"/>
  <c r="O361" i="2"/>
  <c r="N361" i="2"/>
  <c r="M361" i="2"/>
  <c r="L361" i="2"/>
  <c r="V361" i="2" s="1"/>
  <c r="U360" i="2"/>
  <c r="S360" i="2"/>
  <c r="T360" i="2" s="1"/>
  <c r="Q360" i="2"/>
  <c r="P360" i="2"/>
  <c r="R360" i="2" s="1"/>
  <c r="O360" i="2"/>
  <c r="N360" i="2"/>
  <c r="M360" i="2"/>
  <c r="L360" i="2"/>
  <c r="V360" i="2" s="1"/>
  <c r="U359" i="2"/>
  <c r="S359" i="2"/>
  <c r="T359" i="2" s="1"/>
  <c r="Q359" i="2"/>
  <c r="P359" i="2"/>
  <c r="R359" i="2" s="1"/>
  <c r="O359" i="2"/>
  <c r="N359" i="2"/>
  <c r="M359" i="2"/>
  <c r="L359" i="2"/>
  <c r="V359" i="2" s="1"/>
  <c r="U358" i="2"/>
  <c r="S358" i="2"/>
  <c r="T358" i="2" s="1"/>
  <c r="Q358" i="2"/>
  <c r="P358" i="2"/>
  <c r="R358" i="2" s="1"/>
  <c r="O358" i="2"/>
  <c r="N358" i="2"/>
  <c r="M358" i="2"/>
  <c r="L358" i="2"/>
  <c r="V358" i="2" s="1"/>
  <c r="U357" i="2"/>
  <c r="S357" i="2"/>
  <c r="T357" i="2" s="1"/>
  <c r="Q357" i="2"/>
  <c r="P357" i="2"/>
  <c r="R357" i="2" s="1"/>
  <c r="O357" i="2"/>
  <c r="N357" i="2"/>
  <c r="M357" i="2"/>
  <c r="L357" i="2"/>
  <c r="V357" i="2" s="1"/>
  <c r="U356" i="2"/>
  <c r="S356" i="2"/>
  <c r="T356" i="2" s="1"/>
  <c r="Q356" i="2"/>
  <c r="P356" i="2"/>
  <c r="R356" i="2" s="1"/>
  <c r="O356" i="2"/>
  <c r="N356" i="2"/>
  <c r="M356" i="2"/>
  <c r="L356" i="2"/>
  <c r="V356" i="2" s="1"/>
  <c r="U355" i="2"/>
  <c r="S355" i="2"/>
  <c r="T355" i="2" s="1"/>
  <c r="Q355" i="2"/>
  <c r="P355" i="2"/>
  <c r="R355" i="2" s="1"/>
  <c r="O355" i="2"/>
  <c r="N355" i="2"/>
  <c r="M355" i="2"/>
  <c r="L355" i="2"/>
  <c r="V355" i="2" s="1"/>
  <c r="U354" i="2"/>
  <c r="S354" i="2"/>
  <c r="T354" i="2" s="1"/>
  <c r="Q354" i="2"/>
  <c r="P354" i="2"/>
  <c r="R354" i="2" s="1"/>
  <c r="O354" i="2"/>
  <c r="N354" i="2"/>
  <c r="M354" i="2"/>
  <c r="L354" i="2"/>
  <c r="V354" i="2" s="1"/>
  <c r="U353" i="2"/>
  <c r="S353" i="2"/>
  <c r="T353" i="2" s="1"/>
  <c r="Q353" i="2"/>
  <c r="P353" i="2"/>
  <c r="R353" i="2" s="1"/>
  <c r="O353" i="2"/>
  <c r="N353" i="2"/>
  <c r="M353" i="2"/>
  <c r="L353" i="2"/>
  <c r="V353" i="2" s="1"/>
  <c r="U352" i="2"/>
  <c r="S352" i="2"/>
  <c r="T352" i="2" s="1"/>
  <c r="Q352" i="2"/>
  <c r="P352" i="2"/>
  <c r="R352" i="2" s="1"/>
  <c r="O352" i="2"/>
  <c r="N352" i="2"/>
  <c r="M352" i="2"/>
  <c r="L352" i="2"/>
  <c r="V352" i="2" s="1"/>
  <c r="U351" i="2"/>
  <c r="S351" i="2"/>
  <c r="T351" i="2" s="1"/>
  <c r="Q351" i="2"/>
  <c r="P351" i="2"/>
  <c r="R351" i="2" s="1"/>
  <c r="O351" i="2"/>
  <c r="N351" i="2"/>
  <c r="M351" i="2"/>
  <c r="L351" i="2"/>
  <c r="V351" i="2" s="1"/>
  <c r="U350" i="2"/>
  <c r="S350" i="2"/>
  <c r="T350" i="2" s="1"/>
  <c r="Q350" i="2"/>
  <c r="P350" i="2"/>
  <c r="R350" i="2" s="1"/>
  <c r="O350" i="2"/>
  <c r="N350" i="2"/>
  <c r="M350" i="2"/>
  <c r="L350" i="2"/>
  <c r="V350" i="2" s="1"/>
  <c r="U349" i="2"/>
  <c r="S349" i="2"/>
  <c r="T349" i="2" s="1"/>
  <c r="Q349" i="2"/>
  <c r="P349" i="2"/>
  <c r="R349" i="2" s="1"/>
  <c r="O349" i="2"/>
  <c r="N349" i="2"/>
  <c r="M349" i="2"/>
  <c r="L349" i="2"/>
  <c r="V349" i="2" s="1"/>
  <c r="U348" i="2"/>
  <c r="S348" i="2"/>
  <c r="T348" i="2" s="1"/>
  <c r="Q348" i="2"/>
  <c r="P348" i="2"/>
  <c r="R348" i="2" s="1"/>
  <c r="O348" i="2"/>
  <c r="N348" i="2"/>
  <c r="M348" i="2"/>
  <c r="L348" i="2"/>
  <c r="V348" i="2" s="1"/>
  <c r="U347" i="2"/>
  <c r="S347" i="2"/>
  <c r="T347" i="2" s="1"/>
  <c r="Q347" i="2"/>
  <c r="P347" i="2"/>
  <c r="R347" i="2" s="1"/>
  <c r="O347" i="2"/>
  <c r="N347" i="2"/>
  <c r="M347" i="2"/>
  <c r="L347" i="2"/>
  <c r="V347" i="2" s="1"/>
  <c r="U346" i="2"/>
  <c r="S346" i="2"/>
  <c r="T346" i="2" s="1"/>
  <c r="Q346" i="2"/>
  <c r="P346" i="2"/>
  <c r="R346" i="2" s="1"/>
  <c r="O346" i="2"/>
  <c r="N346" i="2"/>
  <c r="M346" i="2"/>
  <c r="L346" i="2"/>
  <c r="V346" i="2" s="1"/>
  <c r="U345" i="2"/>
  <c r="S345" i="2"/>
  <c r="T345" i="2" s="1"/>
  <c r="Q345" i="2"/>
  <c r="P345" i="2"/>
  <c r="R345" i="2" s="1"/>
  <c r="O345" i="2"/>
  <c r="N345" i="2"/>
  <c r="M345" i="2"/>
  <c r="L345" i="2"/>
  <c r="V345" i="2" s="1"/>
  <c r="U344" i="2"/>
  <c r="S344" i="2"/>
  <c r="T344" i="2" s="1"/>
  <c r="Q344" i="2"/>
  <c r="P344" i="2"/>
  <c r="R344" i="2" s="1"/>
  <c r="O344" i="2"/>
  <c r="N344" i="2"/>
  <c r="M344" i="2"/>
  <c r="L344" i="2"/>
  <c r="V344" i="2" s="1"/>
  <c r="U343" i="2"/>
  <c r="S343" i="2"/>
  <c r="T343" i="2" s="1"/>
  <c r="Q343" i="2"/>
  <c r="P343" i="2"/>
  <c r="R343" i="2" s="1"/>
  <c r="O343" i="2"/>
  <c r="N343" i="2"/>
  <c r="M343" i="2"/>
  <c r="L343" i="2"/>
  <c r="V343" i="2" s="1"/>
  <c r="U342" i="2"/>
  <c r="S342" i="2"/>
  <c r="T342" i="2" s="1"/>
  <c r="Q342" i="2"/>
  <c r="P342" i="2"/>
  <c r="R342" i="2" s="1"/>
  <c r="O342" i="2"/>
  <c r="N342" i="2"/>
  <c r="M342" i="2"/>
  <c r="L342" i="2"/>
  <c r="V342" i="2" s="1"/>
  <c r="U341" i="2"/>
  <c r="S341" i="2"/>
  <c r="T341" i="2" s="1"/>
  <c r="P341" i="2"/>
  <c r="R341" i="2" s="1"/>
  <c r="O341" i="2"/>
  <c r="N341" i="2"/>
  <c r="M341" i="2"/>
  <c r="L341" i="2"/>
  <c r="V341" i="2" s="1"/>
  <c r="U340" i="2"/>
  <c r="S340" i="2"/>
  <c r="T340" i="2" s="1"/>
  <c r="Q340" i="2"/>
  <c r="P340" i="2"/>
  <c r="R340" i="2" s="1"/>
  <c r="O340" i="2"/>
  <c r="N340" i="2"/>
  <c r="M340" i="2"/>
  <c r="L340" i="2"/>
  <c r="V340" i="2" s="1"/>
  <c r="U339" i="2"/>
  <c r="S339" i="2"/>
  <c r="T339" i="2" s="1"/>
  <c r="Q339" i="2"/>
  <c r="P339" i="2"/>
  <c r="R339" i="2" s="1"/>
  <c r="O339" i="2"/>
  <c r="N339" i="2"/>
  <c r="M339" i="2"/>
  <c r="L339" i="2"/>
  <c r="V339" i="2" s="1"/>
  <c r="U338" i="2"/>
  <c r="S338" i="2"/>
  <c r="T338" i="2" s="1"/>
  <c r="Q338" i="2"/>
  <c r="P338" i="2"/>
  <c r="R338" i="2" s="1"/>
  <c r="O338" i="2"/>
  <c r="N338" i="2"/>
  <c r="M338" i="2"/>
  <c r="L338" i="2"/>
  <c r="V338" i="2" s="1"/>
  <c r="U337" i="2"/>
  <c r="S337" i="2"/>
  <c r="T337" i="2" s="1"/>
  <c r="Q337" i="2"/>
  <c r="P337" i="2"/>
  <c r="R337" i="2" s="1"/>
  <c r="O337" i="2"/>
  <c r="N337" i="2"/>
  <c r="M337" i="2"/>
  <c r="L337" i="2"/>
  <c r="V337" i="2" s="1"/>
  <c r="U336" i="2"/>
  <c r="S336" i="2"/>
  <c r="T336" i="2" s="1"/>
  <c r="Q336" i="2"/>
  <c r="P336" i="2"/>
  <c r="R336" i="2" s="1"/>
  <c r="O336" i="2"/>
  <c r="N336" i="2"/>
  <c r="M336" i="2"/>
  <c r="L336" i="2"/>
  <c r="V336" i="2" s="1"/>
  <c r="U335" i="2"/>
  <c r="S335" i="2"/>
  <c r="T335" i="2" s="1"/>
  <c r="P335" i="2"/>
  <c r="R335" i="2" s="1"/>
  <c r="O335" i="2"/>
  <c r="N335" i="2"/>
  <c r="M335" i="2"/>
  <c r="L335" i="2"/>
  <c r="V335" i="2" s="1"/>
  <c r="U334" i="2"/>
  <c r="S334" i="2"/>
  <c r="T334" i="2" s="1"/>
  <c r="Q334" i="2"/>
  <c r="P334" i="2"/>
  <c r="R334" i="2" s="1"/>
  <c r="O334" i="2"/>
  <c r="N334" i="2"/>
  <c r="M334" i="2"/>
  <c r="L334" i="2"/>
  <c r="V334" i="2" s="1"/>
  <c r="U333" i="2"/>
  <c r="S333" i="2"/>
  <c r="T333" i="2" s="1"/>
  <c r="Q333" i="2"/>
  <c r="P333" i="2"/>
  <c r="R333" i="2" s="1"/>
  <c r="O333" i="2"/>
  <c r="N333" i="2"/>
  <c r="M333" i="2"/>
  <c r="L333" i="2"/>
  <c r="V333" i="2" s="1"/>
  <c r="U332" i="2"/>
  <c r="S332" i="2"/>
  <c r="T332" i="2" s="1"/>
  <c r="Q332" i="2"/>
  <c r="P332" i="2"/>
  <c r="R332" i="2" s="1"/>
  <c r="O332" i="2"/>
  <c r="N332" i="2"/>
  <c r="M332" i="2"/>
  <c r="L332" i="2"/>
  <c r="V332" i="2" s="1"/>
  <c r="U331" i="2"/>
  <c r="S331" i="2"/>
  <c r="T331" i="2" s="1"/>
  <c r="Q331" i="2"/>
  <c r="P331" i="2"/>
  <c r="R331" i="2" s="1"/>
  <c r="O331" i="2"/>
  <c r="N331" i="2"/>
  <c r="M331" i="2"/>
  <c r="L331" i="2"/>
  <c r="V331" i="2" s="1"/>
  <c r="U330" i="2"/>
  <c r="S330" i="2"/>
  <c r="T330" i="2" s="1"/>
  <c r="Q330" i="2"/>
  <c r="P330" i="2"/>
  <c r="R330" i="2" s="1"/>
  <c r="O330" i="2"/>
  <c r="N330" i="2"/>
  <c r="M330" i="2"/>
  <c r="L330" i="2"/>
  <c r="V330" i="2" s="1"/>
  <c r="U329" i="2"/>
  <c r="S329" i="2"/>
  <c r="T329" i="2" s="1"/>
  <c r="Q329" i="2"/>
  <c r="P329" i="2"/>
  <c r="R329" i="2" s="1"/>
  <c r="O329" i="2"/>
  <c r="N329" i="2"/>
  <c r="M329" i="2"/>
  <c r="L329" i="2"/>
  <c r="V329" i="2" s="1"/>
  <c r="U328" i="2"/>
  <c r="S328" i="2"/>
  <c r="T328" i="2" s="1"/>
  <c r="Q328" i="2"/>
  <c r="P328" i="2"/>
  <c r="R328" i="2" s="1"/>
  <c r="O328" i="2"/>
  <c r="N328" i="2"/>
  <c r="M328" i="2"/>
  <c r="L328" i="2"/>
  <c r="V328" i="2" s="1"/>
  <c r="U327" i="2"/>
  <c r="S327" i="2"/>
  <c r="T327" i="2" s="1"/>
  <c r="Q327" i="2"/>
  <c r="P327" i="2"/>
  <c r="R327" i="2" s="1"/>
  <c r="O327" i="2"/>
  <c r="N327" i="2"/>
  <c r="M327" i="2"/>
  <c r="L327" i="2"/>
  <c r="V327" i="2" s="1"/>
  <c r="U326" i="2"/>
  <c r="S326" i="2"/>
  <c r="T326" i="2" s="1"/>
  <c r="Q326" i="2"/>
  <c r="P326" i="2"/>
  <c r="R326" i="2" s="1"/>
  <c r="O326" i="2"/>
  <c r="N326" i="2"/>
  <c r="M326" i="2"/>
  <c r="L326" i="2"/>
  <c r="V326" i="2" s="1"/>
  <c r="U325" i="2"/>
  <c r="S325" i="2"/>
  <c r="T325" i="2" s="1"/>
  <c r="Q325" i="2"/>
  <c r="P325" i="2"/>
  <c r="R325" i="2" s="1"/>
  <c r="O325" i="2"/>
  <c r="N325" i="2"/>
  <c r="M325" i="2"/>
  <c r="L325" i="2"/>
  <c r="V325" i="2" s="1"/>
  <c r="U324" i="2"/>
  <c r="S324" i="2"/>
  <c r="T324" i="2" s="1"/>
  <c r="Q324" i="2"/>
  <c r="P324" i="2"/>
  <c r="R324" i="2" s="1"/>
  <c r="O324" i="2"/>
  <c r="N324" i="2"/>
  <c r="M324" i="2"/>
  <c r="L324" i="2"/>
  <c r="V324" i="2" s="1"/>
  <c r="U323" i="2"/>
  <c r="S323" i="2"/>
  <c r="T323" i="2" s="1"/>
  <c r="Q323" i="2"/>
  <c r="P323" i="2"/>
  <c r="R323" i="2" s="1"/>
  <c r="O323" i="2"/>
  <c r="N323" i="2"/>
  <c r="M323" i="2"/>
  <c r="L323" i="2"/>
  <c r="V323" i="2" s="1"/>
  <c r="U322" i="2"/>
  <c r="S322" i="2"/>
  <c r="T322" i="2" s="1"/>
  <c r="Q322" i="2"/>
  <c r="P322" i="2"/>
  <c r="R322" i="2" s="1"/>
  <c r="O322" i="2"/>
  <c r="N322" i="2"/>
  <c r="M322" i="2"/>
  <c r="L322" i="2"/>
  <c r="V322" i="2" s="1"/>
  <c r="U321" i="2"/>
  <c r="S321" i="2"/>
  <c r="T321" i="2" s="1"/>
  <c r="Q321" i="2"/>
  <c r="P321" i="2"/>
  <c r="R321" i="2" s="1"/>
  <c r="O321" i="2"/>
  <c r="N321" i="2"/>
  <c r="M321" i="2"/>
  <c r="L321" i="2"/>
  <c r="V321" i="2" s="1"/>
  <c r="U320" i="2"/>
  <c r="S320" i="2"/>
  <c r="T320" i="2" s="1"/>
  <c r="Q320" i="2"/>
  <c r="P320" i="2"/>
  <c r="R320" i="2" s="1"/>
  <c r="O320" i="2"/>
  <c r="N320" i="2"/>
  <c r="M320" i="2"/>
  <c r="L320" i="2"/>
  <c r="V320" i="2" s="1"/>
  <c r="U319" i="2"/>
  <c r="S319" i="2"/>
  <c r="T319" i="2" s="1"/>
  <c r="Q319" i="2"/>
  <c r="P319" i="2"/>
  <c r="R319" i="2" s="1"/>
  <c r="O319" i="2"/>
  <c r="N319" i="2"/>
  <c r="M319" i="2"/>
  <c r="L319" i="2"/>
  <c r="V319" i="2" s="1"/>
  <c r="U318" i="2"/>
  <c r="S318" i="2"/>
  <c r="T318" i="2" s="1"/>
  <c r="Q318" i="2"/>
  <c r="P318" i="2"/>
  <c r="R318" i="2" s="1"/>
  <c r="O318" i="2"/>
  <c r="N318" i="2"/>
  <c r="M318" i="2"/>
  <c r="L318" i="2"/>
  <c r="V318" i="2" s="1"/>
  <c r="U317" i="2"/>
  <c r="S317" i="2"/>
  <c r="T317" i="2" s="1"/>
  <c r="Q317" i="2"/>
  <c r="P317" i="2"/>
  <c r="R317" i="2" s="1"/>
  <c r="O317" i="2"/>
  <c r="N317" i="2"/>
  <c r="M317" i="2"/>
  <c r="L317" i="2"/>
  <c r="V317" i="2" s="1"/>
  <c r="U316" i="2"/>
  <c r="S316" i="2"/>
  <c r="T316" i="2" s="1"/>
  <c r="Q316" i="2"/>
  <c r="P316" i="2"/>
  <c r="R316" i="2" s="1"/>
  <c r="O316" i="2"/>
  <c r="N316" i="2"/>
  <c r="M316" i="2"/>
  <c r="L316" i="2"/>
  <c r="V316" i="2" s="1"/>
  <c r="U315" i="2"/>
  <c r="S315" i="2"/>
  <c r="T315" i="2" s="1"/>
  <c r="Q315" i="2"/>
  <c r="P315" i="2"/>
  <c r="R315" i="2" s="1"/>
  <c r="O315" i="2"/>
  <c r="N315" i="2"/>
  <c r="M315" i="2"/>
  <c r="L315" i="2"/>
  <c r="V315" i="2" s="1"/>
  <c r="U314" i="2"/>
  <c r="S314" i="2"/>
  <c r="T314" i="2" s="1"/>
  <c r="Q314" i="2"/>
  <c r="P314" i="2"/>
  <c r="R314" i="2" s="1"/>
  <c r="O314" i="2"/>
  <c r="N314" i="2"/>
  <c r="M314" i="2"/>
  <c r="L314" i="2"/>
  <c r="V314" i="2" s="1"/>
  <c r="U313" i="2"/>
  <c r="S313" i="2"/>
  <c r="T313" i="2" s="1"/>
  <c r="Q313" i="2"/>
  <c r="P313" i="2"/>
  <c r="R313" i="2" s="1"/>
  <c r="O313" i="2"/>
  <c r="N313" i="2"/>
  <c r="M313" i="2"/>
  <c r="L313" i="2"/>
  <c r="V313" i="2" s="1"/>
  <c r="U312" i="2"/>
  <c r="S312" i="2"/>
  <c r="T312" i="2" s="1"/>
  <c r="Q312" i="2"/>
  <c r="P312" i="2"/>
  <c r="R312" i="2" s="1"/>
  <c r="O312" i="2"/>
  <c r="N312" i="2"/>
  <c r="M312" i="2"/>
  <c r="L312" i="2"/>
  <c r="V312" i="2" s="1"/>
  <c r="U311" i="2"/>
  <c r="S311" i="2"/>
  <c r="T311" i="2" s="1"/>
  <c r="Q311" i="2"/>
  <c r="P311" i="2"/>
  <c r="R311" i="2" s="1"/>
  <c r="O311" i="2"/>
  <c r="N311" i="2"/>
  <c r="M311" i="2"/>
  <c r="L311" i="2"/>
  <c r="V311" i="2" s="1"/>
  <c r="U310" i="2"/>
  <c r="S310" i="2"/>
  <c r="T310" i="2" s="1"/>
  <c r="Q310" i="2"/>
  <c r="P310" i="2"/>
  <c r="R310" i="2" s="1"/>
  <c r="O310" i="2"/>
  <c r="N310" i="2"/>
  <c r="M310" i="2"/>
  <c r="L310" i="2"/>
  <c r="V310" i="2" s="1"/>
  <c r="U309" i="2"/>
  <c r="S309" i="2"/>
  <c r="T309" i="2" s="1"/>
  <c r="Q309" i="2"/>
  <c r="P309" i="2"/>
  <c r="R309" i="2" s="1"/>
  <c r="O309" i="2"/>
  <c r="N309" i="2"/>
  <c r="M309" i="2"/>
  <c r="L309" i="2"/>
  <c r="V309" i="2" s="1"/>
  <c r="U308" i="2"/>
  <c r="S308" i="2"/>
  <c r="T308" i="2" s="1"/>
  <c r="Q308" i="2"/>
  <c r="P308" i="2"/>
  <c r="R308" i="2" s="1"/>
  <c r="O308" i="2"/>
  <c r="N308" i="2"/>
  <c r="M308" i="2"/>
  <c r="L308" i="2"/>
  <c r="V308" i="2" s="1"/>
  <c r="U307" i="2"/>
  <c r="S307" i="2"/>
  <c r="T307" i="2" s="1"/>
  <c r="Q307" i="2"/>
  <c r="P307" i="2"/>
  <c r="R307" i="2" s="1"/>
  <c r="O307" i="2"/>
  <c r="N307" i="2"/>
  <c r="M307" i="2"/>
  <c r="L307" i="2"/>
  <c r="V307" i="2" s="1"/>
  <c r="U306" i="2"/>
  <c r="S306" i="2"/>
  <c r="T306" i="2" s="1"/>
  <c r="Q306" i="2"/>
  <c r="P306" i="2"/>
  <c r="R306" i="2" s="1"/>
  <c r="O306" i="2"/>
  <c r="N306" i="2"/>
  <c r="M306" i="2"/>
  <c r="L306" i="2"/>
  <c r="V306" i="2" s="1"/>
  <c r="U305" i="2"/>
  <c r="S305" i="2"/>
  <c r="T305" i="2" s="1"/>
  <c r="Q305" i="2"/>
  <c r="P305" i="2"/>
  <c r="R305" i="2" s="1"/>
  <c r="O305" i="2"/>
  <c r="N305" i="2"/>
  <c r="M305" i="2"/>
  <c r="L305" i="2"/>
  <c r="V305" i="2" s="1"/>
  <c r="U304" i="2"/>
  <c r="S304" i="2"/>
  <c r="T304" i="2" s="1"/>
  <c r="Q304" i="2"/>
  <c r="P304" i="2"/>
  <c r="R304" i="2" s="1"/>
  <c r="O304" i="2"/>
  <c r="N304" i="2"/>
  <c r="M304" i="2"/>
  <c r="L304" i="2"/>
  <c r="V304" i="2" s="1"/>
  <c r="U303" i="2"/>
  <c r="S303" i="2"/>
  <c r="T303" i="2" s="1"/>
  <c r="Q303" i="2"/>
  <c r="P303" i="2"/>
  <c r="R303" i="2" s="1"/>
  <c r="O303" i="2"/>
  <c r="N303" i="2"/>
  <c r="M303" i="2"/>
  <c r="L303" i="2"/>
  <c r="V303" i="2" s="1"/>
  <c r="U302" i="2"/>
  <c r="S302" i="2"/>
  <c r="T302" i="2" s="1"/>
  <c r="Q302" i="2"/>
  <c r="P302" i="2"/>
  <c r="R302" i="2" s="1"/>
  <c r="O302" i="2"/>
  <c r="N302" i="2"/>
  <c r="M302" i="2"/>
  <c r="L302" i="2"/>
  <c r="V302" i="2" s="1"/>
  <c r="U301" i="2"/>
  <c r="S301" i="2"/>
  <c r="T301" i="2" s="1"/>
  <c r="Q301" i="2"/>
  <c r="P301" i="2"/>
  <c r="R301" i="2" s="1"/>
  <c r="O301" i="2"/>
  <c r="N301" i="2"/>
  <c r="M301" i="2"/>
  <c r="L301" i="2"/>
  <c r="V301" i="2" s="1"/>
  <c r="U300" i="2"/>
  <c r="S300" i="2"/>
  <c r="T300" i="2" s="1"/>
  <c r="Q300" i="2"/>
  <c r="P300" i="2"/>
  <c r="R300" i="2" s="1"/>
  <c r="O300" i="2"/>
  <c r="N300" i="2"/>
  <c r="M300" i="2"/>
  <c r="L300" i="2"/>
  <c r="V300" i="2" s="1"/>
  <c r="U299" i="2"/>
  <c r="S299" i="2"/>
  <c r="T299" i="2" s="1"/>
  <c r="Q299" i="2"/>
  <c r="P299" i="2"/>
  <c r="R299" i="2" s="1"/>
  <c r="O299" i="2"/>
  <c r="N299" i="2"/>
  <c r="M299" i="2"/>
  <c r="L299" i="2"/>
  <c r="V299" i="2" s="1"/>
  <c r="U298" i="2"/>
  <c r="S298" i="2"/>
  <c r="T298" i="2" s="1"/>
  <c r="Q298" i="2"/>
  <c r="P298" i="2"/>
  <c r="R298" i="2" s="1"/>
  <c r="O298" i="2"/>
  <c r="N298" i="2"/>
  <c r="M298" i="2"/>
  <c r="L298" i="2"/>
  <c r="V298" i="2" s="1"/>
  <c r="U297" i="2"/>
  <c r="S297" i="2"/>
  <c r="T297" i="2" s="1"/>
  <c r="Q297" i="2"/>
  <c r="P297" i="2"/>
  <c r="R297" i="2" s="1"/>
  <c r="O297" i="2"/>
  <c r="N297" i="2"/>
  <c r="M297" i="2"/>
  <c r="L297" i="2"/>
  <c r="V297" i="2" s="1"/>
  <c r="U296" i="2"/>
  <c r="S296" i="2"/>
  <c r="T296" i="2" s="1"/>
  <c r="Q296" i="2"/>
  <c r="P296" i="2"/>
  <c r="R296" i="2" s="1"/>
  <c r="O296" i="2"/>
  <c r="N296" i="2"/>
  <c r="M296" i="2"/>
  <c r="L296" i="2"/>
  <c r="V296" i="2" s="1"/>
  <c r="U295" i="2"/>
  <c r="S295" i="2"/>
  <c r="T295" i="2" s="1"/>
  <c r="Q295" i="2"/>
  <c r="P295" i="2"/>
  <c r="R295" i="2" s="1"/>
  <c r="O295" i="2"/>
  <c r="N295" i="2"/>
  <c r="M295" i="2"/>
  <c r="L295" i="2"/>
  <c r="V295" i="2" s="1"/>
  <c r="U294" i="2"/>
  <c r="S294" i="2"/>
  <c r="T294" i="2" s="1"/>
  <c r="Q294" i="2"/>
  <c r="P294" i="2"/>
  <c r="R294" i="2" s="1"/>
  <c r="O294" i="2"/>
  <c r="N294" i="2"/>
  <c r="M294" i="2"/>
  <c r="L294" i="2"/>
  <c r="V294" i="2" s="1"/>
  <c r="U293" i="2"/>
  <c r="S293" i="2"/>
  <c r="T293" i="2" s="1"/>
  <c r="Q293" i="2"/>
  <c r="P293" i="2"/>
  <c r="R293" i="2" s="1"/>
  <c r="O293" i="2"/>
  <c r="N293" i="2"/>
  <c r="M293" i="2"/>
  <c r="L293" i="2"/>
  <c r="V293" i="2" s="1"/>
  <c r="U292" i="2"/>
  <c r="S292" i="2"/>
  <c r="T292" i="2" s="1"/>
  <c r="Q292" i="2"/>
  <c r="P292" i="2"/>
  <c r="R292" i="2" s="1"/>
  <c r="O292" i="2"/>
  <c r="N292" i="2"/>
  <c r="M292" i="2"/>
  <c r="L292" i="2"/>
  <c r="V292" i="2" s="1"/>
  <c r="U291" i="2"/>
  <c r="S291" i="2"/>
  <c r="T291" i="2" s="1"/>
  <c r="Q291" i="2"/>
  <c r="P291" i="2"/>
  <c r="R291" i="2" s="1"/>
  <c r="O291" i="2"/>
  <c r="N291" i="2"/>
  <c r="M291" i="2"/>
  <c r="L291" i="2"/>
  <c r="V291" i="2" s="1"/>
  <c r="U290" i="2"/>
  <c r="S290" i="2"/>
  <c r="T290" i="2" s="1"/>
  <c r="P290" i="2"/>
  <c r="R290" i="2" s="1"/>
  <c r="O290" i="2"/>
  <c r="N290" i="2"/>
  <c r="M290" i="2"/>
  <c r="L290" i="2"/>
  <c r="V290" i="2" s="1"/>
  <c r="U289" i="2"/>
  <c r="S289" i="2"/>
  <c r="T289" i="2" s="1"/>
  <c r="Q289" i="2"/>
  <c r="P289" i="2"/>
  <c r="R289" i="2" s="1"/>
  <c r="O289" i="2"/>
  <c r="N289" i="2"/>
  <c r="M289" i="2"/>
  <c r="L289" i="2"/>
  <c r="V289" i="2" s="1"/>
  <c r="U288" i="2"/>
  <c r="S288" i="2"/>
  <c r="T288" i="2" s="1"/>
  <c r="Q288" i="2"/>
  <c r="P288" i="2"/>
  <c r="R288" i="2" s="1"/>
  <c r="O288" i="2"/>
  <c r="N288" i="2"/>
  <c r="M288" i="2"/>
  <c r="L288" i="2"/>
  <c r="V288" i="2" s="1"/>
  <c r="U287" i="2"/>
  <c r="S287" i="2"/>
  <c r="T287" i="2" s="1"/>
  <c r="Q287" i="2"/>
  <c r="P287" i="2"/>
  <c r="R287" i="2" s="1"/>
  <c r="O287" i="2"/>
  <c r="N287" i="2"/>
  <c r="M287" i="2"/>
  <c r="L287" i="2"/>
  <c r="V287" i="2" s="1"/>
  <c r="U286" i="2"/>
  <c r="S286" i="2"/>
  <c r="T286" i="2" s="1"/>
  <c r="Q286" i="2"/>
  <c r="P286" i="2"/>
  <c r="R286" i="2" s="1"/>
  <c r="O286" i="2"/>
  <c r="N286" i="2"/>
  <c r="M286" i="2"/>
  <c r="L286" i="2"/>
  <c r="V286" i="2" s="1"/>
  <c r="U285" i="2"/>
  <c r="S285" i="2"/>
  <c r="T285" i="2" s="1"/>
  <c r="Q285" i="2"/>
  <c r="P285" i="2"/>
  <c r="R285" i="2" s="1"/>
  <c r="O285" i="2"/>
  <c r="N285" i="2"/>
  <c r="M285" i="2"/>
  <c r="L285" i="2"/>
  <c r="V285" i="2" s="1"/>
  <c r="U284" i="2"/>
  <c r="S284" i="2"/>
  <c r="T284" i="2" s="1"/>
  <c r="Q284" i="2"/>
  <c r="P284" i="2"/>
  <c r="R284" i="2" s="1"/>
  <c r="O284" i="2"/>
  <c r="N284" i="2"/>
  <c r="M284" i="2"/>
  <c r="L284" i="2"/>
  <c r="V284" i="2" s="1"/>
  <c r="U283" i="2"/>
  <c r="S283" i="2"/>
  <c r="T283" i="2" s="1"/>
  <c r="Q283" i="2"/>
  <c r="P283" i="2"/>
  <c r="R283" i="2" s="1"/>
  <c r="O283" i="2"/>
  <c r="N283" i="2"/>
  <c r="M283" i="2"/>
  <c r="L283" i="2"/>
  <c r="V283" i="2" s="1"/>
  <c r="U282" i="2"/>
  <c r="S282" i="2"/>
  <c r="T282" i="2" s="1"/>
  <c r="Q282" i="2"/>
  <c r="P282" i="2"/>
  <c r="R282" i="2" s="1"/>
  <c r="O282" i="2"/>
  <c r="N282" i="2"/>
  <c r="M282" i="2"/>
  <c r="L282" i="2"/>
  <c r="V282" i="2" s="1"/>
  <c r="U281" i="2"/>
  <c r="S281" i="2"/>
  <c r="T281" i="2" s="1"/>
  <c r="Q281" i="2"/>
  <c r="P281" i="2"/>
  <c r="R281" i="2" s="1"/>
  <c r="O281" i="2"/>
  <c r="N281" i="2"/>
  <c r="M281" i="2"/>
  <c r="L281" i="2"/>
  <c r="V281" i="2" s="1"/>
  <c r="U280" i="2"/>
  <c r="S280" i="2"/>
  <c r="T280" i="2" s="1"/>
  <c r="Q280" i="2"/>
  <c r="P280" i="2"/>
  <c r="R280" i="2" s="1"/>
  <c r="O280" i="2"/>
  <c r="N280" i="2"/>
  <c r="M280" i="2"/>
  <c r="L280" i="2"/>
  <c r="V280" i="2" s="1"/>
  <c r="U279" i="2"/>
  <c r="S279" i="2"/>
  <c r="T279" i="2" s="1"/>
  <c r="Q279" i="2"/>
  <c r="P279" i="2"/>
  <c r="R279" i="2" s="1"/>
  <c r="O279" i="2"/>
  <c r="N279" i="2"/>
  <c r="M279" i="2"/>
  <c r="L279" i="2"/>
  <c r="V279" i="2" s="1"/>
  <c r="U278" i="2"/>
  <c r="S278" i="2"/>
  <c r="T278" i="2" s="1"/>
  <c r="Q278" i="2"/>
  <c r="P278" i="2"/>
  <c r="R278" i="2" s="1"/>
  <c r="O278" i="2"/>
  <c r="N278" i="2"/>
  <c r="M278" i="2"/>
  <c r="L278" i="2"/>
  <c r="V278" i="2" s="1"/>
  <c r="U277" i="2"/>
  <c r="S277" i="2"/>
  <c r="T277" i="2" s="1"/>
  <c r="Q277" i="2"/>
  <c r="P277" i="2"/>
  <c r="R277" i="2" s="1"/>
  <c r="O277" i="2"/>
  <c r="N277" i="2"/>
  <c r="M277" i="2"/>
  <c r="L277" i="2"/>
  <c r="V277" i="2" s="1"/>
  <c r="U276" i="2"/>
  <c r="S276" i="2"/>
  <c r="T276" i="2" s="1"/>
  <c r="Q276" i="2"/>
  <c r="P276" i="2"/>
  <c r="R276" i="2" s="1"/>
  <c r="O276" i="2"/>
  <c r="N276" i="2"/>
  <c r="M276" i="2"/>
  <c r="L276" i="2"/>
  <c r="V276" i="2" s="1"/>
  <c r="U275" i="2"/>
  <c r="S275" i="2"/>
  <c r="T275" i="2" s="1"/>
  <c r="P275" i="2"/>
  <c r="R275" i="2" s="1"/>
  <c r="O275" i="2"/>
  <c r="N275" i="2"/>
  <c r="M275" i="2"/>
  <c r="L275" i="2"/>
  <c r="V275" i="2" s="1"/>
  <c r="U274" i="2"/>
  <c r="S274" i="2"/>
  <c r="T274" i="2" s="1"/>
  <c r="Q274" i="2"/>
  <c r="P274" i="2"/>
  <c r="R274" i="2" s="1"/>
  <c r="O274" i="2"/>
  <c r="N274" i="2"/>
  <c r="M274" i="2"/>
  <c r="L274" i="2"/>
  <c r="V274" i="2" s="1"/>
  <c r="U273" i="2"/>
  <c r="S273" i="2"/>
  <c r="T273" i="2" s="1"/>
  <c r="Q273" i="2"/>
  <c r="P273" i="2"/>
  <c r="R273" i="2" s="1"/>
  <c r="O273" i="2"/>
  <c r="N273" i="2"/>
  <c r="M273" i="2"/>
  <c r="L273" i="2"/>
  <c r="V273" i="2" s="1"/>
  <c r="U272" i="2"/>
  <c r="S272" i="2"/>
  <c r="T272" i="2" s="1"/>
  <c r="Q272" i="2"/>
  <c r="P272" i="2"/>
  <c r="R272" i="2" s="1"/>
  <c r="O272" i="2"/>
  <c r="N272" i="2"/>
  <c r="M272" i="2"/>
  <c r="L272" i="2"/>
  <c r="V272" i="2" s="1"/>
  <c r="U271" i="2"/>
  <c r="S271" i="2"/>
  <c r="T271" i="2" s="1"/>
  <c r="Q271" i="2"/>
  <c r="P271" i="2"/>
  <c r="R271" i="2" s="1"/>
  <c r="O271" i="2"/>
  <c r="N271" i="2"/>
  <c r="M271" i="2"/>
  <c r="L271" i="2"/>
  <c r="V271" i="2" s="1"/>
  <c r="U270" i="2"/>
  <c r="S270" i="2"/>
  <c r="T270" i="2" s="1"/>
  <c r="Q270" i="2"/>
  <c r="P270" i="2"/>
  <c r="R270" i="2" s="1"/>
  <c r="O270" i="2"/>
  <c r="N270" i="2"/>
  <c r="M270" i="2"/>
  <c r="L270" i="2"/>
  <c r="V270" i="2" s="1"/>
  <c r="U269" i="2"/>
  <c r="S269" i="2"/>
  <c r="T269" i="2" s="1"/>
  <c r="Q269" i="2"/>
  <c r="P269" i="2"/>
  <c r="R269" i="2" s="1"/>
  <c r="O269" i="2"/>
  <c r="N269" i="2"/>
  <c r="M269" i="2"/>
  <c r="L269" i="2"/>
  <c r="V269" i="2" s="1"/>
  <c r="U268" i="2"/>
  <c r="S268" i="2"/>
  <c r="T268" i="2" s="1"/>
  <c r="Q268" i="2"/>
  <c r="P268" i="2"/>
  <c r="R268" i="2" s="1"/>
  <c r="O268" i="2"/>
  <c r="N268" i="2"/>
  <c r="M268" i="2"/>
  <c r="L268" i="2"/>
  <c r="V268" i="2" s="1"/>
  <c r="U267" i="2"/>
  <c r="S267" i="2"/>
  <c r="T267" i="2" s="1"/>
  <c r="Q267" i="2"/>
  <c r="P267" i="2"/>
  <c r="R267" i="2" s="1"/>
  <c r="O267" i="2"/>
  <c r="N267" i="2"/>
  <c r="M267" i="2"/>
  <c r="L267" i="2"/>
  <c r="V267" i="2" s="1"/>
  <c r="U266" i="2"/>
  <c r="S266" i="2"/>
  <c r="T266" i="2" s="1"/>
  <c r="Q266" i="2"/>
  <c r="P266" i="2"/>
  <c r="R266" i="2" s="1"/>
  <c r="O266" i="2"/>
  <c r="N266" i="2"/>
  <c r="M266" i="2"/>
  <c r="L266" i="2"/>
  <c r="V266" i="2" s="1"/>
  <c r="U265" i="2"/>
  <c r="S265" i="2"/>
  <c r="T265" i="2" s="1"/>
  <c r="Q265" i="2"/>
  <c r="P265" i="2"/>
  <c r="R265" i="2" s="1"/>
  <c r="O265" i="2"/>
  <c r="N265" i="2"/>
  <c r="M265" i="2"/>
  <c r="L265" i="2"/>
  <c r="V265" i="2" s="1"/>
  <c r="U264" i="2"/>
  <c r="S264" i="2"/>
  <c r="T264" i="2" s="1"/>
  <c r="Q264" i="2"/>
  <c r="P264" i="2"/>
  <c r="R264" i="2" s="1"/>
  <c r="O264" i="2"/>
  <c r="N264" i="2"/>
  <c r="M264" i="2"/>
  <c r="L264" i="2"/>
  <c r="V264" i="2" s="1"/>
  <c r="U263" i="2"/>
  <c r="S263" i="2"/>
  <c r="T263" i="2" s="1"/>
  <c r="Q263" i="2"/>
  <c r="P263" i="2"/>
  <c r="R263" i="2" s="1"/>
  <c r="O263" i="2"/>
  <c r="N263" i="2"/>
  <c r="M263" i="2"/>
  <c r="L263" i="2"/>
  <c r="V263" i="2" s="1"/>
  <c r="U262" i="2"/>
  <c r="S262" i="2"/>
  <c r="T262" i="2" s="1"/>
  <c r="Q262" i="2"/>
  <c r="P262" i="2"/>
  <c r="R262" i="2" s="1"/>
  <c r="O262" i="2"/>
  <c r="N262" i="2"/>
  <c r="M262" i="2"/>
  <c r="L262" i="2"/>
  <c r="V262" i="2" s="1"/>
  <c r="U261" i="2"/>
  <c r="S261" i="2"/>
  <c r="T261" i="2" s="1"/>
  <c r="Q261" i="2"/>
  <c r="P261" i="2"/>
  <c r="R261" i="2" s="1"/>
  <c r="O261" i="2"/>
  <c r="N261" i="2"/>
  <c r="M261" i="2"/>
  <c r="L261" i="2"/>
  <c r="V261" i="2" s="1"/>
  <c r="U260" i="2"/>
  <c r="S260" i="2"/>
  <c r="T260" i="2" s="1"/>
  <c r="Q260" i="2"/>
  <c r="P260" i="2"/>
  <c r="R260" i="2" s="1"/>
  <c r="O260" i="2"/>
  <c r="N260" i="2"/>
  <c r="M260" i="2"/>
  <c r="L260" i="2"/>
  <c r="V260" i="2" s="1"/>
  <c r="U259" i="2"/>
  <c r="S259" i="2"/>
  <c r="T259" i="2" s="1"/>
  <c r="Q259" i="2"/>
  <c r="P259" i="2"/>
  <c r="R259" i="2" s="1"/>
  <c r="O259" i="2"/>
  <c r="N259" i="2"/>
  <c r="M259" i="2"/>
  <c r="L259" i="2"/>
  <c r="V259" i="2" s="1"/>
  <c r="U258" i="2"/>
  <c r="S258" i="2"/>
  <c r="T258" i="2" s="1"/>
  <c r="Q258" i="2"/>
  <c r="P258" i="2"/>
  <c r="R258" i="2" s="1"/>
  <c r="O258" i="2"/>
  <c r="N258" i="2"/>
  <c r="M258" i="2"/>
  <c r="L258" i="2"/>
  <c r="V258" i="2" s="1"/>
  <c r="U257" i="2"/>
  <c r="S257" i="2"/>
  <c r="T257" i="2" s="1"/>
  <c r="Q257" i="2"/>
  <c r="P257" i="2"/>
  <c r="R257" i="2" s="1"/>
  <c r="O257" i="2"/>
  <c r="N257" i="2"/>
  <c r="M257" i="2"/>
  <c r="L257" i="2"/>
  <c r="V257" i="2" s="1"/>
  <c r="U256" i="2"/>
  <c r="S256" i="2"/>
  <c r="T256" i="2" s="1"/>
  <c r="Q256" i="2"/>
  <c r="P256" i="2"/>
  <c r="R256" i="2" s="1"/>
  <c r="O256" i="2"/>
  <c r="N256" i="2"/>
  <c r="M256" i="2"/>
  <c r="L256" i="2"/>
  <c r="V256" i="2" s="1"/>
  <c r="U255" i="2"/>
  <c r="S255" i="2"/>
  <c r="T255" i="2" s="1"/>
  <c r="Q255" i="2"/>
  <c r="P255" i="2"/>
  <c r="R255" i="2" s="1"/>
  <c r="O255" i="2"/>
  <c r="N255" i="2"/>
  <c r="M255" i="2"/>
  <c r="L255" i="2"/>
  <c r="V255" i="2" s="1"/>
  <c r="U254" i="2"/>
  <c r="S254" i="2"/>
  <c r="T254" i="2" s="1"/>
  <c r="P254" i="2"/>
  <c r="R254" i="2" s="1"/>
  <c r="O254" i="2"/>
  <c r="N254" i="2"/>
  <c r="M254" i="2"/>
  <c r="L254" i="2"/>
  <c r="V254" i="2" s="1"/>
  <c r="U253" i="2"/>
  <c r="S253" i="2"/>
  <c r="T253" i="2" s="1"/>
  <c r="Q253" i="2"/>
  <c r="P253" i="2"/>
  <c r="R253" i="2" s="1"/>
  <c r="O253" i="2"/>
  <c r="N253" i="2"/>
  <c r="M253" i="2"/>
  <c r="L253" i="2"/>
  <c r="V253" i="2" s="1"/>
  <c r="U252" i="2"/>
  <c r="S252" i="2"/>
  <c r="T252" i="2" s="1"/>
  <c r="Q252" i="2"/>
  <c r="P252" i="2"/>
  <c r="R252" i="2" s="1"/>
  <c r="O252" i="2"/>
  <c r="N252" i="2"/>
  <c r="M252" i="2"/>
  <c r="L252" i="2"/>
  <c r="V252" i="2" s="1"/>
  <c r="U251" i="2"/>
  <c r="S251" i="2"/>
  <c r="T251" i="2" s="1"/>
  <c r="P251" i="2"/>
  <c r="R251" i="2" s="1"/>
  <c r="O251" i="2"/>
  <c r="N251" i="2"/>
  <c r="M251" i="2"/>
  <c r="L251" i="2"/>
  <c r="V251" i="2" s="1"/>
  <c r="U250" i="2"/>
  <c r="S250" i="2"/>
  <c r="T250" i="2" s="1"/>
  <c r="Q250" i="2"/>
  <c r="P250" i="2"/>
  <c r="R250" i="2" s="1"/>
  <c r="O250" i="2"/>
  <c r="N250" i="2"/>
  <c r="M250" i="2"/>
  <c r="L250" i="2"/>
  <c r="V250" i="2" s="1"/>
  <c r="U249" i="2"/>
  <c r="S249" i="2"/>
  <c r="T249" i="2" s="1"/>
  <c r="Q249" i="2"/>
  <c r="P249" i="2"/>
  <c r="R249" i="2" s="1"/>
  <c r="O249" i="2"/>
  <c r="N249" i="2"/>
  <c r="M249" i="2"/>
  <c r="L249" i="2"/>
  <c r="V249" i="2" s="1"/>
  <c r="U248" i="2"/>
  <c r="S248" i="2"/>
  <c r="T248" i="2" s="1"/>
  <c r="Q248" i="2"/>
  <c r="P248" i="2"/>
  <c r="R248" i="2" s="1"/>
  <c r="O248" i="2"/>
  <c r="N248" i="2"/>
  <c r="M248" i="2"/>
  <c r="L248" i="2"/>
  <c r="V248" i="2" s="1"/>
  <c r="U247" i="2"/>
  <c r="S247" i="2"/>
  <c r="T247" i="2" s="1"/>
  <c r="Q247" i="2"/>
  <c r="P247" i="2"/>
  <c r="R247" i="2" s="1"/>
  <c r="O247" i="2"/>
  <c r="N247" i="2"/>
  <c r="M247" i="2"/>
  <c r="L247" i="2"/>
  <c r="V247" i="2" s="1"/>
  <c r="U246" i="2"/>
  <c r="S246" i="2"/>
  <c r="T246" i="2" s="1"/>
  <c r="Q246" i="2"/>
  <c r="P246" i="2"/>
  <c r="R246" i="2" s="1"/>
  <c r="O246" i="2"/>
  <c r="N246" i="2"/>
  <c r="M246" i="2"/>
  <c r="L246" i="2"/>
  <c r="V246" i="2" s="1"/>
  <c r="U245" i="2"/>
  <c r="S245" i="2"/>
  <c r="T245" i="2" s="1"/>
  <c r="Q245" i="2"/>
  <c r="P245" i="2"/>
  <c r="R245" i="2" s="1"/>
  <c r="O245" i="2"/>
  <c r="N245" i="2"/>
  <c r="M245" i="2"/>
  <c r="L245" i="2"/>
  <c r="V245" i="2" s="1"/>
  <c r="U244" i="2"/>
  <c r="S244" i="2"/>
  <c r="T244" i="2" s="1"/>
  <c r="Q244" i="2"/>
  <c r="P244" i="2"/>
  <c r="R244" i="2" s="1"/>
  <c r="O244" i="2"/>
  <c r="N244" i="2"/>
  <c r="M244" i="2"/>
  <c r="L244" i="2"/>
  <c r="V244" i="2" s="1"/>
  <c r="U243" i="2"/>
  <c r="S243" i="2"/>
  <c r="T243" i="2" s="1"/>
  <c r="Q243" i="2"/>
  <c r="P243" i="2"/>
  <c r="R243" i="2" s="1"/>
  <c r="O243" i="2"/>
  <c r="N243" i="2"/>
  <c r="M243" i="2"/>
  <c r="L243" i="2"/>
  <c r="V243" i="2" s="1"/>
  <c r="U242" i="2"/>
  <c r="S242" i="2"/>
  <c r="T242" i="2" s="1"/>
  <c r="Q242" i="2"/>
  <c r="P242" i="2"/>
  <c r="R242" i="2" s="1"/>
  <c r="O242" i="2"/>
  <c r="N242" i="2"/>
  <c r="M242" i="2"/>
  <c r="L242" i="2"/>
  <c r="V242" i="2" s="1"/>
  <c r="U241" i="2"/>
  <c r="S241" i="2"/>
  <c r="T241" i="2" s="1"/>
  <c r="Q241" i="2"/>
  <c r="P241" i="2"/>
  <c r="R241" i="2" s="1"/>
  <c r="O241" i="2"/>
  <c r="N241" i="2"/>
  <c r="M241" i="2"/>
  <c r="L241" i="2"/>
  <c r="V241" i="2" s="1"/>
  <c r="U240" i="2"/>
  <c r="S240" i="2"/>
  <c r="T240" i="2" s="1"/>
  <c r="Q240" i="2"/>
  <c r="P240" i="2"/>
  <c r="R240" i="2" s="1"/>
  <c r="O240" i="2"/>
  <c r="N240" i="2"/>
  <c r="M240" i="2"/>
  <c r="L240" i="2"/>
  <c r="V240" i="2" s="1"/>
  <c r="U239" i="2"/>
  <c r="S239" i="2"/>
  <c r="T239" i="2" s="1"/>
  <c r="P239" i="2"/>
  <c r="R239" i="2" s="1"/>
  <c r="O239" i="2"/>
  <c r="N239" i="2"/>
  <c r="M239" i="2"/>
  <c r="L239" i="2"/>
  <c r="V239" i="2" s="1"/>
  <c r="U238" i="2"/>
  <c r="S238" i="2"/>
  <c r="T238" i="2" s="1"/>
  <c r="Q238" i="2"/>
  <c r="P238" i="2"/>
  <c r="R238" i="2" s="1"/>
  <c r="O238" i="2"/>
  <c r="N238" i="2"/>
  <c r="M238" i="2"/>
  <c r="L238" i="2"/>
  <c r="V238" i="2" s="1"/>
  <c r="U237" i="2"/>
  <c r="S237" i="2"/>
  <c r="T237" i="2" s="1"/>
  <c r="Q237" i="2"/>
  <c r="P237" i="2"/>
  <c r="R237" i="2" s="1"/>
  <c r="O237" i="2"/>
  <c r="N237" i="2"/>
  <c r="M237" i="2"/>
  <c r="L237" i="2"/>
  <c r="V237" i="2" s="1"/>
  <c r="U236" i="2"/>
  <c r="S236" i="2"/>
  <c r="T236" i="2" s="1"/>
  <c r="Q236" i="2"/>
  <c r="P236" i="2"/>
  <c r="R236" i="2" s="1"/>
  <c r="O236" i="2"/>
  <c r="N236" i="2"/>
  <c r="M236" i="2"/>
  <c r="L236" i="2"/>
  <c r="V236" i="2" s="1"/>
  <c r="U235" i="2"/>
  <c r="S235" i="2"/>
  <c r="T235" i="2" s="1"/>
  <c r="Q235" i="2"/>
  <c r="P235" i="2"/>
  <c r="R235" i="2" s="1"/>
  <c r="O235" i="2"/>
  <c r="N235" i="2"/>
  <c r="M235" i="2"/>
  <c r="L235" i="2"/>
  <c r="V235" i="2" s="1"/>
  <c r="U234" i="2"/>
  <c r="S234" i="2"/>
  <c r="T234" i="2" s="1"/>
  <c r="Q234" i="2"/>
  <c r="P234" i="2"/>
  <c r="R234" i="2" s="1"/>
  <c r="O234" i="2"/>
  <c r="N234" i="2"/>
  <c r="M234" i="2"/>
  <c r="L234" i="2"/>
  <c r="V234" i="2" s="1"/>
  <c r="U233" i="2"/>
  <c r="S233" i="2"/>
  <c r="T233" i="2" s="1"/>
  <c r="Q233" i="2"/>
  <c r="P233" i="2"/>
  <c r="R233" i="2" s="1"/>
  <c r="O233" i="2"/>
  <c r="N233" i="2"/>
  <c r="M233" i="2"/>
  <c r="L233" i="2"/>
  <c r="V233" i="2" s="1"/>
  <c r="U232" i="2"/>
  <c r="S232" i="2"/>
  <c r="T232" i="2" s="1"/>
  <c r="Q232" i="2"/>
  <c r="P232" i="2"/>
  <c r="R232" i="2" s="1"/>
  <c r="O232" i="2"/>
  <c r="N232" i="2"/>
  <c r="M232" i="2"/>
  <c r="L232" i="2"/>
  <c r="V232" i="2" s="1"/>
  <c r="U231" i="2"/>
  <c r="S231" i="2"/>
  <c r="T231" i="2" s="1"/>
  <c r="Q231" i="2"/>
  <c r="P231" i="2"/>
  <c r="R231" i="2" s="1"/>
  <c r="O231" i="2"/>
  <c r="N231" i="2"/>
  <c r="M231" i="2"/>
  <c r="L231" i="2"/>
  <c r="V231" i="2" s="1"/>
  <c r="U230" i="2"/>
  <c r="S230" i="2"/>
  <c r="T230" i="2" s="1"/>
  <c r="Q230" i="2"/>
  <c r="P230" i="2"/>
  <c r="R230" i="2" s="1"/>
  <c r="O230" i="2"/>
  <c r="N230" i="2"/>
  <c r="M230" i="2"/>
  <c r="L230" i="2"/>
  <c r="V230" i="2" s="1"/>
  <c r="U229" i="2"/>
  <c r="S229" i="2"/>
  <c r="T229" i="2" s="1"/>
  <c r="P229" i="2"/>
  <c r="R229" i="2" s="1"/>
  <c r="O229" i="2"/>
  <c r="N229" i="2"/>
  <c r="M229" i="2"/>
  <c r="L229" i="2"/>
  <c r="V229" i="2" s="1"/>
  <c r="U228" i="2"/>
  <c r="S228" i="2"/>
  <c r="T228" i="2" s="1"/>
  <c r="Q228" i="2"/>
  <c r="P228" i="2"/>
  <c r="R228" i="2" s="1"/>
  <c r="O228" i="2"/>
  <c r="N228" i="2"/>
  <c r="M228" i="2"/>
  <c r="L228" i="2"/>
  <c r="V228" i="2" s="1"/>
  <c r="U227" i="2"/>
  <c r="S227" i="2"/>
  <c r="T227" i="2" s="1"/>
  <c r="Q227" i="2"/>
  <c r="P227" i="2"/>
  <c r="R227" i="2" s="1"/>
  <c r="O227" i="2"/>
  <c r="N227" i="2"/>
  <c r="M227" i="2"/>
  <c r="L227" i="2"/>
  <c r="V227" i="2" s="1"/>
  <c r="U226" i="2"/>
  <c r="S226" i="2"/>
  <c r="T226" i="2" s="1"/>
  <c r="Q226" i="2"/>
  <c r="P226" i="2"/>
  <c r="R226" i="2" s="1"/>
  <c r="O226" i="2"/>
  <c r="N226" i="2"/>
  <c r="M226" i="2"/>
  <c r="L226" i="2"/>
  <c r="V226" i="2" s="1"/>
  <c r="U225" i="2"/>
  <c r="S225" i="2"/>
  <c r="T225" i="2" s="1"/>
  <c r="Q225" i="2"/>
  <c r="P225" i="2"/>
  <c r="R225" i="2" s="1"/>
  <c r="O225" i="2"/>
  <c r="N225" i="2"/>
  <c r="M225" i="2"/>
  <c r="L225" i="2"/>
  <c r="V225" i="2" s="1"/>
  <c r="U224" i="2"/>
  <c r="S224" i="2"/>
  <c r="T224" i="2" s="1"/>
  <c r="Q224" i="2"/>
  <c r="P224" i="2"/>
  <c r="R224" i="2" s="1"/>
  <c r="O224" i="2"/>
  <c r="N224" i="2"/>
  <c r="M224" i="2"/>
  <c r="L224" i="2"/>
  <c r="V224" i="2" s="1"/>
  <c r="U223" i="2"/>
  <c r="S223" i="2"/>
  <c r="T223" i="2" s="1"/>
  <c r="Q223" i="2"/>
  <c r="P223" i="2"/>
  <c r="R223" i="2" s="1"/>
  <c r="O223" i="2"/>
  <c r="N223" i="2"/>
  <c r="M223" i="2"/>
  <c r="L223" i="2"/>
  <c r="V223" i="2" s="1"/>
  <c r="U222" i="2"/>
  <c r="S222" i="2"/>
  <c r="T222" i="2" s="1"/>
  <c r="Q222" i="2"/>
  <c r="P222" i="2"/>
  <c r="R222" i="2" s="1"/>
  <c r="O222" i="2"/>
  <c r="N222" i="2"/>
  <c r="M222" i="2"/>
  <c r="L222" i="2"/>
  <c r="V222" i="2" s="1"/>
  <c r="U221" i="2"/>
  <c r="S221" i="2"/>
  <c r="T221" i="2" s="1"/>
  <c r="P221" i="2"/>
  <c r="R221" i="2" s="1"/>
  <c r="O221" i="2"/>
  <c r="N221" i="2"/>
  <c r="M221" i="2"/>
  <c r="L221" i="2"/>
  <c r="V221" i="2" s="1"/>
  <c r="U220" i="2"/>
  <c r="S220" i="2"/>
  <c r="T220" i="2" s="1"/>
  <c r="Q220" i="2"/>
  <c r="P220" i="2"/>
  <c r="R220" i="2" s="1"/>
  <c r="O220" i="2"/>
  <c r="N220" i="2"/>
  <c r="M220" i="2"/>
  <c r="L220" i="2"/>
  <c r="V220" i="2" s="1"/>
  <c r="U219" i="2"/>
  <c r="S219" i="2"/>
  <c r="T219" i="2" s="1"/>
  <c r="Q219" i="2"/>
  <c r="P219" i="2"/>
  <c r="R219" i="2" s="1"/>
  <c r="O219" i="2"/>
  <c r="N219" i="2"/>
  <c r="M219" i="2"/>
  <c r="L219" i="2"/>
  <c r="V219" i="2" s="1"/>
  <c r="U218" i="2"/>
  <c r="S218" i="2"/>
  <c r="T218" i="2" s="1"/>
  <c r="Q218" i="2"/>
  <c r="P218" i="2"/>
  <c r="R218" i="2" s="1"/>
  <c r="O218" i="2"/>
  <c r="N218" i="2"/>
  <c r="M218" i="2"/>
  <c r="L218" i="2"/>
  <c r="V218" i="2" s="1"/>
  <c r="U217" i="2"/>
  <c r="S217" i="2"/>
  <c r="T217" i="2" s="1"/>
  <c r="Q217" i="2"/>
  <c r="P217" i="2"/>
  <c r="R217" i="2" s="1"/>
  <c r="O217" i="2"/>
  <c r="N217" i="2"/>
  <c r="M217" i="2"/>
  <c r="L217" i="2"/>
  <c r="V217" i="2" s="1"/>
  <c r="U216" i="2"/>
  <c r="S216" i="2"/>
  <c r="T216" i="2" s="1"/>
  <c r="Q216" i="2"/>
  <c r="P216" i="2"/>
  <c r="R216" i="2" s="1"/>
  <c r="O216" i="2"/>
  <c r="N216" i="2"/>
  <c r="M216" i="2"/>
  <c r="L216" i="2"/>
  <c r="V216" i="2" s="1"/>
  <c r="U215" i="2"/>
  <c r="S215" i="2"/>
  <c r="T215" i="2" s="1"/>
  <c r="Q215" i="2"/>
  <c r="P215" i="2"/>
  <c r="R215" i="2" s="1"/>
  <c r="O215" i="2"/>
  <c r="N215" i="2"/>
  <c r="M215" i="2"/>
  <c r="L215" i="2"/>
  <c r="V215" i="2" s="1"/>
  <c r="U214" i="2"/>
  <c r="S214" i="2"/>
  <c r="T214" i="2" s="1"/>
  <c r="Q214" i="2"/>
  <c r="P214" i="2"/>
  <c r="R214" i="2" s="1"/>
  <c r="O214" i="2"/>
  <c r="N214" i="2"/>
  <c r="M214" i="2"/>
  <c r="L214" i="2"/>
  <c r="V214" i="2" s="1"/>
  <c r="U213" i="2"/>
  <c r="S213" i="2"/>
  <c r="T213" i="2" s="1"/>
  <c r="Q213" i="2"/>
  <c r="P213" i="2"/>
  <c r="R213" i="2" s="1"/>
  <c r="O213" i="2"/>
  <c r="N213" i="2"/>
  <c r="M213" i="2"/>
  <c r="L213" i="2"/>
  <c r="V213" i="2" s="1"/>
  <c r="U212" i="2"/>
  <c r="S212" i="2"/>
  <c r="T212" i="2" s="1"/>
  <c r="Q212" i="2"/>
  <c r="P212" i="2"/>
  <c r="R212" i="2" s="1"/>
  <c r="O212" i="2"/>
  <c r="N212" i="2"/>
  <c r="M212" i="2"/>
  <c r="L212" i="2"/>
  <c r="V212" i="2" s="1"/>
  <c r="U211" i="2"/>
  <c r="S211" i="2"/>
  <c r="T211" i="2" s="1"/>
  <c r="Q211" i="2"/>
  <c r="P211" i="2"/>
  <c r="R211" i="2" s="1"/>
  <c r="O211" i="2"/>
  <c r="N211" i="2"/>
  <c r="M211" i="2"/>
  <c r="L211" i="2"/>
  <c r="V211" i="2" s="1"/>
  <c r="U210" i="2"/>
  <c r="S210" i="2"/>
  <c r="T210" i="2" s="1"/>
  <c r="Q210" i="2"/>
  <c r="P210" i="2"/>
  <c r="R210" i="2" s="1"/>
  <c r="O210" i="2"/>
  <c r="N210" i="2"/>
  <c r="M210" i="2"/>
  <c r="L210" i="2"/>
  <c r="V210" i="2" s="1"/>
  <c r="U209" i="2"/>
  <c r="S209" i="2"/>
  <c r="T209" i="2" s="1"/>
  <c r="Q209" i="2"/>
  <c r="P209" i="2"/>
  <c r="R209" i="2" s="1"/>
  <c r="O209" i="2"/>
  <c r="N209" i="2"/>
  <c r="M209" i="2"/>
  <c r="L209" i="2"/>
  <c r="V209" i="2" s="1"/>
  <c r="U208" i="2"/>
  <c r="S208" i="2"/>
  <c r="T208" i="2" s="1"/>
  <c r="Q208" i="2"/>
  <c r="P208" i="2"/>
  <c r="R208" i="2" s="1"/>
  <c r="O208" i="2"/>
  <c r="N208" i="2"/>
  <c r="M208" i="2"/>
  <c r="L208" i="2"/>
  <c r="V208" i="2" s="1"/>
  <c r="U207" i="2"/>
  <c r="S207" i="2"/>
  <c r="T207" i="2" s="1"/>
  <c r="Q207" i="2"/>
  <c r="P207" i="2"/>
  <c r="R207" i="2" s="1"/>
  <c r="O207" i="2"/>
  <c r="N207" i="2"/>
  <c r="M207" i="2"/>
  <c r="L207" i="2"/>
  <c r="V207" i="2" s="1"/>
  <c r="U206" i="2"/>
  <c r="S206" i="2"/>
  <c r="T206" i="2" s="1"/>
  <c r="P206" i="2"/>
  <c r="R206" i="2" s="1"/>
  <c r="O206" i="2"/>
  <c r="N206" i="2"/>
  <c r="M206" i="2"/>
  <c r="L206" i="2"/>
  <c r="V206" i="2" s="1"/>
  <c r="U205" i="2"/>
  <c r="S205" i="2"/>
  <c r="T205" i="2" s="1"/>
  <c r="Q205" i="2"/>
  <c r="P205" i="2"/>
  <c r="R205" i="2" s="1"/>
  <c r="O205" i="2"/>
  <c r="N205" i="2"/>
  <c r="M205" i="2"/>
  <c r="L205" i="2"/>
  <c r="V205" i="2" s="1"/>
  <c r="U204" i="2"/>
  <c r="S204" i="2"/>
  <c r="T204" i="2" s="1"/>
  <c r="Q204" i="2"/>
  <c r="P204" i="2"/>
  <c r="R204" i="2" s="1"/>
  <c r="O204" i="2"/>
  <c r="N204" i="2"/>
  <c r="M204" i="2"/>
  <c r="L204" i="2"/>
  <c r="V204" i="2" s="1"/>
  <c r="U203" i="2"/>
  <c r="S203" i="2"/>
  <c r="T203" i="2" s="1"/>
  <c r="Q203" i="2"/>
  <c r="P203" i="2"/>
  <c r="R203" i="2" s="1"/>
  <c r="O203" i="2"/>
  <c r="N203" i="2"/>
  <c r="M203" i="2"/>
  <c r="L203" i="2"/>
  <c r="V203" i="2" s="1"/>
  <c r="U202" i="2"/>
  <c r="S202" i="2"/>
  <c r="T202" i="2" s="1"/>
  <c r="Q202" i="2"/>
  <c r="P202" i="2"/>
  <c r="R202" i="2" s="1"/>
  <c r="O202" i="2"/>
  <c r="N202" i="2"/>
  <c r="M202" i="2"/>
  <c r="L202" i="2"/>
  <c r="V202" i="2" s="1"/>
  <c r="U201" i="2"/>
  <c r="S201" i="2"/>
  <c r="T201" i="2" s="1"/>
  <c r="Q201" i="2"/>
  <c r="P201" i="2"/>
  <c r="R201" i="2" s="1"/>
  <c r="O201" i="2"/>
  <c r="N201" i="2"/>
  <c r="M201" i="2"/>
  <c r="L201" i="2"/>
  <c r="V201" i="2" s="1"/>
  <c r="U200" i="2"/>
  <c r="S200" i="2"/>
  <c r="T200" i="2" s="1"/>
  <c r="Q200" i="2"/>
  <c r="P200" i="2"/>
  <c r="R200" i="2" s="1"/>
  <c r="O200" i="2"/>
  <c r="N200" i="2"/>
  <c r="M200" i="2"/>
  <c r="L200" i="2"/>
  <c r="V200" i="2" s="1"/>
  <c r="U199" i="2"/>
  <c r="S199" i="2"/>
  <c r="T199" i="2" s="1"/>
  <c r="Q199" i="2"/>
  <c r="P199" i="2"/>
  <c r="R199" i="2" s="1"/>
  <c r="O199" i="2"/>
  <c r="N199" i="2"/>
  <c r="M199" i="2"/>
  <c r="L199" i="2"/>
  <c r="V199" i="2" s="1"/>
  <c r="U198" i="2"/>
  <c r="S198" i="2"/>
  <c r="T198" i="2" s="1"/>
  <c r="Q198" i="2"/>
  <c r="P198" i="2"/>
  <c r="R198" i="2" s="1"/>
  <c r="O198" i="2"/>
  <c r="N198" i="2"/>
  <c r="M198" i="2"/>
  <c r="L198" i="2"/>
  <c r="V198" i="2" s="1"/>
  <c r="U197" i="2"/>
  <c r="S197" i="2"/>
  <c r="T197" i="2" s="1"/>
  <c r="P197" i="2"/>
  <c r="R197" i="2" s="1"/>
  <c r="O197" i="2"/>
  <c r="N197" i="2"/>
  <c r="M197" i="2"/>
  <c r="L197" i="2"/>
  <c r="V197" i="2" s="1"/>
  <c r="U196" i="2"/>
  <c r="S196" i="2"/>
  <c r="T196" i="2" s="1"/>
  <c r="P196" i="2"/>
  <c r="R196" i="2" s="1"/>
  <c r="O196" i="2"/>
  <c r="N196" i="2"/>
  <c r="M196" i="2"/>
  <c r="L196" i="2"/>
  <c r="V196" i="2" s="1"/>
  <c r="U195" i="2"/>
  <c r="S195" i="2"/>
  <c r="T195" i="2" s="1"/>
  <c r="Q195" i="2"/>
  <c r="P195" i="2"/>
  <c r="R195" i="2" s="1"/>
  <c r="O195" i="2"/>
  <c r="N195" i="2"/>
  <c r="M195" i="2"/>
  <c r="L195" i="2"/>
  <c r="V195" i="2" s="1"/>
  <c r="U194" i="2"/>
  <c r="S194" i="2"/>
  <c r="T194" i="2" s="1"/>
  <c r="Q194" i="2"/>
  <c r="P194" i="2"/>
  <c r="R194" i="2" s="1"/>
  <c r="O194" i="2"/>
  <c r="N194" i="2"/>
  <c r="M194" i="2"/>
  <c r="L194" i="2"/>
  <c r="V194" i="2" s="1"/>
  <c r="U193" i="2"/>
  <c r="S193" i="2"/>
  <c r="T193" i="2" s="1"/>
  <c r="Q193" i="2"/>
  <c r="P193" i="2"/>
  <c r="R193" i="2" s="1"/>
  <c r="O193" i="2"/>
  <c r="N193" i="2"/>
  <c r="M193" i="2"/>
  <c r="L193" i="2"/>
  <c r="V193" i="2" s="1"/>
  <c r="U192" i="2"/>
  <c r="S192" i="2"/>
  <c r="T192" i="2" s="1"/>
  <c r="Q192" i="2"/>
  <c r="P192" i="2"/>
  <c r="R192" i="2" s="1"/>
  <c r="O192" i="2"/>
  <c r="N192" i="2"/>
  <c r="M192" i="2"/>
  <c r="L192" i="2"/>
  <c r="V192" i="2" s="1"/>
  <c r="U191" i="2"/>
  <c r="S191" i="2"/>
  <c r="T191" i="2" s="1"/>
  <c r="Q191" i="2"/>
  <c r="P191" i="2"/>
  <c r="R191" i="2" s="1"/>
  <c r="O191" i="2"/>
  <c r="N191" i="2"/>
  <c r="M191" i="2"/>
  <c r="L191" i="2"/>
  <c r="V191" i="2" s="1"/>
  <c r="U190" i="2"/>
  <c r="S190" i="2"/>
  <c r="T190" i="2" s="1"/>
  <c r="Q190" i="2"/>
  <c r="P190" i="2"/>
  <c r="R190" i="2" s="1"/>
  <c r="O190" i="2"/>
  <c r="N190" i="2"/>
  <c r="M190" i="2"/>
  <c r="L190" i="2"/>
  <c r="V190" i="2" s="1"/>
  <c r="U189" i="2"/>
  <c r="S189" i="2"/>
  <c r="T189" i="2" s="1"/>
  <c r="Q189" i="2"/>
  <c r="P189" i="2"/>
  <c r="R189" i="2" s="1"/>
  <c r="O189" i="2"/>
  <c r="N189" i="2"/>
  <c r="M189" i="2"/>
  <c r="L189" i="2"/>
  <c r="V189" i="2" s="1"/>
  <c r="U188" i="2"/>
  <c r="S188" i="2"/>
  <c r="T188" i="2" s="1"/>
  <c r="P188" i="2"/>
  <c r="R188" i="2" s="1"/>
  <c r="O188" i="2"/>
  <c r="N188" i="2"/>
  <c r="M188" i="2"/>
  <c r="L188" i="2"/>
  <c r="V188" i="2" s="1"/>
  <c r="U187" i="2"/>
  <c r="S187" i="2"/>
  <c r="T187" i="2" s="1"/>
  <c r="Q187" i="2"/>
  <c r="P187" i="2"/>
  <c r="R187" i="2" s="1"/>
  <c r="O187" i="2"/>
  <c r="N187" i="2"/>
  <c r="M187" i="2"/>
  <c r="L187" i="2"/>
  <c r="V187" i="2" s="1"/>
  <c r="U186" i="2"/>
  <c r="S186" i="2"/>
  <c r="T186" i="2" s="1"/>
  <c r="Q186" i="2"/>
  <c r="P186" i="2"/>
  <c r="R186" i="2" s="1"/>
  <c r="O186" i="2"/>
  <c r="N186" i="2"/>
  <c r="M186" i="2"/>
  <c r="L186" i="2"/>
  <c r="V186" i="2" s="1"/>
  <c r="U185" i="2"/>
  <c r="S185" i="2"/>
  <c r="T185" i="2" s="1"/>
  <c r="Q185" i="2"/>
  <c r="P185" i="2"/>
  <c r="R185" i="2" s="1"/>
  <c r="O185" i="2"/>
  <c r="N185" i="2"/>
  <c r="M185" i="2"/>
  <c r="L185" i="2"/>
  <c r="V185" i="2" s="1"/>
  <c r="U184" i="2"/>
  <c r="S184" i="2"/>
  <c r="T184" i="2" s="1"/>
  <c r="Q184" i="2"/>
  <c r="P184" i="2"/>
  <c r="R184" i="2" s="1"/>
  <c r="O184" i="2"/>
  <c r="N184" i="2"/>
  <c r="M184" i="2"/>
  <c r="L184" i="2"/>
  <c r="V184" i="2" s="1"/>
  <c r="U183" i="2"/>
  <c r="S183" i="2"/>
  <c r="T183" i="2" s="1"/>
  <c r="Q183" i="2"/>
  <c r="P183" i="2"/>
  <c r="R183" i="2" s="1"/>
  <c r="O183" i="2"/>
  <c r="N183" i="2"/>
  <c r="M183" i="2"/>
  <c r="L183" i="2"/>
  <c r="V183" i="2" s="1"/>
  <c r="U182" i="2"/>
  <c r="S182" i="2"/>
  <c r="T182" i="2" s="1"/>
  <c r="Q182" i="2"/>
  <c r="P182" i="2"/>
  <c r="R182" i="2" s="1"/>
  <c r="O182" i="2"/>
  <c r="N182" i="2"/>
  <c r="M182" i="2"/>
  <c r="L182" i="2"/>
  <c r="V182" i="2" s="1"/>
  <c r="U181" i="2"/>
  <c r="S181" i="2"/>
  <c r="T181" i="2" s="1"/>
  <c r="Q181" i="2"/>
  <c r="P181" i="2"/>
  <c r="R181" i="2" s="1"/>
  <c r="O181" i="2"/>
  <c r="N181" i="2"/>
  <c r="M181" i="2"/>
  <c r="L181" i="2"/>
  <c r="V181" i="2" s="1"/>
  <c r="U180" i="2"/>
  <c r="S180" i="2"/>
  <c r="T180" i="2" s="1"/>
  <c r="Q180" i="2"/>
  <c r="P180" i="2"/>
  <c r="R180" i="2" s="1"/>
  <c r="O180" i="2"/>
  <c r="N180" i="2"/>
  <c r="M180" i="2"/>
  <c r="L180" i="2"/>
  <c r="V180" i="2" s="1"/>
  <c r="U179" i="2"/>
  <c r="S179" i="2"/>
  <c r="T179" i="2" s="1"/>
  <c r="Q179" i="2"/>
  <c r="P179" i="2"/>
  <c r="R179" i="2" s="1"/>
  <c r="O179" i="2"/>
  <c r="N179" i="2"/>
  <c r="M179" i="2"/>
  <c r="L179" i="2"/>
  <c r="V179" i="2" s="1"/>
  <c r="U178" i="2"/>
  <c r="S178" i="2"/>
  <c r="T178" i="2" s="1"/>
  <c r="Q178" i="2"/>
  <c r="P178" i="2"/>
  <c r="R178" i="2" s="1"/>
  <c r="O178" i="2"/>
  <c r="N178" i="2"/>
  <c r="M178" i="2"/>
  <c r="L178" i="2"/>
  <c r="V178" i="2" s="1"/>
  <c r="U177" i="2"/>
  <c r="S177" i="2"/>
  <c r="T177" i="2" s="1"/>
  <c r="Q177" i="2"/>
  <c r="P177" i="2"/>
  <c r="R177" i="2" s="1"/>
  <c r="O177" i="2"/>
  <c r="N177" i="2"/>
  <c r="M177" i="2"/>
  <c r="L177" i="2"/>
  <c r="V177" i="2" s="1"/>
  <c r="U176" i="2"/>
  <c r="S176" i="2"/>
  <c r="T176" i="2" s="1"/>
  <c r="Q176" i="2"/>
  <c r="P176" i="2"/>
  <c r="R176" i="2" s="1"/>
  <c r="O176" i="2"/>
  <c r="N176" i="2"/>
  <c r="M176" i="2"/>
  <c r="L176" i="2"/>
  <c r="V176" i="2" s="1"/>
  <c r="U175" i="2"/>
  <c r="S175" i="2"/>
  <c r="T175" i="2" s="1"/>
  <c r="Q175" i="2"/>
  <c r="P175" i="2"/>
  <c r="R175" i="2" s="1"/>
  <c r="O175" i="2"/>
  <c r="N175" i="2"/>
  <c r="M175" i="2"/>
  <c r="L175" i="2"/>
  <c r="V175" i="2" s="1"/>
  <c r="U174" i="2"/>
  <c r="S174" i="2"/>
  <c r="T174" i="2" s="1"/>
  <c r="Q174" i="2"/>
  <c r="P174" i="2"/>
  <c r="R174" i="2" s="1"/>
  <c r="O174" i="2"/>
  <c r="N174" i="2"/>
  <c r="M174" i="2"/>
  <c r="L174" i="2"/>
  <c r="V174" i="2" s="1"/>
  <c r="U173" i="2"/>
  <c r="S173" i="2"/>
  <c r="T173" i="2" s="1"/>
  <c r="Q173" i="2"/>
  <c r="P173" i="2"/>
  <c r="R173" i="2" s="1"/>
  <c r="O173" i="2"/>
  <c r="N173" i="2"/>
  <c r="M173" i="2"/>
  <c r="L173" i="2"/>
  <c r="V173" i="2" s="1"/>
  <c r="U172" i="2"/>
  <c r="S172" i="2"/>
  <c r="T172" i="2" s="1"/>
  <c r="Q172" i="2"/>
  <c r="P172" i="2"/>
  <c r="R172" i="2" s="1"/>
  <c r="O172" i="2"/>
  <c r="N172" i="2"/>
  <c r="M172" i="2"/>
  <c r="L172" i="2"/>
  <c r="V172" i="2" s="1"/>
  <c r="U171" i="2"/>
  <c r="S171" i="2"/>
  <c r="T171" i="2" s="1"/>
  <c r="Q171" i="2"/>
  <c r="P171" i="2"/>
  <c r="R171" i="2" s="1"/>
  <c r="O171" i="2"/>
  <c r="N171" i="2"/>
  <c r="M171" i="2"/>
  <c r="L171" i="2"/>
  <c r="V171" i="2" s="1"/>
  <c r="U170" i="2"/>
  <c r="S170" i="2"/>
  <c r="T170" i="2" s="1"/>
  <c r="P170" i="2"/>
  <c r="R170" i="2" s="1"/>
  <c r="O170" i="2"/>
  <c r="N170" i="2"/>
  <c r="M170" i="2"/>
  <c r="L170" i="2"/>
  <c r="V170" i="2" s="1"/>
  <c r="U169" i="2"/>
  <c r="S169" i="2"/>
  <c r="T169" i="2" s="1"/>
  <c r="Q169" i="2"/>
  <c r="P169" i="2"/>
  <c r="R169" i="2" s="1"/>
  <c r="O169" i="2"/>
  <c r="N169" i="2"/>
  <c r="M169" i="2"/>
  <c r="L169" i="2"/>
  <c r="V169" i="2" s="1"/>
  <c r="U168" i="2"/>
  <c r="S168" i="2"/>
  <c r="T168" i="2" s="1"/>
  <c r="Q168" i="2"/>
  <c r="P168" i="2"/>
  <c r="R168" i="2" s="1"/>
  <c r="O168" i="2"/>
  <c r="N168" i="2"/>
  <c r="M168" i="2"/>
  <c r="L168" i="2"/>
  <c r="V168" i="2" s="1"/>
  <c r="U167" i="2"/>
  <c r="S167" i="2"/>
  <c r="T167" i="2" s="1"/>
  <c r="Q167" i="2"/>
  <c r="P167" i="2"/>
  <c r="R167" i="2" s="1"/>
  <c r="O167" i="2"/>
  <c r="N167" i="2"/>
  <c r="M167" i="2"/>
  <c r="L167" i="2"/>
  <c r="V167" i="2" s="1"/>
  <c r="U166" i="2"/>
  <c r="S166" i="2"/>
  <c r="T166" i="2" s="1"/>
  <c r="Q166" i="2"/>
  <c r="P166" i="2"/>
  <c r="R166" i="2" s="1"/>
  <c r="O166" i="2"/>
  <c r="N166" i="2"/>
  <c r="M166" i="2"/>
  <c r="L166" i="2"/>
  <c r="V166" i="2" s="1"/>
  <c r="U165" i="2"/>
  <c r="S165" i="2"/>
  <c r="T165" i="2" s="1"/>
  <c r="Q165" i="2"/>
  <c r="P165" i="2"/>
  <c r="R165" i="2" s="1"/>
  <c r="O165" i="2"/>
  <c r="N165" i="2"/>
  <c r="M165" i="2"/>
  <c r="L165" i="2"/>
  <c r="V165" i="2" s="1"/>
  <c r="U164" i="2"/>
  <c r="S164" i="2"/>
  <c r="T164" i="2" s="1"/>
  <c r="Q164" i="2"/>
  <c r="P164" i="2"/>
  <c r="R164" i="2" s="1"/>
  <c r="O164" i="2"/>
  <c r="N164" i="2"/>
  <c r="M164" i="2"/>
  <c r="L164" i="2"/>
  <c r="V164" i="2" s="1"/>
  <c r="U163" i="2"/>
  <c r="S163" i="2"/>
  <c r="T163" i="2" s="1"/>
  <c r="Q163" i="2"/>
  <c r="P163" i="2"/>
  <c r="R163" i="2" s="1"/>
  <c r="O163" i="2"/>
  <c r="N163" i="2"/>
  <c r="M163" i="2"/>
  <c r="L163" i="2"/>
  <c r="V163" i="2" s="1"/>
  <c r="U162" i="2"/>
  <c r="S162" i="2"/>
  <c r="T162" i="2" s="1"/>
  <c r="Q162" i="2"/>
  <c r="P162" i="2"/>
  <c r="R162" i="2" s="1"/>
  <c r="O162" i="2"/>
  <c r="N162" i="2"/>
  <c r="M162" i="2"/>
  <c r="L162" i="2"/>
  <c r="V162" i="2" s="1"/>
  <c r="U161" i="2"/>
  <c r="S161" i="2"/>
  <c r="T161" i="2" s="1"/>
  <c r="Q161" i="2"/>
  <c r="P161" i="2"/>
  <c r="R161" i="2" s="1"/>
  <c r="O161" i="2"/>
  <c r="N161" i="2"/>
  <c r="M161" i="2"/>
  <c r="L161" i="2"/>
  <c r="V161" i="2" s="1"/>
  <c r="U160" i="2"/>
  <c r="S160" i="2"/>
  <c r="T160" i="2" s="1"/>
  <c r="Q160" i="2"/>
  <c r="P160" i="2"/>
  <c r="R160" i="2" s="1"/>
  <c r="O160" i="2"/>
  <c r="N160" i="2"/>
  <c r="M160" i="2"/>
  <c r="L160" i="2"/>
  <c r="V160" i="2" s="1"/>
  <c r="U159" i="2"/>
  <c r="S159" i="2"/>
  <c r="T159" i="2" s="1"/>
  <c r="Q159" i="2"/>
  <c r="P159" i="2"/>
  <c r="R159" i="2" s="1"/>
  <c r="O159" i="2"/>
  <c r="N159" i="2"/>
  <c r="M159" i="2"/>
  <c r="L159" i="2"/>
  <c r="V159" i="2" s="1"/>
  <c r="U158" i="2"/>
  <c r="S158" i="2"/>
  <c r="T158" i="2" s="1"/>
  <c r="Q158" i="2"/>
  <c r="P158" i="2"/>
  <c r="R158" i="2" s="1"/>
  <c r="O158" i="2"/>
  <c r="N158" i="2"/>
  <c r="M158" i="2"/>
  <c r="L158" i="2"/>
  <c r="V158" i="2" s="1"/>
  <c r="U157" i="2"/>
  <c r="S157" i="2"/>
  <c r="T157" i="2" s="1"/>
  <c r="Q157" i="2"/>
  <c r="P157" i="2"/>
  <c r="R157" i="2" s="1"/>
  <c r="O157" i="2"/>
  <c r="N157" i="2"/>
  <c r="M157" i="2"/>
  <c r="L157" i="2"/>
  <c r="V157" i="2" s="1"/>
  <c r="U156" i="2"/>
  <c r="S156" i="2"/>
  <c r="T156" i="2" s="1"/>
  <c r="Q156" i="2"/>
  <c r="P156" i="2"/>
  <c r="R156" i="2" s="1"/>
  <c r="O156" i="2"/>
  <c r="N156" i="2"/>
  <c r="M156" i="2"/>
  <c r="L156" i="2"/>
  <c r="V156" i="2" s="1"/>
  <c r="U155" i="2"/>
  <c r="S155" i="2"/>
  <c r="T155" i="2" s="1"/>
  <c r="Q155" i="2"/>
  <c r="P155" i="2"/>
  <c r="R155" i="2" s="1"/>
  <c r="O155" i="2"/>
  <c r="N155" i="2"/>
  <c r="M155" i="2"/>
  <c r="L155" i="2"/>
  <c r="V155" i="2" s="1"/>
  <c r="U154" i="2"/>
  <c r="S154" i="2"/>
  <c r="T154" i="2" s="1"/>
  <c r="P154" i="2"/>
  <c r="R154" i="2" s="1"/>
  <c r="O154" i="2"/>
  <c r="N154" i="2"/>
  <c r="M154" i="2"/>
  <c r="L154" i="2"/>
  <c r="V154" i="2" s="1"/>
  <c r="U153" i="2"/>
  <c r="S153" i="2"/>
  <c r="T153" i="2" s="1"/>
  <c r="Q153" i="2"/>
  <c r="P153" i="2"/>
  <c r="R153" i="2" s="1"/>
  <c r="O153" i="2"/>
  <c r="N153" i="2"/>
  <c r="M153" i="2"/>
  <c r="L153" i="2"/>
  <c r="V153" i="2" s="1"/>
  <c r="U152" i="2"/>
  <c r="S152" i="2"/>
  <c r="T152" i="2" s="1"/>
  <c r="Q152" i="2"/>
  <c r="P152" i="2"/>
  <c r="R152" i="2" s="1"/>
  <c r="O152" i="2"/>
  <c r="N152" i="2"/>
  <c r="M152" i="2"/>
  <c r="L152" i="2"/>
  <c r="V152" i="2" s="1"/>
  <c r="U151" i="2"/>
  <c r="S151" i="2"/>
  <c r="T151" i="2" s="1"/>
  <c r="P151" i="2"/>
  <c r="R151" i="2" s="1"/>
  <c r="O151" i="2"/>
  <c r="N151" i="2"/>
  <c r="M151" i="2"/>
  <c r="L151" i="2"/>
  <c r="V151" i="2" s="1"/>
  <c r="U150" i="2"/>
  <c r="S150" i="2"/>
  <c r="T150" i="2" s="1"/>
  <c r="Q150" i="2"/>
  <c r="P150" i="2"/>
  <c r="R150" i="2" s="1"/>
  <c r="O150" i="2"/>
  <c r="N150" i="2"/>
  <c r="M150" i="2"/>
  <c r="L150" i="2"/>
  <c r="V150" i="2" s="1"/>
  <c r="U149" i="2"/>
  <c r="S149" i="2"/>
  <c r="T149" i="2" s="1"/>
  <c r="Q149" i="2"/>
  <c r="P149" i="2"/>
  <c r="R149" i="2" s="1"/>
  <c r="O149" i="2"/>
  <c r="N149" i="2"/>
  <c r="M149" i="2"/>
  <c r="L149" i="2"/>
  <c r="V149" i="2" s="1"/>
  <c r="U148" i="2"/>
  <c r="S148" i="2"/>
  <c r="T148" i="2" s="1"/>
  <c r="Q148" i="2"/>
  <c r="P148" i="2"/>
  <c r="R148" i="2" s="1"/>
  <c r="O148" i="2"/>
  <c r="N148" i="2"/>
  <c r="M148" i="2"/>
  <c r="L148" i="2"/>
  <c r="V148" i="2" s="1"/>
  <c r="U147" i="2"/>
  <c r="S147" i="2"/>
  <c r="T147" i="2" s="1"/>
  <c r="Q147" i="2"/>
  <c r="P147" i="2"/>
  <c r="R147" i="2" s="1"/>
  <c r="O147" i="2"/>
  <c r="N147" i="2"/>
  <c r="M147" i="2"/>
  <c r="L147" i="2"/>
  <c r="V147" i="2" s="1"/>
  <c r="U146" i="2"/>
  <c r="S146" i="2"/>
  <c r="T146" i="2" s="1"/>
  <c r="Q146" i="2"/>
  <c r="P146" i="2"/>
  <c r="R146" i="2" s="1"/>
  <c r="O146" i="2"/>
  <c r="N146" i="2"/>
  <c r="M146" i="2"/>
  <c r="L146" i="2"/>
  <c r="V146" i="2" s="1"/>
  <c r="U145" i="2"/>
  <c r="S145" i="2"/>
  <c r="T145" i="2" s="1"/>
  <c r="Q145" i="2"/>
  <c r="P145" i="2"/>
  <c r="R145" i="2" s="1"/>
  <c r="O145" i="2"/>
  <c r="N145" i="2"/>
  <c r="M145" i="2"/>
  <c r="L145" i="2"/>
  <c r="V145" i="2" s="1"/>
  <c r="U144" i="2"/>
  <c r="S144" i="2"/>
  <c r="T144" i="2" s="1"/>
  <c r="Q144" i="2"/>
  <c r="P144" i="2"/>
  <c r="R144" i="2" s="1"/>
  <c r="O144" i="2"/>
  <c r="N144" i="2"/>
  <c r="M144" i="2"/>
  <c r="L144" i="2"/>
  <c r="V144" i="2" s="1"/>
  <c r="U143" i="2"/>
  <c r="S143" i="2"/>
  <c r="T143" i="2" s="1"/>
  <c r="Q143" i="2"/>
  <c r="P143" i="2"/>
  <c r="R143" i="2" s="1"/>
  <c r="O143" i="2"/>
  <c r="N143" i="2"/>
  <c r="M143" i="2"/>
  <c r="L143" i="2"/>
  <c r="V143" i="2" s="1"/>
  <c r="U142" i="2"/>
  <c r="S142" i="2"/>
  <c r="T142" i="2" s="1"/>
  <c r="Q142" i="2"/>
  <c r="P142" i="2"/>
  <c r="R142" i="2" s="1"/>
  <c r="O142" i="2"/>
  <c r="N142" i="2"/>
  <c r="M142" i="2"/>
  <c r="L142" i="2"/>
  <c r="V142" i="2" s="1"/>
  <c r="U141" i="2"/>
  <c r="S141" i="2"/>
  <c r="T141" i="2" s="1"/>
  <c r="Q141" i="2"/>
  <c r="P141" i="2"/>
  <c r="R141" i="2" s="1"/>
  <c r="O141" i="2"/>
  <c r="N141" i="2"/>
  <c r="M141" i="2"/>
  <c r="L141" i="2"/>
  <c r="V141" i="2" s="1"/>
  <c r="U140" i="2"/>
  <c r="S140" i="2"/>
  <c r="T140" i="2" s="1"/>
  <c r="Q140" i="2"/>
  <c r="P140" i="2"/>
  <c r="R140" i="2" s="1"/>
  <c r="O140" i="2"/>
  <c r="N140" i="2"/>
  <c r="M140" i="2"/>
  <c r="L140" i="2"/>
  <c r="V140" i="2" s="1"/>
  <c r="U139" i="2"/>
  <c r="S139" i="2"/>
  <c r="T139" i="2" s="1"/>
  <c r="Q139" i="2"/>
  <c r="P139" i="2"/>
  <c r="R139" i="2" s="1"/>
  <c r="O139" i="2"/>
  <c r="N139" i="2"/>
  <c r="M139" i="2"/>
  <c r="L139" i="2"/>
  <c r="V139" i="2" s="1"/>
  <c r="U138" i="2"/>
  <c r="S138" i="2"/>
  <c r="T138" i="2" s="1"/>
  <c r="Q138" i="2"/>
  <c r="P138" i="2"/>
  <c r="R138" i="2" s="1"/>
  <c r="O138" i="2"/>
  <c r="N138" i="2"/>
  <c r="M138" i="2"/>
  <c r="L138" i="2"/>
  <c r="V138" i="2" s="1"/>
  <c r="U137" i="2"/>
  <c r="S137" i="2"/>
  <c r="T137" i="2" s="1"/>
  <c r="Q137" i="2"/>
  <c r="P137" i="2"/>
  <c r="R137" i="2" s="1"/>
  <c r="O137" i="2"/>
  <c r="N137" i="2"/>
  <c r="M137" i="2"/>
  <c r="L137" i="2"/>
  <c r="V137" i="2" s="1"/>
  <c r="U136" i="2"/>
  <c r="S136" i="2"/>
  <c r="T136" i="2" s="1"/>
  <c r="Q136" i="2"/>
  <c r="P136" i="2"/>
  <c r="R136" i="2" s="1"/>
  <c r="O136" i="2"/>
  <c r="N136" i="2"/>
  <c r="M136" i="2"/>
  <c r="L136" i="2"/>
  <c r="V136" i="2" s="1"/>
  <c r="U135" i="2"/>
  <c r="S135" i="2"/>
  <c r="T135" i="2" s="1"/>
  <c r="Q135" i="2"/>
  <c r="P135" i="2"/>
  <c r="R135" i="2" s="1"/>
  <c r="O135" i="2"/>
  <c r="N135" i="2"/>
  <c r="M135" i="2"/>
  <c r="L135" i="2"/>
  <c r="V135" i="2" s="1"/>
  <c r="U134" i="2"/>
  <c r="S134" i="2"/>
  <c r="T134" i="2" s="1"/>
  <c r="Q134" i="2"/>
  <c r="P134" i="2"/>
  <c r="R134" i="2" s="1"/>
  <c r="O134" i="2"/>
  <c r="N134" i="2"/>
  <c r="M134" i="2"/>
  <c r="L134" i="2"/>
  <c r="V134" i="2" s="1"/>
  <c r="U133" i="2"/>
  <c r="S133" i="2"/>
  <c r="T133" i="2" s="1"/>
  <c r="Q133" i="2"/>
  <c r="P133" i="2"/>
  <c r="R133" i="2" s="1"/>
  <c r="O133" i="2"/>
  <c r="N133" i="2"/>
  <c r="M133" i="2"/>
  <c r="L133" i="2"/>
  <c r="V133" i="2" s="1"/>
  <c r="U132" i="2"/>
  <c r="S132" i="2"/>
  <c r="T132" i="2" s="1"/>
  <c r="Q132" i="2"/>
  <c r="P132" i="2"/>
  <c r="R132" i="2" s="1"/>
  <c r="O132" i="2"/>
  <c r="N132" i="2"/>
  <c r="M132" i="2"/>
  <c r="L132" i="2"/>
  <c r="V132" i="2" s="1"/>
  <c r="U131" i="2"/>
  <c r="S131" i="2"/>
  <c r="T131" i="2" s="1"/>
  <c r="Q131" i="2"/>
  <c r="P131" i="2"/>
  <c r="R131" i="2" s="1"/>
  <c r="O131" i="2"/>
  <c r="N131" i="2"/>
  <c r="M131" i="2"/>
  <c r="L131" i="2"/>
  <c r="V131" i="2" s="1"/>
  <c r="U130" i="2"/>
  <c r="S130" i="2"/>
  <c r="T130" i="2" s="1"/>
  <c r="Q130" i="2"/>
  <c r="P130" i="2"/>
  <c r="R130" i="2" s="1"/>
  <c r="O130" i="2"/>
  <c r="N130" i="2"/>
  <c r="M130" i="2"/>
  <c r="L130" i="2"/>
  <c r="V130" i="2" s="1"/>
  <c r="U129" i="2"/>
  <c r="S129" i="2"/>
  <c r="T129" i="2" s="1"/>
  <c r="Q129" i="2"/>
  <c r="P129" i="2"/>
  <c r="R129" i="2" s="1"/>
  <c r="O129" i="2"/>
  <c r="N129" i="2"/>
  <c r="M129" i="2"/>
  <c r="L129" i="2"/>
  <c r="V129" i="2" s="1"/>
  <c r="U128" i="2"/>
  <c r="S128" i="2"/>
  <c r="T128" i="2" s="1"/>
  <c r="Q128" i="2"/>
  <c r="P128" i="2"/>
  <c r="R128" i="2" s="1"/>
  <c r="O128" i="2"/>
  <c r="N128" i="2"/>
  <c r="M128" i="2"/>
  <c r="L128" i="2"/>
  <c r="V128" i="2" s="1"/>
  <c r="U127" i="2"/>
  <c r="S127" i="2"/>
  <c r="T127" i="2" s="1"/>
  <c r="Q127" i="2"/>
  <c r="P127" i="2"/>
  <c r="R127" i="2" s="1"/>
  <c r="O127" i="2"/>
  <c r="N127" i="2"/>
  <c r="M127" i="2"/>
  <c r="L127" i="2"/>
  <c r="V127" i="2" s="1"/>
  <c r="U126" i="2"/>
  <c r="S126" i="2"/>
  <c r="T126" i="2" s="1"/>
  <c r="Q126" i="2"/>
  <c r="P126" i="2"/>
  <c r="R126" i="2" s="1"/>
  <c r="O126" i="2"/>
  <c r="N126" i="2"/>
  <c r="M126" i="2"/>
  <c r="L126" i="2"/>
  <c r="V126" i="2" s="1"/>
  <c r="U125" i="2"/>
  <c r="S125" i="2"/>
  <c r="T125" i="2" s="1"/>
  <c r="Q125" i="2"/>
  <c r="P125" i="2"/>
  <c r="R125" i="2" s="1"/>
  <c r="O125" i="2"/>
  <c r="N125" i="2"/>
  <c r="M125" i="2"/>
  <c r="L125" i="2"/>
  <c r="V125" i="2" s="1"/>
  <c r="U124" i="2"/>
  <c r="S124" i="2"/>
  <c r="T124" i="2" s="1"/>
  <c r="Q124" i="2"/>
  <c r="P124" i="2"/>
  <c r="R124" i="2" s="1"/>
  <c r="O124" i="2"/>
  <c r="N124" i="2"/>
  <c r="M124" i="2"/>
  <c r="L124" i="2"/>
  <c r="V124" i="2" s="1"/>
  <c r="U123" i="2"/>
  <c r="S123" i="2"/>
  <c r="T123" i="2" s="1"/>
  <c r="Q123" i="2"/>
  <c r="P123" i="2"/>
  <c r="R123" i="2" s="1"/>
  <c r="O123" i="2"/>
  <c r="N123" i="2"/>
  <c r="M123" i="2"/>
  <c r="L123" i="2"/>
  <c r="V123" i="2" s="1"/>
  <c r="U122" i="2"/>
  <c r="S122" i="2"/>
  <c r="T122" i="2" s="1"/>
  <c r="Q122" i="2"/>
  <c r="P122" i="2"/>
  <c r="R122" i="2" s="1"/>
  <c r="O122" i="2"/>
  <c r="N122" i="2"/>
  <c r="M122" i="2"/>
  <c r="L122" i="2"/>
  <c r="V122" i="2" s="1"/>
  <c r="U121" i="2"/>
  <c r="S121" i="2"/>
  <c r="T121" i="2" s="1"/>
  <c r="Q121" i="2"/>
  <c r="P121" i="2"/>
  <c r="R121" i="2" s="1"/>
  <c r="O121" i="2"/>
  <c r="N121" i="2"/>
  <c r="M121" i="2"/>
  <c r="L121" i="2"/>
  <c r="V121" i="2" s="1"/>
  <c r="U120" i="2"/>
  <c r="S120" i="2"/>
  <c r="T120" i="2" s="1"/>
  <c r="Q120" i="2"/>
  <c r="P120" i="2"/>
  <c r="R120" i="2" s="1"/>
  <c r="O120" i="2"/>
  <c r="N120" i="2"/>
  <c r="M120" i="2"/>
  <c r="L120" i="2"/>
  <c r="V120" i="2" s="1"/>
  <c r="U119" i="2"/>
  <c r="S119" i="2"/>
  <c r="T119" i="2" s="1"/>
  <c r="Q119" i="2"/>
  <c r="P119" i="2"/>
  <c r="R119" i="2" s="1"/>
  <c r="O119" i="2"/>
  <c r="N119" i="2"/>
  <c r="M119" i="2"/>
  <c r="L119" i="2"/>
  <c r="V119" i="2" s="1"/>
  <c r="U118" i="2"/>
  <c r="S118" i="2"/>
  <c r="T118" i="2" s="1"/>
  <c r="Q118" i="2"/>
  <c r="P118" i="2"/>
  <c r="R118" i="2" s="1"/>
  <c r="O118" i="2"/>
  <c r="N118" i="2"/>
  <c r="M118" i="2"/>
  <c r="L118" i="2"/>
  <c r="V118" i="2" s="1"/>
  <c r="U117" i="2"/>
  <c r="S117" i="2"/>
  <c r="T117" i="2" s="1"/>
  <c r="Q117" i="2"/>
  <c r="P117" i="2"/>
  <c r="R117" i="2" s="1"/>
  <c r="O117" i="2"/>
  <c r="N117" i="2"/>
  <c r="M117" i="2"/>
  <c r="L117" i="2"/>
  <c r="V117" i="2" s="1"/>
  <c r="U116" i="2"/>
  <c r="S116" i="2"/>
  <c r="T116" i="2" s="1"/>
  <c r="Q116" i="2"/>
  <c r="P116" i="2"/>
  <c r="R116" i="2" s="1"/>
  <c r="O116" i="2"/>
  <c r="N116" i="2"/>
  <c r="M116" i="2"/>
  <c r="L116" i="2"/>
  <c r="V116" i="2" s="1"/>
  <c r="U115" i="2"/>
  <c r="S115" i="2"/>
  <c r="T115" i="2" s="1"/>
  <c r="Q115" i="2"/>
  <c r="P115" i="2"/>
  <c r="R115" i="2" s="1"/>
  <c r="O115" i="2"/>
  <c r="N115" i="2"/>
  <c r="M115" i="2"/>
  <c r="L115" i="2"/>
  <c r="V115" i="2" s="1"/>
  <c r="U114" i="2"/>
  <c r="S114" i="2"/>
  <c r="T114" i="2" s="1"/>
  <c r="Q114" i="2"/>
  <c r="P114" i="2"/>
  <c r="R114" i="2" s="1"/>
  <c r="O114" i="2"/>
  <c r="N114" i="2"/>
  <c r="M114" i="2"/>
  <c r="L114" i="2"/>
  <c r="V114" i="2" s="1"/>
  <c r="U113" i="2"/>
  <c r="S113" i="2"/>
  <c r="T113" i="2" s="1"/>
  <c r="Q113" i="2"/>
  <c r="P113" i="2"/>
  <c r="R113" i="2" s="1"/>
  <c r="O113" i="2"/>
  <c r="N113" i="2"/>
  <c r="M113" i="2"/>
  <c r="L113" i="2"/>
  <c r="V113" i="2" s="1"/>
  <c r="U112" i="2"/>
  <c r="S112" i="2"/>
  <c r="T112" i="2" s="1"/>
  <c r="Q112" i="2"/>
  <c r="P112" i="2"/>
  <c r="R112" i="2" s="1"/>
  <c r="O112" i="2"/>
  <c r="N112" i="2"/>
  <c r="M112" i="2"/>
  <c r="L112" i="2"/>
  <c r="V112" i="2" s="1"/>
  <c r="V111" i="2"/>
  <c r="U111" i="2"/>
  <c r="S111" i="2"/>
  <c r="T111" i="2" s="1"/>
  <c r="Q111" i="2"/>
  <c r="P111" i="2"/>
  <c r="R111" i="2" s="1"/>
  <c r="O111" i="2"/>
  <c r="N111" i="2"/>
  <c r="M111" i="2"/>
  <c r="L111" i="2"/>
  <c r="U110" i="2"/>
  <c r="S110" i="2"/>
  <c r="T110" i="2" s="1"/>
  <c r="Q110" i="2"/>
  <c r="P110" i="2"/>
  <c r="R110" i="2" s="1"/>
  <c r="O110" i="2"/>
  <c r="N110" i="2"/>
  <c r="M110" i="2"/>
  <c r="L110" i="2"/>
  <c r="V110" i="2" s="1"/>
  <c r="U109" i="2"/>
  <c r="S109" i="2"/>
  <c r="T109" i="2" s="1"/>
  <c r="Q109" i="2"/>
  <c r="P109" i="2"/>
  <c r="R109" i="2" s="1"/>
  <c r="O109" i="2"/>
  <c r="N109" i="2"/>
  <c r="M109" i="2"/>
  <c r="L109" i="2"/>
  <c r="V109" i="2" s="1"/>
  <c r="U108" i="2"/>
  <c r="S108" i="2"/>
  <c r="T108" i="2" s="1"/>
  <c r="Q108" i="2"/>
  <c r="P108" i="2"/>
  <c r="R108" i="2" s="1"/>
  <c r="O108" i="2"/>
  <c r="N108" i="2"/>
  <c r="M108" i="2"/>
  <c r="L108" i="2"/>
  <c r="V108" i="2" s="1"/>
  <c r="U107" i="2"/>
  <c r="S107" i="2"/>
  <c r="T107" i="2" s="1"/>
  <c r="Q107" i="2"/>
  <c r="P107" i="2"/>
  <c r="R107" i="2" s="1"/>
  <c r="O107" i="2"/>
  <c r="N107" i="2"/>
  <c r="M107" i="2"/>
  <c r="L107" i="2"/>
  <c r="V107" i="2" s="1"/>
  <c r="U106" i="2"/>
  <c r="S106" i="2"/>
  <c r="T106" i="2" s="1"/>
  <c r="P106" i="2"/>
  <c r="R106" i="2" s="1"/>
  <c r="O106" i="2"/>
  <c r="N106" i="2"/>
  <c r="M106" i="2"/>
  <c r="L106" i="2"/>
  <c r="V106" i="2" s="1"/>
  <c r="U105" i="2"/>
  <c r="S105" i="2"/>
  <c r="T105" i="2" s="1"/>
  <c r="Q105" i="2"/>
  <c r="P105" i="2"/>
  <c r="R105" i="2" s="1"/>
  <c r="O105" i="2"/>
  <c r="N105" i="2"/>
  <c r="M105" i="2"/>
  <c r="L105" i="2"/>
  <c r="V105" i="2" s="1"/>
  <c r="U104" i="2"/>
  <c r="S104" i="2"/>
  <c r="T104" i="2" s="1"/>
  <c r="Q104" i="2"/>
  <c r="P104" i="2"/>
  <c r="R104" i="2" s="1"/>
  <c r="O104" i="2"/>
  <c r="N104" i="2"/>
  <c r="M104" i="2"/>
  <c r="L104" i="2"/>
  <c r="V104" i="2" s="1"/>
  <c r="U103" i="2"/>
  <c r="S103" i="2"/>
  <c r="T103" i="2" s="1"/>
  <c r="Q103" i="2"/>
  <c r="P103" i="2"/>
  <c r="R103" i="2" s="1"/>
  <c r="O103" i="2"/>
  <c r="N103" i="2"/>
  <c r="M103" i="2"/>
  <c r="L103" i="2"/>
  <c r="V103" i="2" s="1"/>
  <c r="U102" i="2"/>
  <c r="S102" i="2"/>
  <c r="T102" i="2" s="1"/>
  <c r="Q102" i="2"/>
  <c r="P102" i="2"/>
  <c r="R102" i="2" s="1"/>
  <c r="O102" i="2"/>
  <c r="N102" i="2"/>
  <c r="M102" i="2"/>
  <c r="L102" i="2"/>
  <c r="V102" i="2" s="1"/>
  <c r="U101" i="2"/>
  <c r="S101" i="2"/>
  <c r="T101" i="2" s="1"/>
  <c r="Q101" i="2"/>
  <c r="P101" i="2"/>
  <c r="R101" i="2" s="1"/>
  <c r="O101" i="2"/>
  <c r="N101" i="2"/>
  <c r="M101" i="2"/>
  <c r="L101" i="2"/>
  <c r="V101" i="2" s="1"/>
  <c r="U100" i="2"/>
  <c r="S100" i="2"/>
  <c r="T100" i="2" s="1"/>
  <c r="P100" i="2"/>
  <c r="R100" i="2" s="1"/>
  <c r="O100" i="2"/>
  <c r="N100" i="2"/>
  <c r="M100" i="2"/>
  <c r="L100" i="2"/>
  <c r="V100" i="2" s="1"/>
  <c r="U99" i="2"/>
  <c r="S99" i="2"/>
  <c r="T99" i="2" s="1"/>
  <c r="Q99" i="2"/>
  <c r="P99" i="2"/>
  <c r="R99" i="2" s="1"/>
  <c r="O99" i="2"/>
  <c r="N99" i="2"/>
  <c r="M99" i="2"/>
  <c r="L99" i="2"/>
  <c r="V99" i="2" s="1"/>
  <c r="U98" i="2"/>
  <c r="S98" i="2"/>
  <c r="T98" i="2" s="1"/>
  <c r="Q98" i="2"/>
  <c r="P98" i="2"/>
  <c r="R98" i="2" s="1"/>
  <c r="O98" i="2"/>
  <c r="N98" i="2"/>
  <c r="M98" i="2"/>
  <c r="L98" i="2"/>
  <c r="V98" i="2" s="1"/>
  <c r="U97" i="2"/>
  <c r="S97" i="2"/>
  <c r="T97" i="2" s="1"/>
  <c r="Q97" i="2"/>
  <c r="P97" i="2"/>
  <c r="R97" i="2" s="1"/>
  <c r="O97" i="2"/>
  <c r="N97" i="2"/>
  <c r="M97" i="2"/>
  <c r="L97" i="2"/>
  <c r="V97" i="2" s="1"/>
  <c r="U96" i="2"/>
  <c r="S96" i="2"/>
  <c r="T96" i="2" s="1"/>
  <c r="Q96" i="2"/>
  <c r="P96" i="2"/>
  <c r="R96" i="2" s="1"/>
  <c r="O96" i="2"/>
  <c r="N96" i="2"/>
  <c r="M96" i="2"/>
  <c r="L96" i="2"/>
  <c r="V96" i="2" s="1"/>
  <c r="U95" i="2"/>
  <c r="S95" i="2"/>
  <c r="T95" i="2" s="1"/>
  <c r="Q95" i="2"/>
  <c r="P95" i="2"/>
  <c r="R95" i="2" s="1"/>
  <c r="O95" i="2"/>
  <c r="N95" i="2"/>
  <c r="M95" i="2"/>
  <c r="L95" i="2"/>
  <c r="V95" i="2" s="1"/>
  <c r="U94" i="2"/>
  <c r="S94" i="2"/>
  <c r="T94" i="2" s="1"/>
  <c r="Q94" i="2"/>
  <c r="P94" i="2"/>
  <c r="R94" i="2" s="1"/>
  <c r="O94" i="2"/>
  <c r="N94" i="2"/>
  <c r="M94" i="2"/>
  <c r="L94" i="2"/>
  <c r="V94" i="2" s="1"/>
  <c r="U93" i="2"/>
  <c r="S93" i="2"/>
  <c r="T93" i="2" s="1"/>
  <c r="Q93" i="2"/>
  <c r="P93" i="2"/>
  <c r="R93" i="2" s="1"/>
  <c r="O93" i="2"/>
  <c r="N93" i="2"/>
  <c r="M93" i="2"/>
  <c r="L93" i="2"/>
  <c r="V93" i="2" s="1"/>
  <c r="U92" i="2"/>
  <c r="S92" i="2"/>
  <c r="T92" i="2" s="1"/>
  <c r="Q92" i="2"/>
  <c r="P92" i="2"/>
  <c r="R92" i="2" s="1"/>
  <c r="O92" i="2"/>
  <c r="N92" i="2"/>
  <c r="M92" i="2"/>
  <c r="L92" i="2"/>
  <c r="V92" i="2" s="1"/>
  <c r="U91" i="2"/>
  <c r="S91" i="2"/>
  <c r="T91" i="2" s="1"/>
  <c r="Q91" i="2"/>
  <c r="P91" i="2"/>
  <c r="R91" i="2" s="1"/>
  <c r="O91" i="2"/>
  <c r="N91" i="2"/>
  <c r="M91" i="2"/>
  <c r="L91" i="2"/>
  <c r="V91" i="2" s="1"/>
  <c r="U90" i="2"/>
  <c r="S90" i="2"/>
  <c r="T90" i="2" s="1"/>
  <c r="Q90" i="2"/>
  <c r="P90" i="2"/>
  <c r="R90" i="2" s="1"/>
  <c r="O90" i="2"/>
  <c r="N90" i="2"/>
  <c r="M90" i="2"/>
  <c r="L90" i="2"/>
  <c r="V90" i="2" s="1"/>
  <c r="U89" i="2"/>
  <c r="S89" i="2"/>
  <c r="T89" i="2" s="1"/>
  <c r="Q89" i="2"/>
  <c r="P89" i="2"/>
  <c r="R89" i="2" s="1"/>
  <c r="O89" i="2"/>
  <c r="N89" i="2"/>
  <c r="M89" i="2"/>
  <c r="L89" i="2"/>
  <c r="V89" i="2" s="1"/>
  <c r="U88" i="2"/>
  <c r="S88" i="2"/>
  <c r="T88" i="2" s="1"/>
  <c r="Q88" i="2"/>
  <c r="P88" i="2"/>
  <c r="R88" i="2" s="1"/>
  <c r="O88" i="2"/>
  <c r="N88" i="2"/>
  <c r="M88" i="2"/>
  <c r="L88" i="2"/>
  <c r="V88" i="2" s="1"/>
  <c r="U87" i="2"/>
  <c r="S87" i="2"/>
  <c r="T87" i="2" s="1"/>
  <c r="Q87" i="2"/>
  <c r="P87" i="2"/>
  <c r="R87" i="2" s="1"/>
  <c r="O87" i="2"/>
  <c r="N87" i="2"/>
  <c r="M87" i="2"/>
  <c r="L87" i="2"/>
  <c r="V87" i="2" s="1"/>
  <c r="U86" i="2"/>
  <c r="S86" i="2"/>
  <c r="T86" i="2" s="1"/>
  <c r="Q86" i="2"/>
  <c r="P86" i="2"/>
  <c r="R86" i="2" s="1"/>
  <c r="O86" i="2"/>
  <c r="N86" i="2"/>
  <c r="M86" i="2"/>
  <c r="L86" i="2"/>
  <c r="V86" i="2" s="1"/>
  <c r="U85" i="2"/>
  <c r="S85" i="2"/>
  <c r="T85" i="2" s="1"/>
  <c r="Q85" i="2"/>
  <c r="P85" i="2"/>
  <c r="R85" i="2" s="1"/>
  <c r="O85" i="2"/>
  <c r="N85" i="2"/>
  <c r="M85" i="2"/>
  <c r="L85" i="2"/>
  <c r="V85" i="2" s="1"/>
  <c r="U84" i="2"/>
  <c r="S84" i="2"/>
  <c r="T84" i="2" s="1"/>
  <c r="Q84" i="2"/>
  <c r="P84" i="2"/>
  <c r="R84" i="2" s="1"/>
  <c r="O84" i="2"/>
  <c r="N84" i="2"/>
  <c r="M84" i="2"/>
  <c r="L84" i="2"/>
  <c r="V84" i="2" s="1"/>
  <c r="U83" i="2"/>
  <c r="S83" i="2"/>
  <c r="T83" i="2" s="1"/>
  <c r="Q83" i="2"/>
  <c r="P83" i="2"/>
  <c r="R83" i="2" s="1"/>
  <c r="O83" i="2"/>
  <c r="N83" i="2"/>
  <c r="M83" i="2"/>
  <c r="L83" i="2"/>
  <c r="V83" i="2" s="1"/>
  <c r="U82" i="2"/>
  <c r="S82" i="2"/>
  <c r="T82" i="2" s="1"/>
  <c r="Q82" i="2"/>
  <c r="P82" i="2"/>
  <c r="R82" i="2" s="1"/>
  <c r="O82" i="2"/>
  <c r="N82" i="2"/>
  <c r="M82" i="2"/>
  <c r="L82" i="2"/>
  <c r="V82" i="2" s="1"/>
  <c r="U81" i="2"/>
  <c r="T81" i="2"/>
  <c r="S81" i="2"/>
  <c r="Q81" i="2"/>
  <c r="P81" i="2"/>
  <c r="R81" i="2" s="1"/>
  <c r="O81" i="2"/>
  <c r="N81" i="2"/>
  <c r="M81" i="2"/>
  <c r="L81" i="2"/>
  <c r="V81" i="2" s="1"/>
  <c r="U80" i="2"/>
  <c r="S80" i="2"/>
  <c r="T80" i="2" s="1"/>
  <c r="Q80" i="2"/>
  <c r="P80" i="2"/>
  <c r="R80" i="2" s="1"/>
  <c r="O80" i="2"/>
  <c r="N80" i="2"/>
  <c r="M80" i="2"/>
  <c r="L80" i="2"/>
  <c r="V80" i="2" s="1"/>
  <c r="U79" i="2"/>
  <c r="S79" i="2"/>
  <c r="T79" i="2" s="1"/>
  <c r="Q79" i="2"/>
  <c r="P79" i="2"/>
  <c r="R79" i="2" s="1"/>
  <c r="O79" i="2"/>
  <c r="N79" i="2"/>
  <c r="M79" i="2"/>
  <c r="L79" i="2"/>
  <c r="V79" i="2" s="1"/>
  <c r="U78" i="2"/>
  <c r="S78" i="2"/>
  <c r="T78" i="2" s="1"/>
  <c r="Q78" i="2"/>
  <c r="P78" i="2"/>
  <c r="R78" i="2" s="1"/>
  <c r="O78" i="2"/>
  <c r="N78" i="2"/>
  <c r="M78" i="2"/>
  <c r="L78" i="2"/>
  <c r="V78" i="2" s="1"/>
  <c r="U77" i="2"/>
  <c r="S77" i="2"/>
  <c r="T77" i="2" s="1"/>
  <c r="Q77" i="2"/>
  <c r="P77" i="2"/>
  <c r="R77" i="2" s="1"/>
  <c r="O77" i="2"/>
  <c r="N77" i="2"/>
  <c r="M77" i="2"/>
  <c r="L77" i="2"/>
  <c r="V77" i="2" s="1"/>
  <c r="U76" i="2"/>
  <c r="S76" i="2"/>
  <c r="T76" i="2" s="1"/>
  <c r="Q76" i="2"/>
  <c r="P76" i="2"/>
  <c r="R76" i="2" s="1"/>
  <c r="O76" i="2"/>
  <c r="N76" i="2"/>
  <c r="M76" i="2"/>
  <c r="L76" i="2"/>
  <c r="V76" i="2" s="1"/>
  <c r="U75" i="2"/>
  <c r="S75" i="2"/>
  <c r="T75" i="2" s="1"/>
  <c r="Q75" i="2"/>
  <c r="P75" i="2"/>
  <c r="R75" i="2" s="1"/>
  <c r="O75" i="2"/>
  <c r="N75" i="2"/>
  <c r="M75" i="2"/>
  <c r="L75" i="2"/>
  <c r="V75" i="2" s="1"/>
  <c r="U74" i="2"/>
  <c r="S74" i="2"/>
  <c r="T74" i="2" s="1"/>
  <c r="Q74" i="2"/>
  <c r="P74" i="2"/>
  <c r="R74" i="2" s="1"/>
  <c r="O74" i="2"/>
  <c r="N74" i="2"/>
  <c r="M74" i="2"/>
  <c r="L74" i="2"/>
  <c r="V74" i="2" s="1"/>
  <c r="U73" i="2"/>
  <c r="S73" i="2"/>
  <c r="T73" i="2" s="1"/>
  <c r="Q73" i="2"/>
  <c r="P73" i="2"/>
  <c r="R73" i="2" s="1"/>
  <c r="O73" i="2"/>
  <c r="N73" i="2"/>
  <c r="M73" i="2"/>
  <c r="L73" i="2"/>
  <c r="V73" i="2" s="1"/>
  <c r="U72" i="2"/>
  <c r="S72" i="2"/>
  <c r="T72" i="2" s="1"/>
  <c r="Q72" i="2"/>
  <c r="P72" i="2"/>
  <c r="R72" i="2" s="1"/>
  <c r="O72" i="2"/>
  <c r="N72" i="2"/>
  <c r="M72" i="2"/>
  <c r="L72" i="2"/>
  <c r="V72" i="2" s="1"/>
  <c r="U71" i="2"/>
  <c r="S71" i="2"/>
  <c r="T71" i="2" s="1"/>
  <c r="Q71" i="2"/>
  <c r="P71" i="2"/>
  <c r="R71" i="2" s="1"/>
  <c r="O71" i="2"/>
  <c r="N71" i="2"/>
  <c r="M71" i="2"/>
  <c r="L71" i="2"/>
  <c r="V71" i="2" s="1"/>
  <c r="U70" i="2"/>
  <c r="S70" i="2"/>
  <c r="T70" i="2" s="1"/>
  <c r="Q70" i="2"/>
  <c r="P70" i="2"/>
  <c r="R70" i="2" s="1"/>
  <c r="O70" i="2"/>
  <c r="N70" i="2"/>
  <c r="M70" i="2"/>
  <c r="L70" i="2"/>
  <c r="V70" i="2" s="1"/>
  <c r="U69" i="2"/>
  <c r="S69" i="2"/>
  <c r="T69" i="2" s="1"/>
  <c r="Q69" i="2"/>
  <c r="P69" i="2"/>
  <c r="R69" i="2" s="1"/>
  <c r="O69" i="2"/>
  <c r="N69" i="2"/>
  <c r="M69" i="2"/>
  <c r="L69" i="2"/>
  <c r="V69" i="2" s="1"/>
  <c r="U68" i="2"/>
  <c r="S68" i="2"/>
  <c r="T68" i="2" s="1"/>
  <c r="Q68" i="2"/>
  <c r="P68" i="2"/>
  <c r="R68" i="2" s="1"/>
  <c r="O68" i="2"/>
  <c r="N68" i="2"/>
  <c r="M68" i="2"/>
  <c r="L68" i="2"/>
  <c r="V68" i="2" s="1"/>
  <c r="U67" i="2"/>
  <c r="S67" i="2"/>
  <c r="T67" i="2" s="1"/>
  <c r="Q67" i="2"/>
  <c r="P67" i="2"/>
  <c r="R67" i="2" s="1"/>
  <c r="O67" i="2"/>
  <c r="N67" i="2"/>
  <c r="M67" i="2"/>
  <c r="L67" i="2"/>
  <c r="V67" i="2" s="1"/>
  <c r="U66" i="2"/>
  <c r="S66" i="2"/>
  <c r="T66" i="2" s="1"/>
  <c r="Q66" i="2"/>
  <c r="P66" i="2"/>
  <c r="R66" i="2" s="1"/>
  <c r="O66" i="2"/>
  <c r="N66" i="2"/>
  <c r="M66" i="2"/>
  <c r="L66" i="2"/>
  <c r="V66" i="2" s="1"/>
  <c r="U65" i="2"/>
  <c r="S65" i="2"/>
  <c r="T65" i="2" s="1"/>
  <c r="Q65" i="2"/>
  <c r="P65" i="2"/>
  <c r="R65" i="2" s="1"/>
  <c r="O65" i="2"/>
  <c r="N65" i="2"/>
  <c r="M65" i="2"/>
  <c r="L65" i="2"/>
  <c r="V65" i="2" s="1"/>
  <c r="U64" i="2"/>
  <c r="S64" i="2"/>
  <c r="T64" i="2" s="1"/>
  <c r="Q64" i="2"/>
  <c r="P64" i="2"/>
  <c r="R64" i="2" s="1"/>
  <c r="O64" i="2"/>
  <c r="N64" i="2"/>
  <c r="M64" i="2"/>
  <c r="L64" i="2"/>
  <c r="V64" i="2" s="1"/>
  <c r="U63" i="2"/>
  <c r="S63" i="2"/>
  <c r="T63" i="2" s="1"/>
  <c r="Q63" i="2"/>
  <c r="P63" i="2"/>
  <c r="R63" i="2" s="1"/>
  <c r="O63" i="2"/>
  <c r="N63" i="2"/>
  <c r="M63" i="2"/>
  <c r="L63" i="2"/>
  <c r="V63" i="2" s="1"/>
  <c r="U62" i="2"/>
  <c r="S62" i="2"/>
  <c r="T62" i="2" s="1"/>
  <c r="Q62" i="2"/>
  <c r="P62" i="2"/>
  <c r="R62" i="2" s="1"/>
  <c r="O62" i="2"/>
  <c r="N62" i="2"/>
  <c r="M62" i="2"/>
  <c r="L62" i="2"/>
  <c r="V62" i="2" s="1"/>
  <c r="U61" i="2"/>
  <c r="S61" i="2"/>
  <c r="T61" i="2" s="1"/>
  <c r="Q61" i="2"/>
  <c r="P61" i="2"/>
  <c r="R61" i="2" s="1"/>
  <c r="O61" i="2"/>
  <c r="N61" i="2"/>
  <c r="M61" i="2"/>
  <c r="L61" i="2"/>
  <c r="V61" i="2" s="1"/>
  <c r="U60" i="2"/>
  <c r="S60" i="2"/>
  <c r="T60" i="2" s="1"/>
  <c r="Q60" i="2"/>
  <c r="P60" i="2"/>
  <c r="R60" i="2" s="1"/>
  <c r="O60" i="2"/>
  <c r="N60" i="2"/>
  <c r="M60" i="2"/>
  <c r="L60" i="2"/>
  <c r="V60" i="2" s="1"/>
  <c r="U59" i="2"/>
  <c r="S59" i="2"/>
  <c r="T59" i="2" s="1"/>
  <c r="Q59" i="2"/>
  <c r="P59" i="2"/>
  <c r="R59" i="2" s="1"/>
  <c r="O59" i="2"/>
  <c r="N59" i="2"/>
  <c r="M59" i="2"/>
  <c r="L59" i="2"/>
  <c r="V59" i="2" s="1"/>
  <c r="U58" i="2"/>
  <c r="S58" i="2"/>
  <c r="T58" i="2" s="1"/>
  <c r="Q58" i="2"/>
  <c r="P58" i="2"/>
  <c r="R58" i="2" s="1"/>
  <c r="O58" i="2"/>
  <c r="N58" i="2"/>
  <c r="M58" i="2"/>
  <c r="L58" i="2"/>
  <c r="V58" i="2" s="1"/>
  <c r="U57" i="2"/>
  <c r="S57" i="2"/>
  <c r="T57" i="2" s="1"/>
  <c r="Q57" i="2"/>
  <c r="P57" i="2"/>
  <c r="R57" i="2" s="1"/>
  <c r="O57" i="2"/>
  <c r="N57" i="2"/>
  <c r="M57" i="2"/>
  <c r="L57" i="2"/>
  <c r="V57" i="2" s="1"/>
  <c r="U56" i="2"/>
  <c r="S56" i="2"/>
  <c r="T56" i="2" s="1"/>
  <c r="Q56" i="2"/>
  <c r="P56" i="2"/>
  <c r="R56" i="2" s="1"/>
  <c r="O56" i="2"/>
  <c r="N56" i="2"/>
  <c r="M56" i="2"/>
  <c r="L56" i="2"/>
  <c r="V56" i="2" s="1"/>
  <c r="U55" i="2"/>
  <c r="S55" i="2"/>
  <c r="T55" i="2" s="1"/>
  <c r="Q55" i="2"/>
  <c r="P55" i="2"/>
  <c r="R55" i="2" s="1"/>
  <c r="O55" i="2"/>
  <c r="N55" i="2"/>
  <c r="M55" i="2"/>
  <c r="L55" i="2"/>
  <c r="V55" i="2" s="1"/>
  <c r="U54" i="2"/>
  <c r="S54" i="2"/>
  <c r="T54" i="2" s="1"/>
  <c r="Q54" i="2"/>
  <c r="P54" i="2"/>
  <c r="R54" i="2" s="1"/>
  <c r="O54" i="2"/>
  <c r="N54" i="2"/>
  <c r="M54" i="2"/>
  <c r="L54" i="2"/>
  <c r="V54" i="2" s="1"/>
  <c r="U53" i="2"/>
  <c r="S53" i="2"/>
  <c r="T53" i="2" s="1"/>
  <c r="Q53" i="2"/>
  <c r="P53" i="2"/>
  <c r="R53" i="2" s="1"/>
  <c r="O53" i="2"/>
  <c r="N53" i="2"/>
  <c r="M53" i="2"/>
  <c r="L53" i="2"/>
  <c r="V53" i="2" s="1"/>
  <c r="U52" i="2"/>
  <c r="S52" i="2"/>
  <c r="T52" i="2" s="1"/>
  <c r="Q52" i="2"/>
  <c r="P52" i="2"/>
  <c r="R52" i="2" s="1"/>
  <c r="O52" i="2"/>
  <c r="N52" i="2"/>
  <c r="M52" i="2"/>
  <c r="L52" i="2"/>
  <c r="V52" i="2" s="1"/>
  <c r="U51" i="2"/>
  <c r="S51" i="2"/>
  <c r="T51" i="2" s="1"/>
  <c r="Q51" i="2"/>
  <c r="P51" i="2"/>
  <c r="R51" i="2" s="1"/>
  <c r="O51" i="2"/>
  <c r="N51" i="2"/>
  <c r="M51" i="2"/>
  <c r="L51" i="2"/>
  <c r="V51" i="2" s="1"/>
  <c r="U50" i="2"/>
  <c r="S50" i="2"/>
  <c r="T50" i="2" s="1"/>
  <c r="Q50" i="2"/>
  <c r="P50" i="2"/>
  <c r="R50" i="2" s="1"/>
  <c r="O50" i="2"/>
  <c r="N50" i="2"/>
  <c r="M50" i="2"/>
  <c r="L50" i="2"/>
  <c r="V50" i="2" s="1"/>
  <c r="U49" i="2"/>
  <c r="S49" i="2"/>
  <c r="T49" i="2" s="1"/>
  <c r="Q49" i="2"/>
  <c r="P49" i="2"/>
  <c r="R49" i="2" s="1"/>
  <c r="O49" i="2"/>
  <c r="N49" i="2"/>
  <c r="M49" i="2"/>
  <c r="L49" i="2"/>
  <c r="V49" i="2" s="1"/>
  <c r="U48" i="2"/>
  <c r="S48" i="2"/>
  <c r="T48" i="2" s="1"/>
  <c r="P48" i="2"/>
  <c r="R48" i="2" s="1"/>
  <c r="O48" i="2"/>
  <c r="N48" i="2"/>
  <c r="M48" i="2"/>
  <c r="L48" i="2"/>
  <c r="V48" i="2" s="1"/>
  <c r="U47" i="2"/>
  <c r="S47" i="2"/>
  <c r="T47" i="2" s="1"/>
  <c r="Q47" i="2"/>
  <c r="P47" i="2"/>
  <c r="R47" i="2" s="1"/>
  <c r="O47" i="2"/>
  <c r="N47" i="2"/>
  <c r="M47" i="2"/>
  <c r="L47" i="2"/>
  <c r="V47" i="2" s="1"/>
  <c r="U46" i="2"/>
  <c r="S46" i="2"/>
  <c r="T46" i="2" s="1"/>
  <c r="Q46" i="2"/>
  <c r="P46" i="2"/>
  <c r="R46" i="2" s="1"/>
  <c r="O46" i="2"/>
  <c r="N46" i="2"/>
  <c r="M46" i="2"/>
  <c r="L46" i="2"/>
  <c r="V46" i="2" s="1"/>
  <c r="U45" i="2"/>
  <c r="S45" i="2"/>
  <c r="T45" i="2" s="1"/>
  <c r="Q45" i="2"/>
  <c r="P45" i="2"/>
  <c r="R45" i="2" s="1"/>
  <c r="O45" i="2"/>
  <c r="N45" i="2"/>
  <c r="M45" i="2"/>
  <c r="L45" i="2"/>
  <c r="V45" i="2" s="1"/>
  <c r="U44" i="2"/>
  <c r="S44" i="2"/>
  <c r="T44" i="2" s="1"/>
  <c r="Q44" i="2"/>
  <c r="P44" i="2"/>
  <c r="R44" i="2" s="1"/>
  <c r="O44" i="2"/>
  <c r="N44" i="2"/>
  <c r="M44" i="2"/>
  <c r="L44" i="2"/>
  <c r="V44" i="2" s="1"/>
  <c r="U43" i="2"/>
  <c r="S43" i="2"/>
  <c r="T43" i="2" s="1"/>
  <c r="Q43" i="2"/>
  <c r="P43" i="2"/>
  <c r="R43" i="2" s="1"/>
  <c r="O43" i="2"/>
  <c r="N43" i="2"/>
  <c r="M43" i="2"/>
  <c r="L43" i="2"/>
  <c r="V43" i="2" s="1"/>
  <c r="U42" i="2"/>
  <c r="S42" i="2"/>
  <c r="T42" i="2" s="1"/>
  <c r="Q42" i="2"/>
  <c r="P42" i="2"/>
  <c r="R42" i="2" s="1"/>
  <c r="O42" i="2"/>
  <c r="N42" i="2"/>
  <c r="M42" i="2"/>
  <c r="L42" i="2"/>
  <c r="V42" i="2" s="1"/>
  <c r="U41" i="2"/>
  <c r="S41" i="2"/>
  <c r="T41" i="2" s="1"/>
  <c r="Q41" i="2"/>
  <c r="P41" i="2"/>
  <c r="R41" i="2" s="1"/>
  <c r="O41" i="2"/>
  <c r="N41" i="2"/>
  <c r="M41" i="2"/>
  <c r="L41" i="2"/>
  <c r="V41" i="2" s="1"/>
  <c r="U40" i="2"/>
  <c r="S40" i="2"/>
  <c r="T40" i="2" s="1"/>
  <c r="Q40" i="2"/>
  <c r="P40" i="2"/>
  <c r="R40" i="2" s="1"/>
  <c r="O40" i="2"/>
  <c r="N40" i="2"/>
  <c r="M40" i="2"/>
  <c r="L40" i="2"/>
  <c r="V40" i="2" s="1"/>
  <c r="U39" i="2"/>
  <c r="S39" i="2"/>
  <c r="T39" i="2" s="1"/>
  <c r="Q39" i="2"/>
  <c r="P39" i="2"/>
  <c r="R39" i="2" s="1"/>
  <c r="O39" i="2"/>
  <c r="N39" i="2"/>
  <c r="M39" i="2"/>
  <c r="L39" i="2"/>
  <c r="V39" i="2" s="1"/>
  <c r="U38" i="2"/>
  <c r="S38" i="2"/>
  <c r="T38" i="2" s="1"/>
  <c r="Q38" i="2"/>
  <c r="P38" i="2"/>
  <c r="R38" i="2" s="1"/>
  <c r="O38" i="2"/>
  <c r="N38" i="2"/>
  <c r="M38" i="2"/>
  <c r="L38" i="2"/>
  <c r="V38" i="2" s="1"/>
  <c r="U37" i="2"/>
  <c r="S37" i="2"/>
  <c r="T37" i="2" s="1"/>
  <c r="Q37" i="2"/>
  <c r="P37" i="2"/>
  <c r="R37" i="2" s="1"/>
  <c r="O37" i="2"/>
  <c r="N37" i="2"/>
  <c r="M37" i="2"/>
  <c r="L37" i="2"/>
  <c r="V37" i="2" s="1"/>
  <c r="U36" i="2"/>
  <c r="S36" i="2"/>
  <c r="T36" i="2" s="1"/>
  <c r="Q36" i="2"/>
  <c r="P36" i="2"/>
  <c r="R36" i="2" s="1"/>
  <c r="O36" i="2"/>
  <c r="N36" i="2"/>
  <c r="M36" i="2"/>
  <c r="L36" i="2"/>
  <c r="V36" i="2" s="1"/>
  <c r="U35" i="2"/>
  <c r="S35" i="2"/>
  <c r="T35" i="2" s="1"/>
  <c r="Q35" i="2"/>
  <c r="P35" i="2"/>
  <c r="R35" i="2" s="1"/>
  <c r="O35" i="2"/>
  <c r="N35" i="2"/>
  <c r="M35" i="2"/>
  <c r="L35" i="2"/>
  <c r="V35" i="2" s="1"/>
  <c r="U34" i="2"/>
  <c r="S34" i="2"/>
  <c r="T34" i="2" s="1"/>
  <c r="Q34" i="2"/>
  <c r="P34" i="2"/>
  <c r="R34" i="2" s="1"/>
  <c r="O34" i="2"/>
  <c r="N34" i="2"/>
  <c r="M34" i="2"/>
  <c r="L34" i="2"/>
  <c r="V34" i="2" s="1"/>
  <c r="U33" i="2"/>
  <c r="S33" i="2"/>
  <c r="T33" i="2" s="1"/>
  <c r="Q33" i="2"/>
  <c r="P33" i="2"/>
  <c r="R33" i="2" s="1"/>
  <c r="O33" i="2"/>
  <c r="N33" i="2"/>
  <c r="M33" i="2"/>
  <c r="L33" i="2"/>
  <c r="V33" i="2" s="1"/>
  <c r="U32" i="2"/>
  <c r="S32" i="2"/>
  <c r="T32" i="2" s="1"/>
  <c r="Q32" i="2"/>
  <c r="P32" i="2"/>
  <c r="R32" i="2" s="1"/>
  <c r="O32" i="2"/>
  <c r="N32" i="2"/>
  <c r="M32" i="2"/>
  <c r="L32" i="2"/>
  <c r="V32" i="2" s="1"/>
  <c r="U31" i="2"/>
  <c r="S31" i="2"/>
  <c r="T31" i="2" s="1"/>
  <c r="Q31" i="2"/>
  <c r="P31" i="2"/>
  <c r="R31" i="2" s="1"/>
  <c r="O31" i="2"/>
  <c r="N31" i="2"/>
  <c r="M31" i="2"/>
  <c r="L31" i="2"/>
  <c r="V31" i="2" s="1"/>
  <c r="U30" i="2"/>
  <c r="S30" i="2"/>
  <c r="T30" i="2" s="1"/>
  <c r="Q30" i="2"/>
  <c r="P30" i="2"/>
  <c r="R30" i="2" s="1"/>
  <c r="O30" i="2"/>
  <c r="N30" i="2"/>
  <c r="M30" i="2"/>
  <c r="L30" i="2"/>
  <c r="V30" i="2" s="1"/>
  <c r="U29" i="2"/>
  <c r="S29" i="2"/>
  <c r="T29" i="2" s="1"/>
  <c r="Q29" i="2"/>
  <c r="P29" i="2"/>
  <c r="R29" i="2" s="1"/>
  <c r="O29" i="2"/>
  <c r="N29" i="2"/>
  <c r="M29" i="2"/>
  <c r="L29" i="2"/>
  <c r="V29" i="2" s="1"/>
  <c r="U28" i="2"/>
  <c r="S28" i="2"/>
  <c r="T28" i="2" s="1"/>
  <c r="Q28" i="2"/>
  <c r="P28" i="2"/>
  <c r="R28" i="2" s="1"/>
  <c r="O28" i="2"/>
  <c r="N28" i="2"/>
  <c r="M28" i="2"/>
  <c r="L28" i="2"/>
  <c r="V28" i="2" s="1"/>
  <c r="U27" i="2"/>
  <c r="S27" i="2"/>
  <c r="T27" i="2" s="1"/>
  <c r="Q27" i="2"/>
  <c r="P27" i="2"/>
  <c r="R27" i="2" s="1"/>
  <c r="O27" i="2"/>
  <c r="N27" i="2"/>
  <c r="M27" i="2"/>
  <c r="L27" i="2"/>
  <c r="V27" i="2" s="1"/>
  <c r="U26" i="2"/>
  <c r="S26" i="2"/>
  <c r="T26" i="2" s="1"/>
  <c r="Q26" i="2"/>
  <c r="P26" i="2"/>
  <c r="R26" i="2" s="1"/>
  <c r="O26" i="2"/>
  <c r="N26" i="2"/>
  <c r="M26" i="2"/>
  <c r="L26" i="2"/>
  <c r="V26" i="2" s="1"/>
  <c r="U25" i="2"/>
  <c r="S25" i="2"/>
  <c r="T25" i="2" s="1"/>
  <c r="Q25" i="2"/>
  <c r="P25" i="2"/>
  <c r="R25" i="2" s="1"/>
  <c r="O25" i="2"/>
  <c r="N25" i="2"/>
  <c r="M25" i="2"/>
  <c r="L25" i="2"/>
  <c r="V25" i="2" s="1"/>
  <c r="U24" i="2"/>
  <c r="S24" i="2"/>
  <c r="T24" i="2" s="1"/>
  <c r="Q24" i="2"/>
  <c r="P24" i="2"/>
  <c r="R24" i="2" s="1"/>
  <c r="O24" i="2"/>
  <c r="N24" i="2"/>
  <c r="M24" i="2"/>
  <c r="L24" i="2"/>
  <c r="V24" i="2" s="1"/>
  <c r="U23" i="2"/>
  <c r="S23" i="2"/>
  <c r="T23" i="2" s="1"/>
  <c r="Q23" i="2"/>
  <c r="P23" i="2"/>
  <c r="R23" i="2" s="1"/>
  <c r="O23" i="2"/>
  <c r="N23" i="2"/>
  <c r="M23" i="2"/>
  <c r="L23" i="2"/>
  <c r="V23" i="2" s="1"/>
  <c r="U22" i="2"/>
  <c r="S22" i="2"/>
  <c r="T22" i="2" s="1"/>
  <c r="Q22" i="2"/>
  <c r="P22" i="2"/>
  <c r="R22" i="2" s="1"/>
  <c r="O22" i="2"/>
  <c r="N22" i="2"/>
  <c r="M22" i="2"/>
  <c r="L22" i="2"/>
  <c r="V22" i="2" s="1"/>
  <c r="U21" i="2"/>
  <c r="S21" i="2"/>
  <c r="T21" i="2" s="1"/>
  <c r="Q21" i="2"/>
  <c r="P21" i="2"/>
  <c r="R21" i="2" s="1"/>
  <c r="O21" i="2"/>
  <c r="N21" i="2"/>
  <c r="M21" i="2"/>
  <c r="L21" i="2"/>
  <c r="V21" i="2" s="1"/>
  <c r="U20" i="2"/>
  <c r="S20" i="2"/>
  <c r="T20" i="2" s="1"/>
  <c r="Q20" i="2"/>
  <c r="P20" i="2"/>
  <c r="R20" i="2" s="1"/>
  <c r="O20" i="2"/>
  <c r="N20" i="2"/>
  <c r="M20" i="2"/>
  <c r="L20" i="2"/>
  <c r="V20" i="2" s="1"/>
  <c r="U19" i="2"/>
  <c r="S19" i="2"/>
  <c r="T19" i="2" s="1"/>
  <c r="Q19" i="2"/>
  <c r="P19" i="2"/>
  <c r="R19" i="2" s="1"/>
  <c r="O19" i="2"/>
  <c r="N19" i="2"/>
  <c r="M19" i="2"/>
  <c r="L19" i="2"/>
  <c r="V19" i="2" s="1"/>
  <c r="U18" i="2"/>
  <c r="S18" i="2"/>
  <c r="T18" i="2" s="1"/>
  <c r="Q18" i="2"/>
  <c r="P18" i="2"/>
  <c r="R18" i="2" s="1"/>
  <c r="O18" i="2"/>
  <c r="N18" i="2"/>
  <c r="M18" i="2"/>
  <c r="L18" i="2"/>
  <c r="V18" i="2" s="1"/>
  <c r="U17" i="2"/>
  <c r="S17" i="2"/>
  <c r="T17" i="2" s="1"/>
  <c r="Q17" i="2"/>
  <c r="P17" i="2"/>
  <c r="R17" i="2" s="1"/>
  <c r="O17" i="2"/>
  <c r="N17" i="2"/>
  <c r="M17" i="2"/>
  <c r="L17" i="2"/>
  <c r="V17" i="2" s="1"/>
  <c r="U16" i="2"/>
  <c r="S16" i="2"/>
  <c r="T16" i="2" s="1"/>
  <c r="Q16" i="2"/>
  <c r="P16" i="2"/>
  <c r="R16" i="2" s="1"/>
  <c r="O16" i="2"/>
  <c r="N16" i="2"/>
  <c r="M16" i="2"/>
  <c r="L16" i="2"/>
  <c r="V16" i="2" s="1"/>
  <c r="U15" i="2"/>
  <c r="S15" i="2"/>
  <c r="T15" i="2" s="1"/>
  <c r="Q15" i="2"/>
  <c r="P15" i="2"/>
  <c r="R15" i="2" s="1"/>
  <c r="O15" i="2"/>
  <c r="N15" i="2"/>
  <c r="M15" i="2"/>
  <c r="L15" i="2"/>
  <c r="V15" i="2" s="1"/>
  <c r="U14" i="2"/>
  <c r="S14" i="2"/>
  <c r="T14" i="2" s="1"/>
  <c r="Q14" i="2"/>
  <c r="P14" i="2"/>
  <c r="R14" i="2" s="1"/>
  <c r="O14" i="2"/>
  <c r="N14" i="2"/>
  <c r="M14" i="2"/>
  <c r="L14" i="2"/>
  <c r="V14" i="2" s="1"/>
  <c r="U13" i="2"/>
  <c r="S13" i="2"/>
  <c r="T13" i="2" s="1"/>
  <c r="Q13" i="2"/>
  <c r="P13" i="2"/>
  <c r="R13" i="2" s="1"/>
  <c r="O13" i="2"/>
  <c r="N13" i="2"/>
  <c r="M13" i="2"/>
  <c r="L13" i="2"/>
  <c r="V13" i="2" s="1"/>
  <c r="U12" i="2"/>
  <c r="S12" i="2"/>
  <c r="T12" i="2" s="1"/>
  <c r="Q12" i="2"/>
  <c r="P12" i="2"/>
  <c r="R12" i="2" s="1"/>
  <c r="O12" i="2"/>
  <c r="N12" i="2"/>
  <c r="M12" i="2"/>
  <c r="L12" i="2"/>
  <c r="V12" i="2" s="1"/>
  <c r="U11" i="2"/>
  <c r="S11" i="2"/>
  <c r="T11" i="2" s="1"/>
  <c r="Q11" i="2"/>
  <c r="P11" i="2"/>
  <c r="R11" i="2" s="1"/>
  <c r="O11" i="2"/>
  <c r="N11" i="2"/>
  <c r="M11" i="2"/>
  <c r="L11" i="2"/>
  <c r="V11" i="2" s="1"/>
  <c r="U10" i="2"/>
  <c r="S10" i="2"/>
  <c r="T10" i="2" s="1"/>
  <c r="Q10" i="2"/>
  <c r="P10" i="2"/>
  <c r="R10" i="2" s="1"/>
  <c r="O10" i="2"/>
  <c r="N10" i="2"/>
  <c r="M10" i="2"/>
  <c r="L10" i="2"/>
  <c r="V10" i="2" s="1"/>
  <c r="U9" i="2"/>
  <c r="S9" i="2"/>
  <c r="T9" i="2" s="1"/>
  <c r="Q9" i="2"/>
  <c r="P9" i="2"/>
  <c r="R9" i="2" s="1"/>
  <c r="O9" i="2"/>
  <c r="N9" i="2"/>
  <c r="M9" i="2"/>
  <c r="L9" i="2"/>
  <c r="V9" i="2" s="1"/>
  <c r="U8" i="2"/>
  <c r="S8" i="2"/>
  <c r="T8" i="2" s="1"/>
  <c r="Q8" i="2"/>
  <c r="P8" i="2"/>
  <c r="R8" i="2" s="1"/>
  <c r="O8" i="2"/>
  <c r="N8" i="2"/>
  <c r="M8" i="2"/>
  <c r="L8" i="2"/>
  <c r="V8" i="2" s="1"/>
  <c r="U7" i="2"/>
  <c r="S7" i="2"/>
  <c r="T7" i="2" s="1"/>
  <c r="Q7" i="2"/>
  <c r="P7" i="2"/>
  <c r="R7" i="2" s="1"/>
  <c r="O7" i="2"/>
  <c r="N7" i="2"/>
  <c r="M7" i="2"/>
  <c r="L7" i="2"/>
  <c r="V7" i="2" s="1"/>
  <c r="U6" i="2"/>
  <c r="S6" i="2"/>
  <c r="T6" i="2" s="1"/>
  <c r="Q6" i="2"/>
  <c r="P6" i="2"/>
  <c r="R6" i="2" s="1"/>
  <c r="O6" i="2"/>
  <c r="N6" i="2"/>
  <c r="M6" i="2"/>
  <c r="L6" i="2"/>
  <c r="V6" i="2" s="1"/>
  <c r="U5" i="2"/>
  <c r="S5" i="2"/>
  <c r="T5" i="2" s="1"/>
  <c r="Q5" i="2"/>
  <c r="P5" i="2"/>
  <c r="R5" i="2" s="1"/>
  <c r="O5" i="2"/>
  <c r="N5" i="2"/>
  <c r="M5" i="2"/>
  <c r="L5" i="2"/>
  <c r="V5" i="2" s="1"/>
  <c r="U4" i="2"/>
  <c r="S4" i="2"/>
  <c r="T4" i="2" s="1"/>
  <c r="R4" i="2"/>
  <c r="Q4" i="2"/>
  <c r="P4" i="2"/>
  <c r="O4" i="2"/>
  <c r="N4" i="2"/>
  <c r="M4" i="2"/>
  <c r="L4" i="2"/>
  <c r="V4" i="2" s="1"/>
  <c r="U3" i="2"/>
  <c r="S3" i="2"/>
  <c r="T3" i="2" s="1"/>
  <c r="Q3" i="2"/>
  <c r="P3" i="2"/>
  <c r="R3" i="2" s="1"/>
  <c r="O3" i="2"/>
  <c r="N3" i="2"/>
  <c r="M3" i="2"/>
  <c r="L3" i="2"/>
  <c r="V3" i="2" s="1"/>
  <c r="U2" i="2"/>
  <c r="S2" i="2"/>
  <c r="T2" i="2" s="1"/>
  <c r="Q2" i="2"/>
  <c r="P2" i="2"/>
  <c r="R2" i="2" s="1"/>
  <c r="O2" i="2"/>
  <c r="N2" i="2"/>
  <c r="M2" i="2"/>
  <c r="L2" i="2"/>
  <c r="V2" i="2" s="1"/>
  <c r="K299" i="3" l="1"/>
  <c r="K114" i="3"/>
  <c r="K122" i="3"/>
  <c r="K126" i="3"/>
  <c r="K174" i="3"/>
  <c r="K178" i="3"/>
  <c r="K222" i="3"/>
  <c r="K234" i="3"/>
  <c r="K238" i="3"/>
  <c r="Q1733" i="2"/>
  <c r="Q1866" i="2"/>
  <c r="Q1681" i="2"/>
  <c r="Q1709" i="2"/>
  <c r="Q1858" i="2"/>
  <c r="Q1871" i="2"/>
  <c r="Q1619" i="2"/>
  <c r="Q1647" i="2"/>
  <c r="Q1763" i="2"/>
  <c r="Q1774" i="2"/>
  <c r="Q1785" i="2"/>
  <c r="Q1917" i="2"/>
  <c r="Q1669" i="2"/>
  <c r="Q1738" i="2"/>
  <c r="Q1746" i="2"/>
  <c r="Q1771" i="2"/>
  <c r="Q1831" i="2"/>
  <c r="Q1841" i="2"/>
  <c r="K140" i="3"/>
  <c r="K212" i="3"/>
  <c r="Q1342" i="2"/>
  <c r="Q1409" i="2"/>
  <c r="Q1476" i="2"/>
  <c r="Q1487" i="2"/>
  <c r="Q1515" i="2"/>
  <c r="Q1521" i="2"/>
  <c r="Q1635" i="2"/>
  <c r="Q1646" i="2"/>
  <c r="Q1762" i="2"/>
  <c r="Q1350" i="2"/>
  <c r="Q1362" i="2"/>
  <c r="Q1426" i="2"/>
  <c r="Q1429" i="2"/>
  <c r="Q1556" i="2"/>
  <c r="Q1691" i="2"/>
  <c r="Q1986" i="2"/>
  <c r="Q48" i="2"/>
  <c r="Q170" i="2"/>
  <c r="Q197" i="2"/>
  <c r="Q206" i="2"/>
  <c r="Q221" i="2"/>
  <c r="Q239" i="2"/>
  <c r="Q275" i="2"/>
  <c r="Q290" i="2"/>
  <c r="Q444" i="2"/>
  <c r="Q639" i="2"/>
  <c r="Q645" i="2"/>
  <c r="Q651" i="2"/>
  <c r="Q762" i="2"/>
  <c r="Q975" i="2"/>
  <c r="Q1075" i="2"/>
  <c r="Q1292" i="2"/>
  <c r="Q1318" i="2"/>
  <c r="Q1414" i="2"/>
  <c r="Q1417" i="2"/>
  <c r="Q1481" i="2"/>
  <c r="Q1541" i="2"/>
  <c r="Q1564" i="2"/>
  <c r="Q1651" i="2"/>
  <c r="Q1702" i="2"/>
  <c r="Q1798" i="2"/>
  <c r="Q1867" i="2"/>
  <c r="Q1903" i="2"/>
  <c r="Q1284" i="2"/>
  <c r="Q1467" i="2"/>
  <c r="Q1567" i="2"/>
  <c r="Q1575" i="2"/>
  <c r="Q1806" i="2"/>
  <c r="Q1811" i="2"/>
  <c r="Q106" i="2"/>
  <c r="Q188" i="2"/>
  <c r="Q335" i="2"/>
  <c r="Q341" i="2"/>
  <c r="Q407" i="2"/>
  <c r="Q410" i="2"/>
  <c r="Q512" i="2"/>
  <c r="Q603" i="2"/>
  <c r="Q717" i="2"/>
  <c r="Q735" i="2"/>
  <c r="Q741" i="2"/>
  <c r="Q744" i="2"/>
  <c r="Q827" i="2"/>
  <c r="Q899" i="2"/>
  <c r="Q986" i="2"/>
  <c r="Q1066" i="2"/>
  <c r="Q1096" i="2"/>
  <c r="Q1105" i="2"/>
  <c r="Q1128" i="2"/>
  <c r="Q1183" i="2"/>
  <c r="Q1186" i="2"/>
  <c r="Q1189" i="2"/>
  <c r="Q1198" i="2"/>
  <c r="Q1222" i="2"/>
  <c r="Q1234" i="2"/>
  <c r="Q1263" i="2"/>
  <c r="Q1391" i="2"/>
  <c r="Q1586" i="2"/>
  <c r="Q1676" i="2"/>
  <c r="Q1685" i="2"/>
  <c r="Q1454" i="2"/>
  <c r="Q1460" i="2"/>
  <c r="Q1466" i="2"/>
  <c r="Q1558" i="2"/>
  <c r="Q1783" i="2"/>
  <c r="Q1856" i="2"/>
  <c r="Q1877" i="2"/>
  <c r="Q1004" i="2"/>
  <c r="Q1007" i="2"/>
  <c r="Q1642" i="2"/>
  <c r="Q1747" i="2"/>
  <c r="Q1772" i="2"/>
  <c r="Q1780" i="2"/>
  <c r="K5" i="3"/>
  <c r="D25" i="12"/>
  <c r="E25" i="12"/>
  <c r="K90" i="3"/>
  <c r="K202" i="3"/>
  <c r="K206" i="3"/>
  <c r="G26" i="12"/>
  <c r="I26" i="12"/>
  <c r="K3" i="3"/>
  <c r="K47" i="3"/>
  <c r="K167" i="3"/>
  <c r="K191" i="3"/>
  <c r="K247" i="3"/>
  <c r="K251" i="3"/>
  <c r="K255" i="3"/>
  <c r="K259" i="3"/>
  <c r="K263" i="3"/>
  <c r="K275" i="3"/>
  <c r="K287" i="3"/>
  <c r="K291" i="3"/>
  <c r="J26" i="12"/>
  <c r="K104" i="3"/>
  <c r="Q1902" i="2"/>
  <c r="K123" i="3"/>
  <c r="K8" i="3"/>
  <c r="G21" i="12"/>
  <c r="E12" i="12"/>
  <c r="Q1972" i="2"/>
  <c r="Q1572" i="2"/>
  <c r="Q1244" i="2"/>
  <c r="Q1166" i="2"/>
  <c r="Q1628" i="2"/>
  <c r="Q1706" i="2"/>
  <c r="Q1219" i="2"/>
  <c r="Q1583" i="2"/>
  <c r="Q1247" i="2"/>
  <c r="Q1804" i="2"/>
  <c r="Q1441" i="2"/>
  <c r="Q1964" i="2"/>
  <c r="Q1637" i="2"/>
  <c r="Q1640" i="2"/>
  <c r="Q1549" i="2"/>
  <c r="Q1245" i="2"/>
  <c r="Q1229" i="2"/>
  <c r="Q728" i="2"/>
  <c r="Q588" i="2"/>
  <c r="Q1723" i="2"/>
  <c r="Q1491" i="2"/>
  <c r="Q1794" i="2"/>
  <c r="Q1348" i="2"/>
  <c r="Q1131" i="2"/>
  <c r="Q1385" i="2"/>
  <c r="Q1323" i="2"/>
  <c r="Q1597" i="2"/>
  <c r="Q1795" i="2"/>
  <c r="Q1725" i="2"/>
  <c r="Q1407" i="2"/>
  <c r="Q1050" i="2"/>
  <c r="Q1389" i="2"/>
  <c r="Q1926" i="2"/>
  <c r="Q1303" i="2"/>
  <c r="Q1243" i="2"/>
  <c r="Q1178" i="2"/>
  <c r="Q1984" i="2"/>
  <c r="Q1532" i="2"/>
  <c r="Q1447" i="2"/>
  <c r="Q1737" i="2"/>
  <c r="Q1120" i="2"/>
  <c r="Q1524" i="2"/>
  <c r="Q1828" i="2"/>
  <c r="Q1715" i="2"/>
  <c r="Q1712" i="2"/>
  <c r="Q1823" i="2"/>
  <c r="Q1757" i="2"/>
  <c r="Q1731" i="2"/>
  <c r="Q1163" i="2"/>
  <c r="Q1896" i="2"/>
  <c r="Q1853" i="2"/>
  <c r="Q809" i="2"/>
  <c r="Q750" i="2"/>
  <c r="Q404" i="2"/>
  <c r="Q254" i="2"/>
  <c r="Q251" i="2"/>
  <c r="Q1659" i="2"/>
  <c r="Q1596" i="2"/>
  <c r="Q1175" i="2"/>
  <c r="Q1034" i="2"/>
  <c r="Q1181" i="2"/>
  <c r="Q1960" i="2"/>
  <c r="Q1881" i="2"/>
  <c r="Q1966" i="2"/>
  <c r="Q1667" i="2"/>
  <c r="Q1502" i="2"/>
  <c r="Q1459" i="2"/>
  <c r="Q1311" i="2"/>
  <c r="Q1444" i="2"/>
  <c r="Q1909" i="2"/>
  <c r="Q1038" i="2"/>
  <c r="Q1561" i="2"/>
  <c r="Q1622" i="2"/>
  <c r="Q800" i="2"/>
  <c r="Q678" i="2"/>
  <c r="Q1883" i="2"/>
  <c r="Q1790" i="2"/>
  <c r="Q1347" i="2"/>
  <c r="Q1288" i="2"/>
  <c r="Q1936" i="2"/>
  <c r="Q1773" i="2"/>
  <c r="Q1286" i="2"/>
  <c r="Q1931" i="2"/>
  <c r="Q1343" i="2"/>
  <c r="Q1287" i="2"/>
  <c r="Q1235" i="2"/>
  <c r="Q1432" i="2"/>
  <c r="Q1479" i="2"/>
  <c r="Q871" i="2"/>
  <c r="Q1580" i="2"/>
  <c r="Q1837" i="2"/>
  <c r="Q1557" i="2"/>
  <c r="Q1976" i="2"/>
  <c r="Q1339" i="2"/>
  <c r="Q1169" i="2"/>
  <c r="Q1945" i="2"/>
  <c r="Q1615" i="2"/>
  <c r="Q1413" i="2"/>
  <c r="Q1799" i="2"/>
  <c r="Q510" i="2"/>
  <c r="Q458" i="2"/>
  <c r="Q1886" i="2"/>
  <c r="Q1291" i="2"/>
  <c r="Q1843" i="2"/>
  <c r="Q1914" i="2"/>
  <c r="Q1419" i="2"/>
  <c r="Q1074" i="2"/>
  <c r="Q1056" i="2"/>
  <c r="Q1649" i="2"/>
  <c r="Q1655" i="2"/>
  <c r="Q784" i="2"/>
  <c r="Q229" i="2"/>
  <c r="Q1784" i="2"/>
  <c r="Q1498" i="2"/>
  <c r="Q1739" i="2"/>
  <c r="Q1468" i="2"/>
  <c r="Q1271" i="2"/>
  <c r="Q1336" i="2"/>
  <c r="Q1117" i="2"/>
  <c r="Q625" i="2"/>
  <c r="Q1568" i="2"/>
  <c r="K106" i="3"/>
  <c r="Q1571" i="2"/>
  <c r="Q1590" i="2"/>
  <c r="Q1611" i="2"/>
  <c r="Q1724" i="2"/>
  <c r="Q1791" i="2"/>
  <c r="Q1809" i="2"/>
  <c r="Q1884" i="2"/>
  <c r="K118" i="3"/>
  <c r="E26" i="12"/>
  <c r="K52" i="3"/>
  <c r="K254" i="3"/>
  <c r="K258" i="3"/>
  <c r="K262" i="3"/>
  <c r="Q1109" i="2"/>
  <c r="Q1251" i="2"/>
  <c r="Q1485" i="2"/>
  <c r="Q1503" i="2"/>
  <c r="Q1598" i="2"/>
  <c r="Q1671" i="2"/>
  <c r="Q1967" i="2"/>
  <c r="K124" i="3"/>
  <c r="Q1912" i="2"/>
  <c r="K101" i="3"/>
  <c r="K152" i="3"/>
  <c r="K160" i="3"/>
  <c r="K164" i="3"/>
  <c r="G24" i="12"/>
  <c r="K46" i="3"/>
  <c r="K50" i="3"/>
  <c r="K54" i="3"/>
  <c r="K66" i="3"/>
  <c r="K86" i="3"/>
  <c r="K224" i="3"/>
  <c r="K280" i="3"/>
  <c r="K284" i="3"/>
  <c r="K288" i="3"/>
  <c r="G18" i="4"/>
  <c r="G60" i="4"/>
  <c r="G58" i="4"/>
  <c r="G52" i="4"/>
  <c r="K43" i="3"/>
  <c r="K199" i="3"/>
  <c r="K294" i="3"/>
  <c r="K63" i="3"/>
  <c r="K71" i="3"/>
  <c r="K75" i="3"/>
  <c r="K219" i="3"/>
  <c r="Q1838" i="2"/>
  <c r="Q1850" i="2"/>
  <c r="Q1908" i="2"/>
  <c r="Q1934" i="2"/>
  <c r="Q1971" i="2"/>
  <c r="K12" i="3"/>
  <c r="K20" i="3"/>
  <c r="K95" i="3"/>
  <c r="K129" i="3"/>
  <c r="K145" i="3"/>
  <c r="K161" i="3"/>
  <c r="K196" i="3"/>
  <c r="K239" i="3"/>
  <c r="C19" i="12"/>
  <c r="C25" i="12"/>
  <c r="H26" i="12"/>
  <c r="K80" i="3"/>
  <c r="K84" i="3"/>
  <c r="K115" i="3"/>
  <c r="K119" i="3"/>
  <c r="K228" i="3"/>
  <c r="Q1701" i="2"/>
  <c r="Q1716" i="2"/>
  <c r="Q1741" i="2"/>
  <c r="Q1802" i="2"/>
  <c r="Q1888" i="2"/>
  <c r="K45" i="3"/>
  <c r="K130" i="3"/>
  <c r="K146" i="3"/>
  <c r="K158" i="3"/>
  <c r="K162" i="3"/>
  <c r="K201" i="3"/>
  <c r="K205" i="3"/>
  <c r="K209" i="3"/>
  <c r="K268" i="3"/>
  <c r="K292" i="3"/>
  <c r="J7" i="12"/>
  <c r="F25" i="12"/>
  <c r="K26" i="12"/>
  <c r="Q462" i="2"/>
  <c r="Q499" i="2"/>
  <c r="Q585" i="2"/>
  <c r="Q638" i="2"/>
  <c r="Q796" i="2"/>
  <c r="Q803" i="2"/>
  <c r="Q819" i="2"/>
  <c r="Q892" i="2"/>
  <c r="Q981" i="2"/>
  <c r="Q1018" i="2"/>
  <c r="Q1108" i="2"/>
  <c r="Q1301" i="2"/>
  <c r="Q1398" i="2"/>
  <c r="Q1411" i="2"/>
  <c r="Q1632" i="2"/>
  <c r="Q1728" i="2"/>
  <c r="K7" i="12"/>
  <c r="G25" i="12"/>
  <c r="G8" i="4"/>
  <c r="Q151" i="2"/>
  <c r="Q154" i="2"/>
  <c r="Q196" i="2"/>
  <c r="Q395" i="2"/>
  <c r="Q727" i="2"/>
  <c r="Q773" i="2"/>
  <c r="Q977" i="2"/>
  <c r="Q1037" i="2"/>
  <c r="Q1060" i="2"/>
  <c r="Q1357" i="2"/>
  <c r="Q1360" i="2"/>
  <c r="Q1388" i="2"/>
  <c r="Q1421" i="2"/>
  <c r="Q1434" i="2"/>
  <c r="Q1480" i="2"/>
  <c r="Q1690" i="2"/>
  <c r="Q1767" i="2"/>
  <c r="Q1789" i="2"/>
  <c r="Q1995" i="2"/>
  <c r="H6" i="3"/>
  <c r="K77" i="3"/>
  <c r="L7" i="12"/>
  <c r="H25" i="12"/>
  <c r="Q984" i="2"/>
  <c r="Q1072" i="2"/>
  <c r="Q1114" i="2"/>
  <c r="Q1143" i="2"/>
  <c r="Q1218" i="2"/>
  <c r="Q1294" i="2"/>
  <c r="Q1367" i="2"/>
  <c r="Q1374" i="2"/>
  <c r="Q1381" i="2"/>
  <c r="Q1486" i="2"/>
  <c r="Q1505" i="2"/>
  <c r="Q1544" i="2"/>
  <c r="Q1686" i="2"/>
  <c r="Q1697" i="2"/>
  <c r="Q1776" i="2"/>
  <c r="K18" i="3"/>
  <c r="K22" i="3"/>
  <c r="K26" i="3"/>
  <c r="K30" i="3"/>
  <c r="K34" i="3"/>
  <c r="K93" i="3"/>
  <c r="K105" i="3"/>
  <c r="K143" i="3"/>
  <c r="K155" i="3"/>
  <c r="K182" i="3"/>
  <c r="K186" i="3"/>
  <c r="K194" i="3"/>
  <c r="M7" i="12"/>
  <c r="I25" i="12"/>
  <c r="J25" i="12"/>
  <c r="Q1878" i="2"/>
  <c r="K98" i="3"/>
  <c r="K117" i="3"/>
  <c r="K179" i="3"/>
  <c r="K183" i="3"/>
  <c r="K246" i="3"/>
  <c r="L25" i="12"/>
  <c r="G24" i="4"/>
  <c r="G33" i="4"/>
  <c r="G16" i="4"/>
  <c r="G40" i="4"/>
  <c r="G42" i="4"/>
  <c r="G36" i="4"/>
  <c r="G56" i="4"/>
  <c r="G25" i="4"/>
  <c r="G48" i="4"/>
  <c r="G29" i="4"/>
  <c r="G20" i="4"/>
  <c r="J14" i="12"/>
  <c r="I14" i="12"/>
  <c r="H21" i="3"/>
  <c r="H19" i="3"/>
  <c r="B14" i="12"/>
  <c r="M21" i="12"/>
  <c r="J21" i="12"/>
  <c r="I21" i="12"/>
  <c r="D21" i="12"/>
  <c r="C21" i="12"/>
  <c r="B21" i="12"/>
  <c r="K11" i="3"/>
  <c r="K2" i="12"/>
  <c r="M2" i="12"/>
  <c r="D9" i="12"/>
  <c r="I9" i="12"/>
  <c r="K21" i="12"/>
  <c r="G17" i="12"/>
  <c r="D17" i="12"/>
  <c r="B17" i="12"/>
  <c r="D28" i="12"/>
  <c r="F28" i="12"/>
  <c r="E28" i="12"/>
  <c r="B28" i="12"/>
  <c r="L28" i="12"/>
  <c r="I28" i="12"/>
  <c r="H28" i="12"/>
  <c r="K169" i="3"/>
  <c r="K173" i="3"/>
  <c r="L5" i="12"/>
  <c r="K5" i="12"/>
  <c r="D5" i="12"/>
  <c r="H17" i="12"/>
  <c r="G28" i="12"/>
  <c r="K185" i="3"/>
  <c r="M5" i="12"/>
  <c r="M17" i="12"/>
  <c r="M24" i="12"/>
  <c r="L24" i="12"/>
  <c r="J24" i="12"/>
  <c r="I24" i="12"/>
  <c r="F24" i="12"/>
  <c r="E24" i="12"/>
  <c r="D24" i="12"/>
  <c r="Q1840" i="2"/>
  <c r="Q1862" i="2"/>
  <c r="Q1566" i="2"/>
  <c r="Q1892" i="2"/>
  <c r="Q1718" i="2"/>
  <c r="Q1601" i="2"/>
  <c r="Q1401" i="2"/>
  <c r="Q1801" i="2"/>
  <c r="Q1834" i="2"/>
  <c r="Q1710" i="2"/>
  <c r="Q1835" i="2"/>
  <c r="Q1872" i="2"/>
  <c r="Q1266" i="2"/>
  <c r="Q1654" i="2"/>
  <c r="Q1848" i="2"/>
  <c r="Q1807" i="2"/>
  <c r="Q1631" i="2"/>
  <c r="Q1232" i="2"/>
  <c r="Q1673" i="2"/>
  <c r="Q1948" i="2"/>
  <c r="Q1627" i="2"/>
  <c r="Q1759" i="2"/>
  <c r="B30" i="12"/>
  <c r="L30" i="12"/>
  <c r="J30" i="12"/>
  <c r="F30" i="12"/>
  <c r="E30" i="12"/>
  <c r="K272" i="3"/>
  <c r="H24" i="12"/>
  <c r="G30" i="12"/>
  <c r="K97" i="3"/>
  <c r="K241" i="3"/>
  <c r="K245" i="3"/>
  <c r="K88" i="3"/>
  <c r="K190" i="3"/>
  <c r="K232" i="3"/>
  <c r="K236" i="3"/>
  <c r="K298" i="3"/>
  <c r="Q1820" i="2"/>
  <c r="K10" i="3"/>
  <c r="K244" i="3"/>
  <c r="Q1935" i="2"/>
  <c r="Q1957" i="2"/>
  <c r="Q1988" i="2"/>
  <c r="K14" i="3"/>
  <c r="K38" i="3"/>
  <c r="K42" i="3"/>
  <c r="K61" i="3"/>
  <c r="K89" i="3"/>
  <c r="K100" i="3"/>
  <c r="K138" i="3"/>
  <c r="K149" i="3"/>
  <c r="K176" i="3"/>
  <c r="K187" i="3"/>
  <c r="K233" i="3"/>
  <c r="K237" i="3"/>
  <c r="K248" i="3"/>
  <c r="K252" i="3"/>
  <c r="K256" i="3"/>
  <c r="H3" i="12"/>
  <c r="Q1770" i="2"/>
  <c r="Q1797" i="2"/>
  <c r="Q1832" i="2"/>
  <c r="Q1857" i="2"/>
  <c r="Q1863" i="2"/>
  <c r="Q1918" i="2"/>
  <c r="K62" i="3"/>
  <c r="K70" i="3"/>
  <c r="Q1495" i="2"/>
  <c r="Q1530" i="2"/>
  <c r="Q1605" i="2"/>
  <c r="Q1609" i="2"/>
  <c r="Q1643" i="2"/>
  <c r="Q1755" i="2"/>
  <c r="Q1766" i="2"/>
  <c r="H12" i="3"/>
  <c r="K55" i="3"/>
  <c r="K82" i="3"/>
  <c r="K94" i="3"/>
  <c r="K113" i="3"/>
  <c r="K139" i="3"/>
  <c r="K166" i="3"/>
  <c r="K177" i="3"/>
  <c r="K181" i="3"/>
  <c r="K211" i="3"/>
  <c r="K226" i="3"/>
  <c r="K230" i="3"/>
  <c r="K261" i="3"/>
  <c r="K269" i="3"/>
  <c r="C27" i="12"/>
  <c r="Q1570" i="2"/>
  <c r="Q1577" i="2"/>
  <c r="Q1612" i="2"/>
  <c r="Q1638" i="2"/>
  <c r="Q1875" i="2"/>
  <c r="K16" i="3"/>
  <c r="K28" i="3"/>
  <c r="K44" i="3"/>
  <c r="K83" i="3"/>
  <c r="K87" i="3"/>
  <c r="K227" i="3"/>
  <c r="K250" i="3"/>
  <c r="K293" i="3"/>
  <c r="K297" i="3"/>
  <c r="L19" i="12"/>
  <c r="Q1844" i="2"/>
  <c r="Q1894" i="2"/>
  <c r="Q1943" i="2"/>
  <c r="H13" i="3"/>
  <c r="K274" i="3"/>
  <c r="K282" i="3"/>
  <c r="M11" i="12"/>
  <c r="C26" i="12"/>
  <c r="Q1821" i="2"/>
  <c r="Q1913" i="2"/>
  <c r="Q1954" i="2"/>
  <c r="K17" i="3"/>
  <c r="K21" i="3"/>
  <c r="K25" i="3"/>
  <c r="K29" i="3"/>
  <c r="K37" i="3"/>
  <c r="K41" i="3"/>
  <c r="K64" i="3"/>
  <c r="K68" i="3"/>
  <c r="K72" i="3"/>
  <c r="K144" i="3"/>
  <c r="K156" i="3"/>
  <c r="K220" i="3"/>
  <c r="K290" i="3"/>
  <c r="D26" i="12"/>
  <c r="G38" i="4"/>
  <c r="G3" i="4"/>
  <c r="G14" i="4"/>
  <c r="G5" i="4"/>
  <c r="G43" i="4"/>
  <c r="G54" i="4"/>
  <c r="G11" i="4"/>
  <c r="G47" i="4"/>
  <c r="G34" i="4"/>
  <c r="G10" i="4"/>
  <c r="G6" i="4"/>
  <c r="G59" i="4"/>
  <c r="G41" i="4"/>
  <c r="G44" i="4"/>
  <c r="K6" i="3"/>
  <c r="K132" i="3"/>
  <c r="K136" i="3"/>
  <c r="K189" i="3"/>
  <c r="K200" i="3"/>
  <c r="K204" i="3"/>
  <c r="K208" i="3"/>
  <c r="K36" i="3"/>
  <c r="K51" i="3"/>
  <c r="H156" i="3"/>
  <c r="K193" i="3"/>
  <c r="K216" i="3"/>
  <c r="K296" i="3"/>
  <c r="Q1973" i="2"/>
  <c r="Q1895" i="2"/>
  <c r="Q1826" i="2"/>
  <c r="Q1974" i="2"/>
  <c r="Q1937" i="2"/>
  <c r="Q1900" i="2"/>
  <c r="Q1860" i="2"/>
  <c r="Q1922" i="2"/>
  <c r="Q1885" i="2"/>
  <c r="Q1999" i="2"/>
  <c r="Q1808" i="2"/>
  <c r="Q1696" i="2"/>
  <c r="Q1782" i="2"/>
  <c r="Q1982" i="2"/>
  <c r="Q1942" i="2"/>
  <c r="Q1890" i="2"/>
  <c r="Q1897" i="2"/>
  <c r="M4" i="12"/>
  <c r="L4" i="12"/>
  <c r="K4" i="12"/>
  <c r="I4" i="12"/>
  <c r="H4" i="12"/>
  <c r="E4" i="12"/>
  <c r="K197" i="3"/>
  <c r="K266" i="3"/>
  <c r="D4" i="12"/>
  <c r="M8" i="12"/>
  <c r="L8" i="12"/>
  <c r="K8" i="12"/>
  <c r="H29" i="3"/>
  <c r="K175" i="3"/>
  <c r="K270" i="3"/>
  <c r="H278" i="3"/>
  <c r="K300" i="3"/>
  <c r="Q1876" i="2"/>
  <c r="Q1965" i="2"/>
  <c r="Q1713" i="2"/>
  <c r="Q1968" i="2"/>
  <c r="Q1928" i="2"/>
  <c r="Q1958" i="2"/>
  <c r="Q1949" i="2"/>
  <c r="Q1932" i="2"/>
  <c r="Q1819" i="2"/>
  <c r="Q1648" i="2"/>
  <c r="Q1868" i="2"/>
  <c r="Q1822" i="2"/>
  <c r="Q1901" i="2"/>
  <c r="Q1992" i="2"/>
  <c r="Q1861" i="2"/>
  <c r="Q1970" i="2"/>
  <c r="Q1740" i="2"/>
  <c r="H18" i="3"/>
  <c r="H41" i="3"/>
  <c r="H198" i="3"/>
  <c r="G26" i="5"/>
  <c r="H15" i="12"/>
  <c r="M15" i="12"/>
  <c r="J15" i="12"/>
  <c r="I15" i="12"/>
  <c r="F15" i="12"/>
  <c r="K33" i="3"/>
  <c r="K172" i="3"/>
  <c r="K278" i="3"/>
  <c r="K286" i="3"/>
  <c r="Q1994" i="2"/>
  <c r="Q1721" i="2"/>
  <c r="Q1952" i="2"/>
  <c r="Q1983" i="2"/>
  <c r="Q1817" i="2"/>
  <c r="Q1855" i="2"/>
  <c r="Q1987" i="2"/>
  <c r="Q1980" i="2"/>
  <c r="Q1754" i="2"/>
  <c r="Q1707" i="2"/>
  <c r="Q1997" i="2"/>
  <c r="Q1870" i="2"/>
  <c r="Q1996" i="2"/>
  <c r="Q1760" i="2"/>
  <c r="Q1745" i="2"/>
  <c r="Q1938" i="2"/>
  <c r="Q1845" i="2"/>
  <c r="Q1836" i="2"/>
  <c r="Q1633" i="2"/>
  <c r="M13" i="12"/>
  <c r="H13" i="12"/>
  <c r="G13" i="12"/>
  <c r="F13" i="12"/>
  <c r="E13" i="12"/>
  <c r="D13" i="12"/>
  <c r="C13" i="12"/>
  <c r="H26" i="3"/>
  <c r="H49" i="3"/>
  <c r="H53" i="3"/>
  <c r="K60" i="3"/>
  <c r="K67" i="3"/>
  <c r="K79" i="3"/>
  <c r="K108" i="3"/>
  <c r="K165" i="3"/>
  <c r="K267" i="3"/>
  <c r="K271" i="3"/>
  <c r="M10" i="12"/>
  <c r="L10" i="12"/>
  <c r="B13" i="12"/>
  <c r="E15" i="12"/>
  <c r="M20" i="12"/>
  <c r="L20" i="12"/>
  <c r="I20" i="12"/>
  <c r="H20" i="12"/>
  <c r="Q1930" i="2"/>
  <c r="Q1944" i="2"/>
  <c r="Q1991" i="2"/>
  <c r="H166" i="3"/>
  <c r="I6" i="12"/>
  <c r="D6" i="12"/>
  <c r="F10" i="12"/>
  <c r="J13" i="12"/>
  <c r="C20" i="12"/>
  <c r="Q1925" i="2"/>
  <c r="K2" i="3"/>
  <c r="K15" i="3"/>
  <c r="K76" i="3"/>
  <c r="K154" i="3"/>
  <c r="K203" i="3"/>
  <c r="I10" i="12"/>
  <c r="K13" i="12"/>
  <c r="D20" i="12"/>
  <c r="H9" i="3"/>
  <c r="H16" i="3"/>
  <c r="J10" i="12"/>
  <c r="L13" i="12"/>
  <c r="E20" i="12"/>
  <c r="M31" i="12"/>
  <c r="K31" i="12"/>
  <c r="I31" i="12"/>
  <c r="F31" i="12"/>
  <c r="E31" i="12"/>
  <c r="D31" i="12"/>
  <c r="C31" i="12"/>
  <c r="Q1906" i="2"/>
  <c r="Q1924" i="2"/>
  <c r="Q1929" i="2"/>
  <c r="Q1947" i="2"/>
  <c r="H52" i="3"/>
  <c r="K9" i="3"/>
  <c r="K128" i="3"/>
  <c r="K147" i="3"/>
  <c r="K215" i="3"/>
  <c r="K223" i="3"/>
  <c r="K10" i="12"/>
  <c r="M14" i="12"/>
  <c r="H14" i="12"/>
  <c r="G14" i="12"/>
  <c r="F14" i="12"/>
  <c r="E14" i="12"/>
  <c r="D14" i="12"/>
  <c r="C14" i="12"/>
  <c r="B31" i="12"/>
  <c r="H77" i="3"/>
  <c r="H180" i="3"/>
  <c r="K279" i="3"/>
  <c r="K283" i="3"/>
  <c r="K4" i="3"/>
  <c r="K7" i="3"/>
  <c r="K58" i="3"/>
  <c r="K102" i="3"/>
  <c r="K109" i="3"/>
  <c r="K180" i="3"/>
  <c r="K184" i="3"/>
  <c r="K217" i="3"/>
  <c r="K231" i="3"/>
  <c r="B19" i="12"/>
  <c r="K25" i="12"/>
  <c r="K23" i="3"/>
  <c r="K31" i="3"/>
  <c r="K35" i="3"/>
  <c r="K59" i="3"/>
  <c r="K92" i="3"/>
  <c r="K127" i="3"/>
  <c r="K134" i="3"/>
  <c r="K159" i="3"/>
  <c r="K188" i="3"/>
  <c r="K210" i="3"/>
  <c r="K295" i="3"/>
  <c r="D2" i="12"/>
  <c r="D7" i="12"/>
  <c r="E11" i="12"/>
  <c r="D19" i="12"/>
  <c r="H27" i="12"/>
  <c r="C30" i="12"/>
  <c r="H5" i="3"/>
  <c r="H8" i="3"/>
  <c r="H11" i="3"/>
  <c r="J2" i="12"/>
  <c r="E7" i="12"/>
  <c r="K11" i="12"/>
  <c r="F19" i="12"/>
  <c r="B25" i="12"/>
  <c r="B26" i="12"/>
  <c r="I27" i="12"/>
  <c r="D30" i="12"/>
  <c r="K32" i="3"/>
  <c r="K39" i="3"/>
  <c r="K56" i="3"/>
  <c r="K110" i="3"/>
  <c r="K121" i="3"/>
  <c r="K131" i="3"/>
  <c r="K135" i="3"/>
  <c r="K142" i="3"/>
  <c r="K153" i="3"/>
  <c r="K214" i="3"/>
  <c r="K273" i="3"/>
  <c r="K277" i="3"/>
  <c r="K281" i="3"/>
  <c r="K285" i="3"/>
  <c r="E5" i="8"/>
  <c r="E8" i="8"/>
  <c r="G13" i="4"/>
  <c r="G49" i="4"/>
  <c r="G51" i="4"/>
  <c r="G27" i="4"/>
  <c r="E9" i="11"/>
  <c r="G4" i="4"/>
  <c r="G50" i="4"/>
  <c r="E7" i="9"/>
  <c r="G21" i="4"/>
  <c r="G37" i="4"/>
  <c r="G55" i="4"/>
  <c r="G28" i="4"/>
  <c r="G35" i="4"/>
  <c r="E5" i="10"/>
  <c r="I7" i="10"/>
  <c r="G15" i="4"/>
  <c r="H7" i="10"/>
  <c r="G30" i="4"/>
  <c r="E10" i="9"/>
  <c r="G45" i="4"/>
  <c r="E9" i="10"/>
  <c r="G31" i="4"/>
  <c r="G2" i="4"/>
  <c r="G12" i="4"/>
  <c r="G39" i="4"/>
  <c r="G32" i="4"/>
  <c r="G22" i="4"/>
  <c r="G17" i="4"/>
  <c r="G53" i="4"/>
  <c r="G7" i="4"/>
  <c r="G9" i="4"/>
  <c r="G26" i="4"/>
  <c r="G23" i="4"/>
  <c r="G46" i="4"/>
  <c r="G57" i="4"/>
  <c r="G19" i="4"/>
  <c r="H88" i="3"/>
  <c r="H95" i="3"/>
  <c r="H126" i="3"/>
  <c r="H200" i="3"/>
  <c r="H292" i="3"/>
  <c r="H99" i="3"/>
  <c r="H141" i="3"/>
  <c r="H162" i="3"/>
  <c r="H289" i="3"/>
  <c r="H85" i="3"/>
  <c r="H145" i="3"/>
  <c r="H234" i="3"/>
  <c r="H252" i="3"/>
  <c r="H149" i="3"/>
  <c r="H270" i="3"/>
  <c r="H293" i="3"/>
  <c r="Q1977" i="2"/>
  <c r="Q1833" i="2"/>
  <c r="Q1979" i="2"/>
  <c r="H67" i="3"/>
  <c r="H100" i="3"/>
  <c r="H163" i="3"/>
  <c r="H213" i="3"/>
  <c r="H253" i="3"/>
  <c r="H64" i="3"/>
  <c r="H90" i="3"/>
  <c r="K195" i="3"/>
  <c r="H239" i="3"/>
  <c r="H297" i="3"/>
  <c r="Q1869" i="2"/>
  <c r="Q1956" i="2"/>
  <c r="Q1887" i="2"/>
  <c r="G21" i="5"/>
  <c r="H160" i="3"/>
  <c r="H264" i="3"/>
  <c r="H294" i="3"/>
  <c r="G10" i="5"/>
  <c r="H295" i="3"/>
  <c r="H136" i="3"/>
  <c r="H154" i="3"/>
  <c r="H157" i="3"/>
  <c r="H167" i="3"/>
  <c r="H229" i="3"/>
  <c r="G5" i="5"/>
  <c r="G31" i="5"/>
  <c r="G25" i="5"/>
  <c r="G9" i="5"/>
  <c r="G4" i="5"/>
  <c r="G8" i="5"/>
  <c r="G12" i="5"/>
  <c r="H54" i="3"/>
  <c r="H98" i="3"/>
  <c r="H108" i="3"/>
  <c r="H203" i="3"/>
  <c r="G17" i="5"/>
  <c r="H73" i="3"/>
  <c r="H237" i="3"/>
  <c r="H255" i="3"/>
  <c r="H262" i="3"/>
  <c r="H265" i="3"/>
  <c r="H61" i="3"/>
  <c r="H76" i="3"/>
  <c r="H79" i="3"/>
  <c r="H82" i="3"/>
  <c r="H96" i="3"/>
  <c r="H105" i="3"/>
  <c r="H114" i="3"/>
  <c r="H135" i="3"/>
  <c r="H138" i="3"/>
  <c r="H153" i="3"/>
  <c r="H171" i="3"/>
  <c r="H228" i="3"/>
  <c r="H243" i="3"/>
  <c r="H249" i="3"/>
  <c r="H274" i="3"/>
  <c r="H287" i="3"/>
  <c r="H290" i="3"/>
  <c r="H299" i="3"/>
  <c r="G16" i="5"/>
  <c r="Q1953" i="2"/>
  <c r="H27" i="3"/>
  <c r="H58" i="3"/>
  <c r="H70" i="3"/>
  <c r="H91" i="3"/>
  <c r="H111" i="3"/>
  <c r="H120" i="3"/>
  <c r="H129" i="3"/>
  <c r="H132" i="3"/>
  <c r="H150" i="3"/>
  <c r="H168" i="3"/>
  <c r="H177" i="3"/>
  <c r="H186" i="3"/>
  <c r="H207" i="3"/>
  <c r="H210" i="3"/>
  <c r="H225" i="3"/>
  <c r="H240" i="3"/>
  <c r="H281" i="3"/>
  <c r="G11" i="5"/>
  <c r="G27" i="5"/>
  <c r="H4" i="3"/>
  <c r="H7" i="3"/>
  <c r="H10" i="3"/>
  <c r="H24" i="3"/>
  <c r="H35" i="3"/>
  <c r="H38" i="3"/>
  <c r="H44" i="3"/>
  <c r="H47" i="3"/>
  <c r="K85" i="3"/>
  <c r="K91" i="3"/>
  <c r="H94" i="3"/>
  <c r="K111" i="3"/>
  <c r="K150" i="3"/>
  <c r="H183" i="3"/>
  <c r="H192" i="3"/>
  <c r="H201" i="3"/>
  <c r="H204" i="3"/>
  <c r="K207" i="3"/>
  <c r="H222" i="3"/>
  <c r="K225" i="3"/>
  <c r="H256" i="3"/>
  <c r="H259" i="3"/>
  <c r="H268" i="3"/>
  <c r="K9" i="9"/>
  <c r="E9" i="9" s="1"/>
  <c r="K13" i="3"/>
  <c r="K19" i="3"/>
  <c r="H22" i="3"/>
  <c r="H33" i="3"/>
  <c r="H56" i="3"/>
  <c r="H71" i="3"/>
  <c r="H74" i="3"/>
  <c r="H80" i="3"/>
  <c r="H83" i="3"/>
  <c r="H86" i="3"/>
  <c r="H89" i="3"/>
  <c r="H103" i="3"/>
  <c r="H106" i="3"/>
  <c r="H109" i="3"/>
  <c r="H112" i="3"/>
  <c r="H115" i="3"/>
  <c r="H133" i="3"/>
  <c r="H148" i="3"/>
  <c r="H151" i="3"/>
  <c r="K157" i="3"/>
  <c r="K163" i="3"/>
  <c r="H172" i="3"/>
  <c r="K198" i="3"/>
  <c r="H217" i="3"/>
  <c r="H226" i="3"/>
  <c r="H232" i="3"/>
  <c r="H235" i="3"/>
  <c r="H244" i="3"/>
  <c r="H250" i="3"/>
  <c r="H300" i="3"/>
  <c r="E8" i="9"/>
  <c r="H28" i="3"/>
  <c r="H42" i="3"/>
  <c r="H62" i="3"/>
  <c r="H65" i="3"/>
  <c r="K74" i="3"/>
  <c r="K103" i="3"/>
  <c r="K112" i="3"/>
  <c r="H118" i="3"/>
  <c r="H121" i="3"/>
  <c r="H124" i="3"/>
  <c r="H139" i="3"/>
  <c r="H142" i="3"/>
  <c r="K148" i="3"/>
  <c r="K151" i="3"/>
  <c r="H175" i="3"/>
  <c r="H178" i="3"/>
  <c r="H181" i="3"/>
  <c r="H184" i="3"/>
  <c r="H187" i="3"/>
  <c r="H205" i="3"/>
  <c r="H208" i="3"/>
  <c r="H220" i="3"/>
  <c r="H223" i="3"/>
  <c r="K229" i="3"/>
  <c r="K235" i="3"/>
  <c r="H247" i="3"/>
  <c r="H257" i="3"/>
  <c r="H272" i="3"/>
  <c r="H275" i="3"/>
  <c r="G18" i="5"/>
  <c r="G29" i="5"/>
  <c r="H14" i="3"/>
  <c r="H17" i="3"/>
  <c r="H36" i="3"/>
  <c r="H39" i="3"/>
  <c r="H59" i="3"/>
  <c r="H130" i="3"/>
  <c r="H155" i="3"/>
  <c r="H158" i="3"/>
  <c r="H161" i="3"/>
  <c r="H190" i="3"/>
  <c r="H193" i="3"/>
  <c r="H196" i="3"/>
  <c r="H211" i="3"/>
  <c r="H214" i="3"/>
  <c r="H263" i="3"/>
  <c r="H279" i="3"/>
  <c r="H282" i="3"/>
  <c r="Q1963" i="2"/>
  <c r="Q1915" i="2"/>
  <c r="G3" i="5"/>
  <c r="G13" i="5"/>
  <c r="G24" i="5"/>
  <c r="H31" i="3"/>
  <c r="H48" i="3"/>
  <c r="H75" i="3"/>
  <c r="H101" i="3"/>
  <c r="H113" i="3"/>
  <c r="H202" i="3"/>
  <c r="H227" i="3"/>
  <c r="H230" i="3"/>
  <c r="H233" i="3"/>
  <c r="H254" i="3"/>
  <c r="H260" i="3"/>
  <c r="H266" i="3"/>
  <c r="G19" i="5"/>
  <c r="G30" i="5"/>
  <c r="E22" i="12"/>
  <c r="D22" i="12"/>
  <c r="M22" i="12"/>
  <c r="L22" i="12"/>
  <c r="J22" i="12"/>
  <c r="I22" i="12"/>
  <c r="H22" i="12"/>
  <c r="G22" i="12"/>
  <c r="C22" i="12"/>
  <c r="B22" i="12"/>
  <c r="K22" i="12"/>
  <c r="F22" i="12"/>
  <c r="H57" i="3"/>
  <c r="H63" i="3"/>
  <c r="H66" i="3"/>
  <c r="H72" i="3"/>
  <c r="H119" i="3"/>
  <c r="H143" i="3"/>
  <c r="H146" i="3"/>
  <c r="H173" i="3"/>
  <c r="H185" i="3"/>
  <c r="H245" i="3"/>
  <c r="K260" i="3"/>
  <c r="G23" i="5"/>
  <c r="D23" i="12"/>
  <c r="C23" i="12"/>
  <c r="M23" i="12"/>
  <c r="K23" i="12"/>
  <c r="J23" i="12"/>
  <c r="I23" i="12"/>
  <c r="H23" i="12"/>
  <c r="F23" i="12"/>
  <c r="E23" i="12"/>
  <c r="L23" i="12"/>
  <c r="G23" i="12"/>
  <c r="B23" i="12"/>
  <c r="H3" i="3"/>
  <c r="H212" i="3"/>
  <c r="H140" i="3"/>
  <c r="H68" i="3"/>
  <c r="H296" i="3"/>
  <c r="H285" i="3"/>
  <c r="H277" i="3"/>
  <c r="H269" i="3"/>
  <c r="H251" i="3"/>
  <c r="H238" i="3"/>
  <c r="H261" i="3"/>
  <c r="H199" i="3"/>
  <c r="H194" i="3"/>
  <c r="H189" i="3"/>
  <c r="H127" i="3"/>
  <c r="H122" i="3"/>
  <c r="H117" i="3"/>
  <c r="H55" i="3"/>
  <c r="H50" i="3"/>
  <c r="H45" i="3"/>
  <c r="H271" i="3"/>
  <c r="H248" i="3"/>
  <c r="H176" i="3"/>
  <c r="H104" i="3"/>
  <c r="H32" i="3"/>
  <c r="H284" i="3"/>
  <c r="H224" i="3"/>
  <c r="H152" i="3"/>
  <c r="H23" i="3"/>
  <c r="H34" i="3"/>
  <c r="H37" i="3"/>
  <c r="H40" i="3"/>
  <c r="H43" i="3"/>
  <c r="H60" i="3"/>
  <c r="H69" i="3"/>
  <c r="H78" i="3"/>
  <c r="H81" i="3"/>
  <c r="H84" i="3"/>
  <c r="H93" i="3"/>
  <c r="H107" i="3"/>
  <c r="H110" i="3"/>
  <c r="H116" i="3"/>
  <c r="H125" i="3"/>
  <c r="H134" i="3"/>
  <c r="H137" i="3"/>
  <c r="H170" i="3"/>
  <c r="H191" i="3"/>
  <c r="H215" i="3"/>
  <c r="H218" i="3"/>
  <c r="H221" i="3"/>
  <c r="H242" i="3"/>
  <c r="H273" i="3"/>
  <c r="H276" i="3"/>
  <c r="H280" i="3"/>
  <c r="H283" i="3"/>
  <c r="H286" i="3"/>
  <c r="Q1905" i="2"/>
  <c r="K40" i="3"/>
  <c r="H46" i="3"/>
  <c r="K69" i="3"/>
  <c r="K78" i="3"/>
  <c r="K81" i="3"/>
  <c r="K107" i="3"/>
  <c r="K116" i="3"/>
  <c r="H128" i="3"/>
  <c r="H131" i="3"/>
  <c r="H165" i="3"/>
  <c r="K170" i="3"/>
  <c r="H179" i="3"/>
  <c r="H182" i="3"/>
  <c r="H188" i="3"/>
  <c r="H197" i="3"/>
  <c r="H206" i="3"/>
  <c r="H209" i="3"/>
  <c r="K218" i="3"/>
  <c r="K242" i="3"/>
  <c r="H258" i="3"/>
  <c r="H267" i="3"/>
  <c r="K141" i="3"/>
  <c r="H144" i="3"/>
  <c r="H147" i="3"/>
  <c r="K213" i="3"/>
  <c r="H216" i="3"/>
  <c r="H219" i="3"/>
  <c r="K265" i="3"/>
  <c r="G22" i="5"/>
  <c r="K3" i="12"/>
  <c r="C3" i="12"/>
  <c r="B3" i="12"/>
  <c r="G3" i="12"/>
  <c r="F3" i="12"/>
  <c r="H6" i="12"/>
  <c r="C6" i="12"/>
  <c r="B6" i="12"/>
  <c r="G6" i="12"/>
  <c r="F6" i="12"/>
  <c r="E9" i="12"/>
  <c r="C9" i="12"/>
  <c r="B9" i="12"/>
  <c r="H9" i="12"/>
  <c r="G9" i="12"/>
  <c r="B12" i="12"/>
  <c r="D12" i="12"/>
  <c r="C12" i="12"/>
  <c r="H12" i="12"/>
  <c r="G12" i="12"/>
  <c r="K276" i="3"/>
  <c r="H298" i="3"/>
  <c r="G14" i="5"/>
  <c r="E3" i="12"/>
  <c r="E6" i="12"/>
  <c r="F9" i="12"/>
  <c r="F12" i="12"/>
  <c r="K16" i="12"/>
  <c r="J16" i="12"/>
  <c r="E16" i="12"/>
  <c r="D16" i="12"/>
  <c r="B16" i="12"/>
  <c r="I16" i="12"/>
  <c r="H16" i="12"/>
  <c r="I18" i="12"/>
  <c r="H18" i="12"/>
  <c r="G18" i="12"/>
  <c r="F18" i="12"/>
  <c r="D18" i="12"/>
  <c r="M18" i="12"/>
  <c r="L18" i="12"/>
  <c r="C29" i="12"/>
  <c r="B29" i="12"/>
  <c r="L29" i="12"/>
  <c r="J29" i="12"/>
  <c r="I29" i="12"/>
  <c r="M29" i="12"/>
  <c r="K29" i="12"/>
  <c r="H29" i="12"/>
  <c r="F29" i="12"/>
  <c r="E29" i="12"/>
  <c r="C16" i="12"/>
  <c r="B18" i="12"/>
  <c r="D29" i="12"/>
  <c r="K24" i="3"/>
  <c r="K27" i="3"/>
  <c r="H30" i="3"/>
  <c r="K96" i="3"/>
  <c r="K99" i="3"/>
  <c r="H102" i="3"/>
  <c r="K168" i="3"/>
  <c r="K171" i="3"/>
  <c r="H174" i="3"/>
  <c r="K240" i="3"/>
  <c r="K243" i="3"/>
  <c r="H246" i="3"/>
  <c r="G6" i="5"/>
  <c r="I11" i="7"/>
  <c r="E11" i="7" s="1"/>
  <c r="L2" i="12"/>
  <c r="C2" i="12"/>
  <c r="B2" i="12"/>
  <c r="G2" i="12"/>
  <c r="F2" i="12"/>
  <c r="I3" i="12"/>
  <c r="I5" i="12"/>
  <c r="C5" i="12"/>
  <c r="B5" i="12"/>
  <c r="G5" i="12"/>
  <c r="F5" i="12"/>
  <c r="J6" i="12"/>
  <c r="F8" i="12"/>
  <c r="C8" i="12"/>
  <c r="B8" i="12"/>
  <c r="H8" i="12"/>
  <c r="G8" i="12"/>
  <c r="J9" i="12"/>
  <c r="C11" i="12"/>
  <c r="D11" i="12"/>
  <c r="B11" i="12"/>
  <c r="H11" i="12"/>
  <c r="G11" i="12"/>
  <c r="J12" i="12"/>
  <c r="F16" i="12"/>
  <c r="C18" i="12"/>
  <c r="G29" i="12"/>
  <c r="G2" i="5"/>
  <c r="G15" i="5"/>
  <c r="G28" i="5"/>
  <c r="J3" i="12"/>
  <c r="K6" i="12"/>
  <c r="K9" i="12"/>
  <c r="K12" i="12"/>
  <c r="G16" i="12"/>
  <c r="E18" i="12"/>
  <c r="H25" i="3"/>
  <c r="H97" i="3"/>
  <c r="H169" i="3"/>
  <c r="H241" i="3"/>
  <c r="H288" i="3"/>
  <c r="H291" i="3"/>
  <c r="E2" i="12"/>
  <c r="L3" i="12"/>
  <c r="E5" i="12"/>
  <c r="L6" i="12"/>
  <c r="E8" i="12"/>
  <c r="L9" i="12"/>
  <c r="F11" i="12"/>
  <c r="L12" i="12"/>
  <c r="L16" i="12"/>
  <c r="J18" i="12"/>
  <c r="G7" i="5"/>
  <c r="G20" i="5"/>
  <c r="H2" i="12"/>
  <c r="M3" i="12"/>
  <c r="H5" i="12"/>
  <c r="M6" i="12"/>
  <c r="I8" i="12"/>
  <c r="M9" i="12"/>
  <c r="I11" i="12"/>
  <c r="M12" i="12"/>
  <c r="M16" i="12"/>
  <c r="K18" i="12"/>
  <c r="H236" i="3"/>
  <c r="H164" i="3"/>
  <c r="H92" i="3"/>
  <c r="H20" i="3"/>
  <c r="H15" i="3"/>
  <c r="K48" i="3"/>
  <c r="H51" i="3"/>
  <c r="H87" i="3"/>
  <c r="K120" i="3"/>
  <c r="H123" i="3"/>
  <c r="H159" i="3"/>
  <c r="K192" i="3"/>
  <c r="H195" i="3"/>
  <c r="H231" i="3"/>
  <c r="K264" i="3"/>
  <c r="I2" i="12"/>
  <c r="J4" i="12"/>
  <c r="C4" i="12"/>
  <c r="B4" i="12"/>
  <c r="G4" i="12"/>
  <c r="F4" i="12"/>
  <c r="J5" i="12"/>
  <c r="G7" i="12"/>
  <c r="C7" i="12"/>
  <c r="B7" i="12"/>
  <c r="H7" i="12"/>
  <c r="F7" i="12"/>
  <c r="J8" i="12"/>
  <c r="D10" i="12"/>
  <c r="C10" i="12"/>
  <c r="B10" i="12"/>
  <c r="H10" i="12"/>
  <c r="G10" i="12"/>
  <c r="J11" i="12"/>
  <c r="J17" i="12"/>
  <c r="I17" i="12"/>
  <c r="F17" i="12"/>
  <c r="E17" i="12"/>
  <c r="C17" i="12"/>
  <c r="L17" i="12"/>
  <c r="K17" i="12"/>
  <c r="H19" i="12"/>
  <c r="G19" i="12"/>
  <c r="J19" i="12"/>
  <c r="I19" i="12"/>
  <c r="E19" i="12"/>
  <c r="M19" i="12"/>
  <c r="G15" i="12"/>
  <c r="F21" i="12"/>
  <c r="E21" i="12"/>
  <c r="J27" i="12"/>
  <c r="G20" i="12"/>
  <c r="F20" i="12"/>
  <c r="L15" i="12"/>
  <c r="K15" i="12"/>
  <c r="E27" i="12"/>
  <c r="D27" i="12"/>
  <c r="B27" i="12"/>
  <c r="L27" i="12"/>
  <c r="K27" i="12"/>
  <c r="C15" i="12"/>
  <c r="J20" i="12"/>
  <c r="F27" i="12"/>
  <c r="D15" i="12"/>
  <c r="K20" i="12"/>
  <c r="L21" i="12"/>
  <c r="C24" i="12"/>
  <c r="B24" i="12"/>
  <c r="G27" i="12"/>
  <c r="L14" i="12"/>
  <c r="L26" i="12"/>
  <c r="J28" i="12"/>
  <c r="H30" i="12"/>
  <c r="G31" i="12"/>
  <c r="M26" i="12"/>
  <c r="K28" i="12"/>
  <c r="I30" i="12"/>
  <c r="H31" i="12"/>
  <c r="M28" i="12"/>
  <c r="K30" i="12"/>
  <c r="J31" i="12"/>
  <c r="C28" i="12"/>
  <c r="M30" i="12"/>
  <c r="L31" i="12"/>
  <c r="E7" i="10" l="1"/>
  <c r="E7" i="8"/>
  <c r="E9" i="8"/>
  <c r="H25" i="4"/>
  <c r="E6" i="8"/>
  <c r="H57" i="4"/>
  <c r="H6" i="4"/>
  <c r="H53" i="4"/>
  <c r="H30" i="4"/>
  <c r="H37" i="4"/>
  <c r="H27" i="4"/>
  <c r="H43" i="4"/>
  <c r="H12" i="4"/>
  <c r="H21" i="4"/>
  <c r="H51" i="4"/>
  <c r="H17" i="4"/>
  <c r="H2" i="4"/>
  <c r="H44" i="4"/>
  <c r="H49" i="4"/>
  <c r="H19" i="4"/>
  <c r="H40" i="4"/>
  <c r="H34" i="4"/>
  <c r="H3" i="4"/>
  <c r="H14" i="4"/>
  <c r="H13" i="4"/>
  <c r="H5" i="4"/>
  <c r="H31" i="4"/>
  <c r="H47" i="4"/>
  <c r="H60" i="4"/>
  <c r="H22" i="4"/>
  <c r="H15" i="4"/>
  <c r="H54" i="4"/>
  <c r="H10" i="4"/>
  <c r="E8" i="11"/>
  <c r="E5" i="11"/>
  <c r="H46" i="4"/>
  <c r="H41" i="4"/>
  <c r="H16" i="4"/>
  <c r="H50" i="4"/>
  <c r="H56" i="4"/>
  <c r="E6" i="10"/>
  <c r="H23" i="4"/>
  <c r="H8" i="4"/>
  <c r="H18" i="4"/>
  <c r="H48" i="4"/>
  <c r="H26" i="4"/>
  <c r="H32" i="4"/>
  <c r="H24" i="4"/>
  <c r="H35" i="4"/>
  <c r="H4" i="4"/>
  <c r="H33" i="4"/>
  <c r="H9" i="4"/>
  <c r="H38" i="4"/>
  <c r="H45" i="4"/>
  <c r="H42" i="4"/>
  <c r="H59" i="4"/>
  <c r="H52" i="4"/>
  <c r="H36" i="4"/>
  <c r="H20" i="4"/>
  <c r="H11" i="4"/>
  <c r="H28" i="4"/>
  <c r="H29" i="4"/>
  <c r="H58" i="4"/>
  <c r="H7" i="4"/>
  <c r="H39" i="4"/>
  <c r="H55" i="4"/>
  <c r="E7" i="11" l="1"/>
</calcChain>
</file>

<file path=xl/sharedStrings.xml><?xml version="1.0" encoding="utf-8"?>
<sst xmlns="http://schemas.openxmlformats.org/spreadsheetml/2006/main" count="13861" uniqueCount="3044">
  <si>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</si>
  <si>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</si>
  <si>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</si>
  <si>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</si>
  <si>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</si>
  <si>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</si>
  <si>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</si>
  <si>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</si>
  <si>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</si>
  <si>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</si>
  <si>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</si>
  <si>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</si>
  <si>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</si>
  <si>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</si>
  <si>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</si>
  <si>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</si>
  <si>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</si>
  <si>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</si>
  <si>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30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</si>
  <si>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</si>
  <si>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</si>
  <si>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</si>
  <si>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</si>
  <si>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</si>
  <si>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</si>
  <si>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</si>
  <si>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</si>
  <si>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</si>
  <si>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</si>
  <si>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</si>
  <si>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</si>
  <si>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</si>
  <si>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</si>
  <si>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</si>
  <si>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</si>
  <si>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</si>
  <si>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category</t>
  </si>
  <si>
    <t>region</t>
  </si>
  <si>
    <t>segment</t>
  </si>
  <si>
    <t>cust_age</t>
  </si>
  <si>
    <t>unit_cost</t>
  </si>
  <si>
    <t>is_active</t>
  </si>
  <si>
    <t>profit_margin</t>
  </si>
  <si>
    <t>id_count</t>
  </si>
  <si>
    <t>first_dup</t>
  </si>
  <si>
    <t>cust_exists</t>
  </si>
  <si>
    <t>blr_grocery_amt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</si>
  <si>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</si>
  <si>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</si>
  <si>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</si>
  <si>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</si>
  <si>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</si>
  <si>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</si>
  <si>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</si>
  <si>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</si>
  <si>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</si>
  <si>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</si>
  <si>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</si>
  <si>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</si>
  <si>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</si>
  <si>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</si>
  <si>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</si>
  <si>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</si>
  <si>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</si>
  <si>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</si>
  <si>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</si>
  <si>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</si>
  <si>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</si>
  <si>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</si>
  <si>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</si>
  <si>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</si>
  <si>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</si>
  <si>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</si>
  <si>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</si>
  <si>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</si>
  <si>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</si>
  <si>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</si>
  <si>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</si>
  <si>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</si>
  <si>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</si>
  <si>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</si>
  <si>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</si>
  <si>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</si>
  <si>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</si>
  <si>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</si>
  <si>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</si>
  <si>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</si>
  <si>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</si>
  <si>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</si>
  <si>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</si>
  <si>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</si>
  <si>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</si>
  <si>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</si>
  <si>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</si>
  <si>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</si>
  <si>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</si>
  <si>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</si>
  <si>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</si>
  <si>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</si>
  <si>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</si>
  <si>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</si>
  <si>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</si>
  <si>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</si>
  <si>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</si>
  <si>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</si>
  <si>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</si>
  <si>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</si>
  <si>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</si>
  <si>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</si>
  <si>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</si>
  <si>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</si>
  <si>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</si>
  <si>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</si>
  <si>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</si>
  <si>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</si>
  <si>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</si>
  <si>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</si>
  <si>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</si>
  <si>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</si>
  <si>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</si>
  <si>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</si>
  <si>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</si>
  <si>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</si>
  <si>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</si>
  <si>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</si>
  <si>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</si>
  <si>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</si>
  <si>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</si>
  <si>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</si>
  <si>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</si>
  <si>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</si>
  <si>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</si>
  <si>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</si>
  <si>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</si>
  <si>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</si>
  <si>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</si>
  <si>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</si>
  <si>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</si>
  <si>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</si>
  <si>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</si>
  <si>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</si>
  <si>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</si>
  <si>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</si>
  <si>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</si>
  <si>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</si>
  <si>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</si>
  <si>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</si>
  <si>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</si>
  <si>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</si>
  <si>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</si>
  <si>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</si>
  <si>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</si>
  <si>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</si>
  <si>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</si>
  <si>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</si>
  <si>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</si>
  <si>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</si>
  <si>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</si>
  <si>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</si>
  <si>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</si>
  <si>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</si>
  <si>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</si>
  <si>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</si>
  <si>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</si>
  <si>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</si>
  <si>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</si>
  <si>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</si>
  <si>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</si>
  <si>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</si>
  <si>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</si>
  <si>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</si>
  <si>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</si>
  <si>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</si>
  <si>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</si>
  <si>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</si>
  <si>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</si>
  <si>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</si>
  <si>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</si>
  <si>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</si>
  <si>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</si>
  <si>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</si>
  <si>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</si>
  <si>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</si>
  <si>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</si>
  <si>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</si>
  <si>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</si>
  <si>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</si>
  <si>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</si>
  <si>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</si>
  <si>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</si>
  <si>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</si>
  <si>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</si>
  <si>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</si>
  <si>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</si>
  <si>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</si>
  <si>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</si>
  <si>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</si>
  <si>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</si>
  <si>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</si>
  <si>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</si>
  <si>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</si>
  <si>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</si>
  <si>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</si>
  <si>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</si>
  <si>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</si>
  <si>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</si>
  <si>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</si>
  <si>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</si>
  <si>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</si>
  <si>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</si>
  <si>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</si>
  <si>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</si>
  <si>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</si>
  <si>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</si>
  <si>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</si>
  <si>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</si>
  <si>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</si>
  <si>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</si>
  <si>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</si>
  <si>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</si>
  <si>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</si>
  <si>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</si>
  <si>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</si>
  <si>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</si>
  <si>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</si>
  <si>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</si>
  <si>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</si>
  <si>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</si>
  <si>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</si>
  <si>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</si>
  <si>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</si>
  <si>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</si>
  <si>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</si>
  <si>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</si>
  <si>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</si>
  <si>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</si>
  <si>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</si>
  <si>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</si>
  <si>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</si>
  <si>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</si>
  <si>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</si>
  <si>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</si>
  <si>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</si>
  <si>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</si>
  <si>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</si>
  <si>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</si>
  <si>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</si>
  <si>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</si>
  <si>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</si>
  <si>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</si>
  <si>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</si>
  <si>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</si>
  <si>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</si>
  <si>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</si>
  <si>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</si>
  <si>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</si>
  <si>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</si>
  <si>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</si>
  <si>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</si>
  <si>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</si>
  <si>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</si>
  <si>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</si>
  <si>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</si>
  <si>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</si>
  <si>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</si>
  <si>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</si>
  <si>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</si>
  <si>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</si>
  <si>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</si>
  <si>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</si>
  <si>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</si>
  <si>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</si>
  <si>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</si>
  <si>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</si>
  <si>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</si>
  <si>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</si>
  <si>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</si>
  <si>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</si>
  <si>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</si>
  <si>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</si>
  <si>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</si>
  <si>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</si>
  <si>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</si>
  <si>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</si>
  <si>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</si>
  <si>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</si>
  <si>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</si>
  <si>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</si>
  <si>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</si>
  <si>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</si>
  <si>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</si>
  <si>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</si>
  <si>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</si>
  <si>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</si>
  <si>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</si>
  <si>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</si>
  <si>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</si>
  <si>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</si>
  <si>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</si>
  <si>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</si>
  <si>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</si>
  <si>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</si>
  <si>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</si>
  <si>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</si>
  <si>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</si>
  <si>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</si>
  <si>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</si>
  <si>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</si>
  <si>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</si>
  <si>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</si>
  <si>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</si>
  <si>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</si>
  <si>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</si>
  <si>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</si>
  <si>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</si>
  <si>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</si>
  <si>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</si>
  <si>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</si>
  <si>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</si>
  <si>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</si>
  <si>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</si>
  <si>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</si>
  <si>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</si>
  <si>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</si>
  <si>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</si>
  <si>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</si>
  <si>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</si>
  <si>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</si>
  <si>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</si>
  <si>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</si>
  <si>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</si>
  <si>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</si>
  <si>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</si>
  <si>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</si>
  <si>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</si>
  <si>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</si>
  <si>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</si>
  <si>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</si>
  <si>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</si>
  <si>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</si>
  <si>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</si>
  <si>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</si>
  <si>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</si>
  <si>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</si>
  <si>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</si>
  <si>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</si>
  <si>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</si>
  <si>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</si>
  <si>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</si>
  <si>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</si>
  <si>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</si>
  <si>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</si>
  <si>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</si>
  <si>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</si>
  <si>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</si>
  <si>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</si>
  <si>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</si>
  <si>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</si>
  <si>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</si>
  <si>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</si>
  <si>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</si>
  <si>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</si>
  <si>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</si>
  <si>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</si>
  <si>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</si>
  <si>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</si>
  <si>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</si>
  <si>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</si>
  <si>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</si>
  <si>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</si>
  <si>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</si>
  <si>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</si>
  <si>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</si>
  <si>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</si>
  <si>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</si>
  <si>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</si>
  <si>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</si>
  <si>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</si>
  <si>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</si>
  <si>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</si>
  <si>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</si>
  <si>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</si>
  <si>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</si>
  <si>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</si>
  <si>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</si>
  <si>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</si>
  <si>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</si>
  <si>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</si>
  <si>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</si>
  <si>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</si>
  <si>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</si>
  <si>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</si>
  <si>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</si>
  <si>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</si>
  <si>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</si>
  <si>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</si>
  <si>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</si>
  <si>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</si>
  <si>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</si>
  <si>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</si>
  <si>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</si>
  <si>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</si>
  <si>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</si>
  <si>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</si>
  <si>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</si>
  <si>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</si>
  <si>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</si>
  <si>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</si>
  <si>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</si>
  <si>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</si>
  <si>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</si>
  <si>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</si>
  <si>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</si>
  <si>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</si>
  <si>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</si>
  <si>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</si>
  <si>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</si>
  <si>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</si>
  <si>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</si>
  <si>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</si>
  <si>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</si>
  <si>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</si>
  <si>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</si>
  <si>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</si>
  <si>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</si>
  <si>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</si>
  <si>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</si>
  <si>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</si>
  <si>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</si>
  <si>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</si>
  <si>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</si>
  <si>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</si>
  <si>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</si>
  <si>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</si>
  <si>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</si>
  <si>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</si>
  <si>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</si>
  <si>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</si>
  <si>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</si>
  <si>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</si>
  <si>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</si>
  <si>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</si>
  <si>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</si>
  <si>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</si>
  <si>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</si>
  <si>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</si>
  <si>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</si>
  <si>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</si>
  <si>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</si>
  <si>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</si>
  <si>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</si>
  <si>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</si>
  <si>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</si>
  <si>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</si>
  <si>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</si>
  <si>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</si>
  <si>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</si>
  <si>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</si>
  <si>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</si>
  <si>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</si>
  <si>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</si>
  <si>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</si>
  <si>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</si>
  <si>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</si>
  <si>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</si>
  <si>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</si>
  <si>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</si>
  <si>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</si>
  <si>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</si>
  <si>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</si>
  <si>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</si>
  <si>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</si>
  <si>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</si>
  <si>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</si>
  <si>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</si>
  <si>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</si>
  <si>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</si>
  <si>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</si>
  <si>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</si>
  <si>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</si>
  <si>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</si>
  <si>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</si>
  <si>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</si>
  <si>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</si>
  <si>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</si>
  <si>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</si>
  <si>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</si>
  <si>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</si>
  <si>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</si>
  <si>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</si>
  <si>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</si>
  <si>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</si>
  <si>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</si>
  <si>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</si>
  <si>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</si>
  <si>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</si>
  <si>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</si>
  <si>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</si>
  <si>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</si>
  <si>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</si>
  <si>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</si>
  <si>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</si>
  <si>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</si>
  <si>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</si>
  <si>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</si>
  <si>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</si>
  <si>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</si>
  <si>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</si>
  <si>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</si>
  <si>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</si>
  <si>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</si>
  <si>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</si>
  <si>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</si>
  <si>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</si>
  <si>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</si>
  <si>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</si>
  <si>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</si>
  <si>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</si>
  <si>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</si>
  <si>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</si>
  <si>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</si>
  <si>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</si>
  <si>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</si>
  <si>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</si>
  <si>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</si>
  <si>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</si>
  <si>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</si>
  <si>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</si>
  <si>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</si>
  <si>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</si>
  <si>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</si>
  <si>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</si>
  <si>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</si>
  <si>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</si>
  <si>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</si>
  <si>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</si>
  <si>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</si>
  <si>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</si>
  <si>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</si>
  <si>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</si>
  <si>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</si>
  <si>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</si>
  <si>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</si>
  <si>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</si>
  <si>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</si>
  <si>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</si>
  <si>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</si>
  <si>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</si>
  <si>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</si>
  <si>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</si>
  <si>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</si>
  <si>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</si>
  <si>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</si>
  <si>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</si>
  <si>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</si>
  <si>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</si>
  <si>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</si>
  <si>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</si>
  <si>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</si>
  <si>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</si>
  <si>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</si>
  <si>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</si>
  <si>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</si>
  <si>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</si>
  <si>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</si>
  <si>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</si>
  <si>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</si>
  <si>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</si>
  <si>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</si>
  <si>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</si>
  <si>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</si>
  <si>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</si>
  <si>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</si>
  <si>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</si>
  <si>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</si>
  <si>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</si>
  <si>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</si>
  <si>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</si>
  <si>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</si>
  <si>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</si>
  <si>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</si>
  <si>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</si>
  <si>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</si>
  <si>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</si>
  <si>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</si>
  <si>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</si>
  <si>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</si>
  <si>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</si>
  <si>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</si>
  <si>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</si>
  <si>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</si>
  <si>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</si>
  <si>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</si>
  <si>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</si>
  <si>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</si>
  <si>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</si>
  <si>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</si>
  <si>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</si>
  <si>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</si>
  <si>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</si>
  <si>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</si>
  <si>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</si>
  <si>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</si>
  <si>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</si>
  <si>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</si>
  <si>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</si>
  <si>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</si>
  <si>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</si>
  <si>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</si>
  <si>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</si>
  <si>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</si>
  <si>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</si>
  <si>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</si>
  <si>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</si>
  <si>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</si>
  <si>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</si>
  <si>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</si>
  <si>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</si>
  <si>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</si>
  <si>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</si>
  <si>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</si>
  <si>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</si>
  <si>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</si>
  <si>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</si>
  <si>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</si>
  <si>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</si>
  <si>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</si>
  <si>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</si>
  <si>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</si>
  <si>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</si>
  <si>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</si>
  <si>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</si>
  <si>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</si>
  <si>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</si>
  <si>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</si>
  <si>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</si>
  <si>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</si>
  <si>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</si>
  <si>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</si>
  <si>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</si>
  <si>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</si>
  <si>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</si>
  <si>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</si>
  <si>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</si>
  <si>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</si>
  <si>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</si>
  <si>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</si>
  <si>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</si>
  <si>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</si>
  <si>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</si>
  <si>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</si>
  <si>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</si>
  <si>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</si>
  <si>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</si>
  <si>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</si>
  <si>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</si>
  <si>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</si>
  <si>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</si>
  <si>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</si>
  <si>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</si>
  <si>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</si>
  <si>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</si>
  <si>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</si>
  <si>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</si>
  <si>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</si>
  <si>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</si>
  <si>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</si>
  <si>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</si>
  <si>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</si>
  <si>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</si>
  <si>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</si>
  <si>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</si>
  <si>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</si>
  <si>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</si>
  <si>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</si>
  <si>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</si>
  <si>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</si>
  <si>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</si>
  <si>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</si>
  <si>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</si>
  <si>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</si>
  <si>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</si>
  <si>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</si>
  <si>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</si>
  <si>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</si>
  <si>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</si>
  <si>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</si>
  <si>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</si>
  <si>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</si>
  <si>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</si>
  <si>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</si>
  <si>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</si>
  <si>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</si>
  <si>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</si>
  <si>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</si>
  <si>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</si>
  <si>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</si>
  <si>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</si>
  <si>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</si>
  <si>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</si>
  <si>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</si>
  <si>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</si>
  <si>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</si>
  <si>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</si>
  <si>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</si>
  <si>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</si>
  <si>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</si>
  <si>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</si>
  <si>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</si>
  <si>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</si>
  <si>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</si>
  <si>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</si>
  <si>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</si>
  <si>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</si>
  <si>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</si>
  <si>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</si>
  <si>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</si>
  <si>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</si>
  <si>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</si>
  <si>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</si>
  <si>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</si>
  <si>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</si>
  <si>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</si>
  <si>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</si>
  <si>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</si>
  <si>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</si>
  <si>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</si>
  <si>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</si>
  <si>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</si>
  <si>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</si>
  <si>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</si>
  <si>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</si>
  <si>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</si>
  <si>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</si>
  <si>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</si>
  <si>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</si>
  <si>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</si>
  <si>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</si>
  <si>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</si>
  <si>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</si>
  <si>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</si>
  <si>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</si>
  <si>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</si>
  <si>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</si>
  <si>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</si>
  <si>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</si>
  <si>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</si>
  <si>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</si>
  <si>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</si>
  <si>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</si>
  <si>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</si>
  <si>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</si>
  <si>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</si>
  <si>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</si>
  <si>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</si>
  <si>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</si>
  <si>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</si>
  <si>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</si>
  <si>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</si>
  <si>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</si>
  <si>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</si>
  <si>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</si>
  <si>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</si>
  <si>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</si>
  <si>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</si>
  <si>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</si>
  <si>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</si>
  <si>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</si>
  <si>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</si>
  <si>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</si>
  <si>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</si>
  <si>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</si>
  <si>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</si>
  <si>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</si>
  <si>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</si>
  <si>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</si>
  <si>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</si>
  <si>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</si>
  <si>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</si>
  <si>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</si>
  <si>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</si>
  <si>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</si>
  <si>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</si>
  <si>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</si>
  <si>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</si>
  <si>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</si>
  <si>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</si>
  <si>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</si>
  <si>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</si>
  <si>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</si>
  <si>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</si>
  <si>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</si>
  <si>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</si>
  <si>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</si>
  <si>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</si>
  <si>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</si>
  <si>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</si>
  <si>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</si>
  <si>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</si>
  <si>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</si>
  <si>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</si>
  <si>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</si>
  <si>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</si>
  <si>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</si>
  <si>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</si>
  <si>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</si>
  <si>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</si>
  <si>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</si>
  <si>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</si>
  <si>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</si>
  <si>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</si>
  <si>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</si>
  <si>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</si>
  <si>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</si>
  <si>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</si>
  <si>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</si>
  <si>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</si>
  <si>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</si>
  <si>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</si>
  <si>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</si>
  <si>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</si>
  <si>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</si>
  <si>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</si>
  <si>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</si>
  <si>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</si>
  <si>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</si>
  <si>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</si>
  <si>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</si>
  <si>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</si>
  <si>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</si>
  <si>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</si>
  <si>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</si>
  <si>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</si>
  <si>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</si>
  <si>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</si>
  <si>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</si>
  <si>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</si>
  <si>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</si>
  <si>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</si>
  <si>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</si>
  <si>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</si>
  <si>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</si>
  <si>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</si>
  <si>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</si>
  <si>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</si>
  <si>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</si>
  <si>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</si>
  <si>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</si>
  <si>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</si>
  <si>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</si>
  <si>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</si>
  <si>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</si>
  <si>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</si>
  <si>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</si>
  <si>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</si>
  <si>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</si>
  <si>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</si>
  <si>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</si>
  <si>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</si>
  <si>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</si>
  <si>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</si>
  <si>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</si>
  <si>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</si>
  <si>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</si>
  <si>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</si>
  <si>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</si>
  <si>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</si>
  <si>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</si>
  <si>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</si>
  <si>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</si>
  <si>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</si>
  <si>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</si>
  <si>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</si>
  <si>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</si>
  <si>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</si>
  <si>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</si>
  <si>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</si>
  <si>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</si>
  <si>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</si>
  <si>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</si>
  <si>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</si>
  <si>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</si>
  <si>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</si>
  <si>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</si>
  <si>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</si>
  <si>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</si>
  <si>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</si>
  <si>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</si>
  <si>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</si>
  <si>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</si>
  <si>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</si>
  <si>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</si>
  <si>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</si>
  <si>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</si>
  <si>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</si>
  <si>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</si>
  <si>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</si>
  <si>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</si>
  <si>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</si>
  <si>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</si>
  <si>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</si>
  <si>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</si>
  <si>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</si>
  <si>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</si>
  <si>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</si>
  <si>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</si>
  <si>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</si>
  <si>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</si>
  <si>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</si>
  <si>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</si>
  <si>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</si>
  <si>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</si>
  <si>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</si>
  <si>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</si>
  <si>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</si>
  <si>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</si>
  <si>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</si>
  <si>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</si>
  <si>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</si>
  <si>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</si>
  <si>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</si>
  <si>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</si>
  <si>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</si>
  <si>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</si>
  <si>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</si>
  <si>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</si>
  <si>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</si>
  <si>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</si>
  <si>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</si>
  <si>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</si>
  <si>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</si>
  <si>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</si>
  <si>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</si>
  <si>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</si>
  <si>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</si>
  <si>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</si>
  <si>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</si>
  <si>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</si>
  <si>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</si>
  <si>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</si>
  <si>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</si>
  <si>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</si>
  <si>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</si>
  <si>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</si>
  <si>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</si>
  <si>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</si>
  <si>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</si>
  <si>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</si>
  <si>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</si>
  <si>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</si>
  <si>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</si>
  <si>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</si>
  <si>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</si>
  <si>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</si>
  <si>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</si>
  <si>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</si>
  <si>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</si>
  <si>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</si>
  <si>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</si>
  <si>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</si>
  <si>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</si>
  <si>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</si>
  <si>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</si>
  <si>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</si>
  <si>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</si>
  <si>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</si>
  <si>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</si>
  <si>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</si>
  <si>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</si>
  <si>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</si>
  <si>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</si>
  <si>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</si>
  <si>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</si>
  <si>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</si>
  <si>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</si>
  <si>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</si>
  <si>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</si>
  <si>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</si>
  <si>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</si>
  <si>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</si>
  <si>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</si>
  <si>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</si>
  <si>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</si>
  <si>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</si>
  <si>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</si>
  <si>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</si>
  <si>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</si>
  <si>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</si>
  <si>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</si>
  <si>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</si>
  <si>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</si>
  <si>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</si>
  <si>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</si>
  <si>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</si>
  <si>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</si>
  <si>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</si>
  <si>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</si>
  <si>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</si>
  <si>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</si>
  <si>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</si>
  <si>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</si>
  <si>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</si>
  <si>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</si>
  <si>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</si>
  <si>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</si>
  <si>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</si>
  <si>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</si>
  <si>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</si>
  <si>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</si>
  <si>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</si>
  <si>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</si>
  <si>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</si>
  <si>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</si>
  <si>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</si>
  <si>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</si>
  <si>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</si>
  <si>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</si>
  <si>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</si>
  <si>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</si>
  <si>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</si>
  <si>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</si>
  <si>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</si>
  <si>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</si>
  <si>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</si>
  <si>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</si>
  <si>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</si>
  <si>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</si>
  <si>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</si>
  <si>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</si>
  <si>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</si>
  <si>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</si>
  <si>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</si>
  <si>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</si>
  <si>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</si>
  <si>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</si>
  <si>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</si>
  <si>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</si>
  <si>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</si>
  <si>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</si>
  <si>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</si>
  <si>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</si>
  <si>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</si>
  <si>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</si>
  <si>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</si>
  <si>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</si>
  <si>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</si>
  <si>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</si>
  <si>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</si>
  <si>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</si>
  <si>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</si>
  <si>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</si>
  <si>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</si>
  <si>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</si>
  <si>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</si>
  <si>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</si>
  <si>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</si>
  <si>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</si>
  <si>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</si>
  <si>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</si>
  <si>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</si>
  <si>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</si>
  <si>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</si>
  <si>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</si>
  <si>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</si>
  <si>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</si>
  <si>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</si>
  <si>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</si>
  <si>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</si>
  <si>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</si>
  <si>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</si>
  <si>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</si>
  <si>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</si>
  <si>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</si>
  <si>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</si>
  <si>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</si>
  <si>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</si>
  <si>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</si>
  <si>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</si>
  <si>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</si>
  <si>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</si>
  <si>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</si>
  <si>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</si>
  <si>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</si>
  <si>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</si>
  <si>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</si>
  <si>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</si>
  <si>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</si>
  <si>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</si>
  <si>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</si>
  <si>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</si>
  <si>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</si>
  <si>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</si>
  <si>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</si>
  <si>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</si>
  <si>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</si>
  <si>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</si>
  <si>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</si>
  <si>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</si>
  <si>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</si>
  <si>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</si>
  <si>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</si>
  <si>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</si>
  <si>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</si>
  <si>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</si>
  <si>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</si>
  <si>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</si>
  <si>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</si>
  <si>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</si>
  <si>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</si>
  <si>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</si>
  <si>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</si>
  <si>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</si>
  <si>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</si>
  <si>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</si>
  <si>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</si>
  <si>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</si>
  <si>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</si>
  <si>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</si>
  <si>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</si>
  <si>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</si>
  <si>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</si>
  <si>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</si>
  <si>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</si>
  <si>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</si>
  <si>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</si>
  <si>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</si>
  <si>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</si>
  <si>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</si>
  <si>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</si>
  <si>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</si>
  <si>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</si>
  <si>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</si>
  <si>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</si>
  <si>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</si>
  <si>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</si>
  <si>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</si>
  <si>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</si>
  <si>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</si>
  <si>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</si>
  <si>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</si>
  <si>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</si>
  <si>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</si>
  <si>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</si>
  <si>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</si>
  <si>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</si>
  <si>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</si>
  <si>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</si>
  <si>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</si>
  <si>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</si>
  <si>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</si>
  <si>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</si>
  <si>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</si>
  <si>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</si>
  <si>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</si>
  <si>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</si>
  <si>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</si>
  <si>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</si>
  <si>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</si>
  <si>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</si>
  <si>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</si>
  <si>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</si>
  <si>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</si>
  <si>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</si>
  <si>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</si>
  <si>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</si>
  <si>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</si>
  <si>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</si>
  <si>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</si>
  <si>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</si>
  <si>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</si>
  <si>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</si>
  <si>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</si>
  <si>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</si>
  <si>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</si>
  <si>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</si>
  <si>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</si>
  <si>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</si>
  <si>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</si>
  <si>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</si>
  <si>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</si>
  <si>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</si>
  <si>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</si>
  <si>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</si>
  <si>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</si>
  <si>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</si>
  <si>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</si>
  <si>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</si>
  <si>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</si>
  <si>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</si>
  <si>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</si>
  <si>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</si>
  <si>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</si>
  <si>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</si>
  <si>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</si>
  <si>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</si>
  <si>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</si>
  <si>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</si>
  <si>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</si>
  <si>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</si>
  <si>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</si>
  <si>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</si>
  <si>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</si>
  <si>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</si>
  <si>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</si>
  <si>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</si>
  <si>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</si>
  <si>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</si>
  <si>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</si>
  <si>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</si>
  <si>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</si>
  <si>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</si>
  <si>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</si>
  <si>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</si>
  <si>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</si>
  <si>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</si>
  <si>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</si>
  <si>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</si>
  <si>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</si>
  <si>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</si>
  <si>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</si>
  <si>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</si>
  <si>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</si>
  <si>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</si>
  <si>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</si>
  <si>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</si>
  <si>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</si>
  <si>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</si>
  <si>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</si>
  <si>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</si>
  <si>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</si>
  <si>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</si>
  <si>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</si>
  <si>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</si>
  <si>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</si>
  <si>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</si>
  <si>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</si>
  <si>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</si>
  <si>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</si>
  <si>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</si>
  <si>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</si>
  <si>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</si>
  <si>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</si>
  <si>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</si>
  <si>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</si>
  <si>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</si>
  <si>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</si>
  <si>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</si>
  <si>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</si>
  <si>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</si>
  <si>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</si>
  <si>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</si>
  <si>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</si>
  <si>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</si>
  <si>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</si>
  <si>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</si>
  <si>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</si>
  <si>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</si>
  <si>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</si>
  <si>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</si>
  <si>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</si>
  <si>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</si>
  <si>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</si>
  <si>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</si>
  <si>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</si>
  <si>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</si>
  <si>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</si>
  <si>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</si>
  <si>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</si>
  <si>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</si>
  <si>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</si>
  <si>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</si>
  <si>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</si>
  <si>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</si>
  <si>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</si>
  <si>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</si>
  <si>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</si>
  <si>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</si>
  <si>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</si>
  <si>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</si>
  <si>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</si>
  <si>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</si>
  <si>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</si>
  <si>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</si>
  <si>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</si>
  <si>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</si>
  <si>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</si>
  <si>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</si>
  <si>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</si>
  <si>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</si>
  <si>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</si>
  <si>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</si>
  <si>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</si>
  <si>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</si>
  <si>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</si>
  <si>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</si>
  <si>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</si>
  <si>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</si>
  <si>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</si>
  <si>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</si>
  <si>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</si>
  <si>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</si>
  <si>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</si>
  <si>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</si>
  <si>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</si>
  <si>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</si>
  <si>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</si>
  <si>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</si>
  <si>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</si>
  <si>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</si>
  <si>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</si>
  <si>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</si>
  <si>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</si>
  <si>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</si>
  <si>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</si>
  <si>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</si>
  <si>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</si>
  <si>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</si>
  <si>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</si>
  <si>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</si>
  <si>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</si>
  <si>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</si>
  <si>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</si>
  <si>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</si>
  <si>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</si>
  <si>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</si>
  <si>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</si>
  <si>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</si>
  <si>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</si>
  <si>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</si>
  <si>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</si>
  <si>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</si>
  <si>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</si>
  <si>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</si>
  <si>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</si>
  <si>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</si>
  <si>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</si>
  <si>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</si>
  <si>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</si>
  <si>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</si>
  <si>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</si>
  <si>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</si>
  <si>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</si>
  <si>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</si>
  <si>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</si>
  <si>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</si>
  <si>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</si>
  <si>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</si>
  <si>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</si>
  <si>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</si>
  <si>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</si>
  <si>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</si>
  <si>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</si>
  <si>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</si>
  <si>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</si>
  <si>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</si>
  <si>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</si>
  <si>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</si>
  <si>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</si>
  <si>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</si>
  <si>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</si>
  <si>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</si>
  <si>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</si>
  <si>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</si>
  <si>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</si>
  <si>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</si>
  <si>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</si>
  <si>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</si>
  <si>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</si>
  <si>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</si>
  <si>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</si>
  <si>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</si>
  <si>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</si>
  <si>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</si>
  <si>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</si>
  <si>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</si>
  <si>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</si>
  <si>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</si>
  <si>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</si>
  <si>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</si>
  <si>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</si>
  <si>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</si>
  <si>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</si>
  <si>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</si>
  <si>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</si>
  <si>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</si>
  <si>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</si>
  <si>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</si>
  <si>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</si>
  <si>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</si>
  <si>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</si>
  <si>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</si>
  <si>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</si>
  <si>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</si>
  <si>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</si>
  <si>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</si>
  <si>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</si>
  <si>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</si>
  <si>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</si>
  <si>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</si>
  <si>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</si>
  <si>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</si>
  <si>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</si>
  <si>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</si>
  <si>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</si>
  <si>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</si>
  <si>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</si>
  <si>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</si>
  <si>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</si>
  <si>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</si>
  <si>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</si>
  <si>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</si>
  <si>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</si>
  <si>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</si>
  <si>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</si>
  <si>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</si>
  <si>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</si>
  <si>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</si>
  <si>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</si>
  <si>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</si>
  <si>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</si>
  <si>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</si>
  <si>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</si>
  <si>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</si>
  <si>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</si>
  <si>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</si>
  <si>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</si>
  <si>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</si>
  <si>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</si>
  <si>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</si>
  <si>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</si>
  <si>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</si>
  <si>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</si>
  <si>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</si>
  <si>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</si>
  <si>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</si>
  <si>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</si>
  <si>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</si>
  <si>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</si>
  <si>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</si>
  <si>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</si>
  <si>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</si>
  <si>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</si>
  <si>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</si>
  <si>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</si>
  <si>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</si>
  <si>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</si>
  <si>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</si>
  <si>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</si>
  <si>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</si>
  <si>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</si>
  <si>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</si>
  <si>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</si>
  <si>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</si>
  <si>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</si>
  <si>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</si>
  <si>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</si>
  <si>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</si>
  <si>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</si>
  <si>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</si>
  <si>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</si>
  <si>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</si>
  <si>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</si>
  <si>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</si>
  <si>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</si>
  <si>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</si>
  <si>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</si>
  <si>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</si>
  <si>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</si>
  <si>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</si>
  <si>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</si>
  <si>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</si>
  <si>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</si>
  <si>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</si>
  <si>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</si>
  <si>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</si>
  <si>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</si>
  <si>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</si>
  <si>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</si>
  <si>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</si>
  <si>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</si>
  <si>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</si>
  <si>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</si>
  <si>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</si>
  <si>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</si>
  <si>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</si>
  <si>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</si>
  <si>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</si>
  <si>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</si>
  <si>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</si>
  <si>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</si>
  <si>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</si>
  <si>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</si>
  <si>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</si>
  <si>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</si>
  <si>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</si>
  <si>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</si>
  <si>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</si>
  <si>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</si>
  <si>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</si>
  <si>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</si>
  <si>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</si>
  <si>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</si>
  <si>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</si>
  <si>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</si>
  <si>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</si>
  <si>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</si>
  <si>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</si>
  <si>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</si>
  <si>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</si>
  <si>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</si>
  <si>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</si>
  <si>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</si>
  <si>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</si>
  <si>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</si>
  <si>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</si>
  <si>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</si>
  <si>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</si>
  <si>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</si>
  <si>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</si>
  <si>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</si>
  <si>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</si>
  <si>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</si>
  <si>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</si>
  <si>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</si>
  <si>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</si>
  <si>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</si>
  <si>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</si>
  <si>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</si>
  <si>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</si>
  <si>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</si>
  <si>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</si>
  <si>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</si>
  <si>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</si>
  <si>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</si>
  <si>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</si>
  <si>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</si>
  <si>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</si>
  <si>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</si>
  <si>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</si>
  <si>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</si>
  <si>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</si>
  <si>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</si>
  <si>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</si>
  <si>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</si>
  <si>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</si>
  <si>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</si>
  <si>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</si>
  <si>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</si>
  <si>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</si>
  <si>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</si>
  <si>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</si>
  <si>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</si>
  <si>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</si>
  <si>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</si>
  <si>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</si>
  <si>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</si>
  <si>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</si>
  <si>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</si>
  <si>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</si>
  <si>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</si>
  <si>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</si>
  <si>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</si>
  <si>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</si>
  <si>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</si>
  <si>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</si>
  <si>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</si>
  <si>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</si>
  <si>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</si>
  <si>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</si>
  <si>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</si>
  <si>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</si>
  <si>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</si>
  <si>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</si>
  <si>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</si>
  <si>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</si>
  <si>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</si>
  <si>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</si>
  <si>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</si>
  <si>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</si>
  <si>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</si>
  <si>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</si>
  <si>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</si>
  <si>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</si>
  <si>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</si>
  <si>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</si>
  <si>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</si>
  <si>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</si>
  <si>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</si>
  <si>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</si>
  <si>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</si>
  <si>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</si>
  <si>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</si>
  <si>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</si>
  <si>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</si>
  <si>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</si>
  <si>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</si>
  <si>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</si>
  <si>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</si>
  <si>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</si>
  <si>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</si>
  <si>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</si>
  <si>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</si>
  <si>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</si>
  <si>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</si>
  <si>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</si>
  <si>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</si>
  <si>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</si>
  <si>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</si>
  <si>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</si>
  <si>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</si>
  <si>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</si>
  <si>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</si>
  <si>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</si>
  <si>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</si>
  <si>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</si>
  <si>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</si>
  <si>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</si>
  <si>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</si>
  <si>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</si>
  <si>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</si>
  <si>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</si>
  <si>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</si>
  <si>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</si>
  <si>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</si>
  <si>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</si>
  <si>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</si>
  <si>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</si>
  <si>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</si>
  <si>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</si>
  <si>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</si>
  <si>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</si>
  <si>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</si>
  <si>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</si>
  <si>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</si>
  <si>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</si>
  <si>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</si>
  <si>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</si>
  <si>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</si>
  <si>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</si>
  <si>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</si>
  <si>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</si>
  <si>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</si>
  <si>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</si>
  <si>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</si>
  <si>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</si>
  <si>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</si>
  <si>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</si>
  <si>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</si>
  <si>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</si>
  <si>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</si>
  <si>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</si>
  <si>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</si>
  <si>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</si>
  <si>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</si>
  <si>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</si>
  <si>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</si>
  <si>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</si>
  <si>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</si>
  <si>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</si>
  <si>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</si>
  <si>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</si>
  <si>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</si>
  <si>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</si>
  <si>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</si>
  <si>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</si>
  <si>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</si>
  <si>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</si>
  <si>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</si>
  <si>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</si>
  <si>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</si>
  <si>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</si>
  <si>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</si>
  <si>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</si>
  <si>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</si>
  <si>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</si>
  <si>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</si>
  <si>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</si>
  <si>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</si>
  <si>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</si>
  <si>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</si>
  <si>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</si>
  <si>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</si>
  <si>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</si>
  <si>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</si>
  <si>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</si>
  <si>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</si>
  <si>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</si>
  <si>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</si>
  <si>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</si>
  <si>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</si>
  <si>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</si>
  <si>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</si>
  <si>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</si>
  <si>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</si>
  <si>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</si>
  <si>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</si>
  <si>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</si>
  <si>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</si>
  <si>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</si>
  <si>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</si>
  <si>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</si>
  <si>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</si>
  <si>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</si>
  <si>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</si>
  <si>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</si>
  <si>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</si>
  <si>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</si>
  <si>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</si>
  <si>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</si>
  <si>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</si>
  <si>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</si>
  <si>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</si>
  <si>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</si>
  <si>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</si>
  <si>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</si>
  <si>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</si>
  <si>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</si>
  <si>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</si>
  <si>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</si>
  <si>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</si>
  <si>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</si>
  <si>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</si>
  <si>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</si>
  <si>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</si>
  <si>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</si>
  <si>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</si>
  <si>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</si>
  <si>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</si>
  <si>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</si>
  <si>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</si>
  <si>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</si>
  <si>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</si>
  <si>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</si>
  <si>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</si>
  <si>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</si>
  <si>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</si>
  <si>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</si>
  <si>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</si>
  <si>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</si>
  <si>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</si>
  <si>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</si>
  <si>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</si>
  <si>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</si>
  <si>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</si>
  <si>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</si>
  <si>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</si>
  <si>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</si>
  <si>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</si>
  <si>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</si>
  <si>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</si>
  <si>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</si>
  <si>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</si>
  <si>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</si>
  <si>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</si>
  <si>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</si>
  <si>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</si>
  <si>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</si>
  <si>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</si>
  <si>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</si>
  <si>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</si>
  <si>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</si>
  <si>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</si>
  <si>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</si>
  <si>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</si>
  <si>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</si>
  <si>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</si>
  <si>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</si>
  <si>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</si>
  <si>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</si>
  <si>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</si>
  <si>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</si>
  <si>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</si>
  <si>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</si>
  <si>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</si>
  <si>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</si>
  <si>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</si>
  <si>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</si>
  <si>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</si>
  <si>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</si>
  <si>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</si>
  <si>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</si>
  <si>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</si>
  <si>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</si>
  <si>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</si>
  <si>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</si>
  <si>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</si>
  <si>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</si>
  <si>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</si>
  <si>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</si>
  <si>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</si>
  <si>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</si>
  <si>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</si>
  <si>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</si>
  <si>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</si>
  <si>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</si>
  <si>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</si>
  <si>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</si>
  <si>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</si>
  <si>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</si>
  <si>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</si>
  <si>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</si>
  <si>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</si>
  <si>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</si>
  <si>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</si>
  <si>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</si>
  <si>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</si>
  <si>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</si>
  <si>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</si>
  <si>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</si>
  <si>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</si>
  <si>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</si>
  <si>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</si>
  <si>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</si>
  <si>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</si>
  <si>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</si>
  <si>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</si>
  <si>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</si>
  <si>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</si>
  <si>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</si>
  <si>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</si>
  <si>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</si>
  <si>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</si>
  <si>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</si>
  <si>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</si>
  <si>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</si>
  <si>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</si>
  <si>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</si>
  <si>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</si>
  <si>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</si>
  <si>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</si>
  <si>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</si>
  <si>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</si>
  <si>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</si>
  <si>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</si>
  <si>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</si>
  <si>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</si>
  <si>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</si>
  <si>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</si>
  <si>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</si>
  <si>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</si>
  <si>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</si>
  <si>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</si>
  <si>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</si>
  <si>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</si>
  <si>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</si>
  <si>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</si>
  <si>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</si>
  <si>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</si>
  <si>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</si>
  <si>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</si>
  <si>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</si>
  <si>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</si>
  <si>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</si>
  <si>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</si>
  <si>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</si>
  <si>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</si>
  <si>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</si>
  <si>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</si>
  <si>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</si>
  <si>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</si>
  <si>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</si>
  <si>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</si>
  <si>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</si>
  <si>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</si>
  <si>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</si>
  <si>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</si>
  <si>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</si>
  <si>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</si>
  <si>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</si>
  <si>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</si>
  <si>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</si>
  <si>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</si>
  <si>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</si>
  <si>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</si>
  <si>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</si>
  <si>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</si>
  <si>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</si>
  <si>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</si>
  <si>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</si>
  <si>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</si>
  <si>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</si>
  <si>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</si>
  <si>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</si>
  <si>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</si>
  <si>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</si>
  <si>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</si>
  <si>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</si>
  <si>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</si>
  <si>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</si>
  <si>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</si>
  <si>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</si>
  <si>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</si>
  <si>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</si>
  <si>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</si>
  <si>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</si>
  <si>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</si>
  <si>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</si>
  <si>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</si>
  <si>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</si>
  <si>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</si>
  <si>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</si>
  <si>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</si>
  <si>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</si>
  <si>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</si>
  <si>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</si>
  <si>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</si>
  <si>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</si>
  <si>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</si>
  <si>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</si>
  <si>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</si>
  <si>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</si>
  <si>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</si>
  <si>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</si>
  <si>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</si>
  <si>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</si>
  <si>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</si>
  <si>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</si>
  <si>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</si>
  <si>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</si>
  <si>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</si>
  <si>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</si>
  <si>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</si>
  <si>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</si>
  <si>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</si>
  <si>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</si>
  <si>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</si>
  <si>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</si>
  <si>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</si>
  <si>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</si>
  <si>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</si>
  <si>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</si>
  <si>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</si>
  <si>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</si>
  <si>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</si>
  <si>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</si>
  <si>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</si>
  <si>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</si>
  <si>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</si>
  <si>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</si>
  <si>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</si>
  <si>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</si>
  <si>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</si>
  <si>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</si>
  <si>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</si>
  <si>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</si>
  <si>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</si>
  <si>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</si>
  <si>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</si>
  <si>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</si>
  <si>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</si>
  <si>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</si>
  <si>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</si>
  <si>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</si>
  <si>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</si>
  <si>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</si>
  <si>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</si>
  <si>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</si>
  <si>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</si>
  <si>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</si>
  <si>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</si>
  <si>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</si>
  <si>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</si>
  <si>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</si>
  <si>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</si>
  <si>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</si>
  <si>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</si>
  <si>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</si>
  <si>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</si>
  <si>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</si>
  <si>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</si>
  <si>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</si>
  <si>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</si>
  <si>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</si>
  <si>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</si>
  <si>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</si>
  <si>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</si>
  <si>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</si>
  <si>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</si>
  <si>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</si>
  <si>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</si>
  <si>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</si>
  <si>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</si>
  <si>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</si>
  <si>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</si>
  <si>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</si>
  <si>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</si>
  <si>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</si>
  <si>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</si>
  <si>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</si>
  <si>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</si>
  <si>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</si>
  <si>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</si>
  <si>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</si>
  <si>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</si>
  <si>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</si>
  <si>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</si>
  <si>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</si>
  <si>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</si>
  <si>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</si>
  <si>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</si>
  <si>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</si>
  <si>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</si>
  <si>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</si>
  <si>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</si>
  <si>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</si>
  <si>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</si>
  <si>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</si>
  <si>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</si>
  <si>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</si>
  <si>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</si>
  <si>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</si>
  <si>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</si>
  <si>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</si>
  <si>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</si>
  <si>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</si>
  <si>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</si>
  <si>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</si>
  <si>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</si>
  <si>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</si>
  <si>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</si>
  <si>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</si>
  <si>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</si>
  <si>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</si>
  <si>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</si>
  <si>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</si>
  <si>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</si>
  <si>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</si>
  <si>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</si>
  <si>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</si>
  <si>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</si>
  <si>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</si>
  <si>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</si>
  <si>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</si>
  <si>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</si>
  <si>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</si>
  <si>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</si>
  <si>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</si>
  <si>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</si>
  <si>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</si>
  <si>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</si>
  <si>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</si>
  <si>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</si>
  <si>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</si>
  <si>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</si>
  <si>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</si>
  <si>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</si>
  <si>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</si>
  <si>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</si>
  <si>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</si>
  <si>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</si>
  <si>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</si>
  <si>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</si>
  <si>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</si>
  <si>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</si>
  <si>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</si>
  <si>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</si>
  <si>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</si>
  <si>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</si>
  <si>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</si>
  <si>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</si>
  <si>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</si>
  <si>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</si>
  <si>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</si>
  <si>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</si>
  <si>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</si>
  <si>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</si>
  <si>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</si>
  <si>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</si>
  <si>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</si>
  <si>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</si>
  <si>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</si>
  <si>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</si>
  <si>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</si>
  <si>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</si>
  <si>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</si>
  <si>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</si>
  <si>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</si>
  <si>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</si>
  <si>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</si>
  <si>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</si>
  <si>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</si>
  <si>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</si>
  <si>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</si>
  <si>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</si>
  <si>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</si>
  <si>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</si>
  <si>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</si>
  <si>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</si>
  <si>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</si>
  <si>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</si>
  <si>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</si>
  <si>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</si>
  <si>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</si>
  <si>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</si>
  <si>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</si>
  <si>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</si>
  <si>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</si>
  <si>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</si>
  <si>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</si>
  <si>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</si>
  <si>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</si>
  <si>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</si>
  <si>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</si>
  <si>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</si>
  <si>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</si>
  <si>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</si>
  <si>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</si>
  <si>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</si>
  <si>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</si>
  <si>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</si>
  <si>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</si>
  <si>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</si>
  <si>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</si>
  <si>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</si>
  <si>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</si>
  <si>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</si>
  <si>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</si>
  <si>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</si>
  <si>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</si>
  <si>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</si>
  <si>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</si>
  <si>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</si>
  <si>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</si>
  <si>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</si>
  <si>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</si>
  <si>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</si>
  <si>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</si>
  <si>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</si>
  <si>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</si>
  <si>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</si>
  <si>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</si>
  <si>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</si>
  <si>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</si>
  <si>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</si>
  <si>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</si>
  <si>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</si>
  <si>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</si>
  <si>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</si>
  <si>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</si>
  <si>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</si>
  <si>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</si>
  <si>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</si>
  <si>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</si>
  <si>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</si>
  <si>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</si>
  <si>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</si>
  <si>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</si>
  <si>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</si>
  <si>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</si>
  <si>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</si>
  <si>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</si>
  <si>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</si>
  <si>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</si>
  <si>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</si>
  <si>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</si>
  <si>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</si>
  <si>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</si>
  <si>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</si>
  <si>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</si>
  <si>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</si>
  <si>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</si>
  <si>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</si>
  <si>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</si>
  <si>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</si>
  <si>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</si>
  <si>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</si>
  <si>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</si>
  <si>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</si>
  <si>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</si>
  <si>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</si>
  <si>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</si>
  <si>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</si>
  <si>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</si>
  <si>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</si>
  <si>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</si>
  <si>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</si>
  <si>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</si>
  <si>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</si>
  <si>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</si>
  <si>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</si>
  <si>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</si>
  <si>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</si>
  <si>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</si>
  <si>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</si>
  <si>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</si>
  <si>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</si>
  <si>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</si>
  <si>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</si>
  <si>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</si>
  <si>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</si>
  <si>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</si>
  <si>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</si>
  <si>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</si>
  <si>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</si>
  <si>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</si>
  <si>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</si>
  <si>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</si>
  <si>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</si>
  <si>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</si>
  <si>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</si>
  <si>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</si>
  <si>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</si>
  <si>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</si>
  <si>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</si>
  <si>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</si>
  <si>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</si>
  <si>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</si>
  <si>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</si>
  <si>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</si>
  <si>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</si>
  <si>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</si>
  <si>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</si>
  <si>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</si>
  <si>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</si>
  <si>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</si>
  <si>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</si>
  <si>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</si>
  <si>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</si>
  <si>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</si>
  <si>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</si>
  <si>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</si>
  <si>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</si>
  <si>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</si>
  <si>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</si>
  <si>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</si>
  <si>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</si>
  <si>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</si>
  <si>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</si>
  <si>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</si>
  <si>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</si>
  <si>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</si>
  <si>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</si>
  <si>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</si>
  <si>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</si>
  <si>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</si>
  <si>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</si>
  <si>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</si>
  <si>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</si>
  <si>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</si>
  <si>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</si>
  <si>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</si>
  <si>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</si>
  <si>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</si>
  <si>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</si>
  <si>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</si>
  <si>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</si>
  <si>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</si>
  <si>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</si>
  <si>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</si>
  <si>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</si>
  <si>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</si>
  <si>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</si>
  <si>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</si>
  <si>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</si>
  <si>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</si>
  <si>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</si>
  <si>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</si>
  <si>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</si>
  <si>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</si>
  <si>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</si>
  <si>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</si>
  <si>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</si>
  <si>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</si>
  <si>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</si>
  <si>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</si>
  <si>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</si>
  <si>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</si>
  <si>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</si>
  <si>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</si>
  <si>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</si>
  <si>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</si>
  <si>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</si>
  <si>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</si>
  <si>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</si>
  <si>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</si>
  <si>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</si>
  <si>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</si>
  <si>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</si>
  <si>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</si>
  <si>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</si>
  <si>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</si>
  <si>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</si>
  <si>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</si>
  <si>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</si>
  <si>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</si>
  <si>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</si>
  <si>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</si>
  <si>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</si>
  <si>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</si>
  <si>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</si>
  <si>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</si>
  <si>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</si>
  <si>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</si>
  <si>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</si>
  <si>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</si>
  <si>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</si>
  <si>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</si>
  <si>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</si>
  <si>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</si>
  <si>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</si>
  <si>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</si>
  <si>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</si>
  <si>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</si>
  <si>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</si>
  <si>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</si>
  <si>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</si>
  <si>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</si>
  <si>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</si>
  <si>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</si>
  <si>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</si>
  <si>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</si>
  <si>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</si>
  <si>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</si>
  <si>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</si>
  <si>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</si>
  <si>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</si>
  <si>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</si>
  <si>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</si>
  <si>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</si>
  <si>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</si>
  <si>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</si>
  <si>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</si>
  <si>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</si>
  <si>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</si>
  <si>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</si>
  <si>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</si>
  <si>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</si>
  <si>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</si>
  <si>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</si>
  <si>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</si>
  <si>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</si>
  <si>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</si>
  <si>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</si>
  <si>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</si>
  <si>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</si>
  <si>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</si>
  <si>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</si>
  <si>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</si>
  <si>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</si>
  <si>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</si>
  <si>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</si>
  <si>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</si>
  <si>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</si>
  <si>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</si>
  <si>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</si>
  <si>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</si>
  <si>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</si>
  <si>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</si>
  <si>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</si>
  <si>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</si>
  <si>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</si>
  <si>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</si>
  <si>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</si>
  <si>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</si>
  <si>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</si>
  <si>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</si>
  <si>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</si>
  <si>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</si>
  <si>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</si>
  <si>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</si>
  <si>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</si>
  <si>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</si>
  <si>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</si>
  <si>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</si>
  <si>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</si>
  <si>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</si>
  <si>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</si>
  <si>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</si>
  <si>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</si>
  <si>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</si>
  <si>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</si>
  <si>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</si>
  <si>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</si>
  <si>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</si>
  <si>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</si>
  <si>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</si>
  <si>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</si>
  <si>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</si>
  <si>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</si>
  <si>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</si>
  <si>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</si>
  <si>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</si>
  <si>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</si>
  <si>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</si>
  <si>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</si>
  <si>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</si>
  <si>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</si>
  <si>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</si>
  <si>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</si>
  <si>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</si>
  <si>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</si>
  <si>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</si>
  <si>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</si>
  <si>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</si>
  <si>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</si>
  <si>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</si>
  <si>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</si>
  <si>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</si>
  <si>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</si>
  <si>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</si>
  <si>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</si>
  <si>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</si>
  <si>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</si>
  <si>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</si>
  <si>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</si>
  <si>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</si>
  <si>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</si>
  <si>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</si>
  <si>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</si>
  <si>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</si>
  <si>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</si>
  <si>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</si>
  <si>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</si>
  <si>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</si>
  <si>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</si>
  <si>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</si>
  <si>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</si>
  <si>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</si>
  <si>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</si>
  <si>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</si>
  <si>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</si>
  <si>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</si>
  <si>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</si>
  <si>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</si>
  <si>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</si>
  <si>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</si>
  <si>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</si>
  <si>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</si>
  <si>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</si>
  <si>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</si>
  <si>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</si>
  <si>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</si>
  <si>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</si>
  <si>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</si>
  <si>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</si>
  <si>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</si>
  <si>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</si>
  <si>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</si>
  <si>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</si>
  <si>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</si>
  <si>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</si>
  <si>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</si>
  <si>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</si>
  <si>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</si>
  <si>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</si>
  <si>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</si>
  <si>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</si>
  <si>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</si>
  <si>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</si>
  <si>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</si>
  <si>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</si>
  <si>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</si>
  <si>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</si>
  <si>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</si>
  <si>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</si>
  <si>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</si>
  <si>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</si>
  <si>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</si>
  <si>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</si>
  <si>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</si>
  <si>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</si>
  <si>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</si>
  <si>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</si>
  <si>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</si>
  <si>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</si>
  <si>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</si>
  <si>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</si>
  <si>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</si>
  <si>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signup_date</t>
  </si>
  <si>
    <t>city_upper</t>
  </si>
  <si>
    <t>first_city</t>
  </si>
  <si>
    <t>name_len</t>
  </si>
  <si>
    <t>name_trim_len</t>
  </si>
  <si>
    <t>has_space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</si>
  <si>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</si>
  <si>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</si>
  <si>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</si>
  <si>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</si>
  <si>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</si>
  <si>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</si>
  <si>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</si>
  <si>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</si>
  <si>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</si>
  <si>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</si>
  <si>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</si>
  <si>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</si>
  <si>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</si>
  <si>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</si>
  <si>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</si>
  <si>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</si>
  <si>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</si>
  <si>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</si>
  <si>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</si>
  <si>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</si>
  <si>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</si>
  <si>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</si>
  <si>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</si>
  <si>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</si>
  <si>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</si>
  <si>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</si>
  <si>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</si>
  <si>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</si>
  <si>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</si>
  <si>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</si>
  <si>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</si>
  <si>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</si>
  <si>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</si>
  <si>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</si>
  <si>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</si>
  <si>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</si>
  <si>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</si>
  <si>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</si>
  <si>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</si>
  <si>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</si>
  <si>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</si>
  <si>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</si>
  <si>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</si>
  <si>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</si>
  <si>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</si>
  <si>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</si>
  <si>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</si>
  <si>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</si>
  <si>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</si>
  <si>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</si>
  <si>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</si>
  <si>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</si>
  <si>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</si>
  <si>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</si>
  <si>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</si>
  <si>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</si>
  <si>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</si>
  <si>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</si>
  <si>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</si>
  <si>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</si>
  <si>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</si>
  <si>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</si>
  <si>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</si>
  <si>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</si>
  <si>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</si>
  <si>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</si>
  <si>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</si>
  <si>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</si>
  <si>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</si>
  <si>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</si>
  <si>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</si>
  <si>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</si>
  <si>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</si>
  <si>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</si>
  <si>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</si>
  <si>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</si>
  <si>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</si>
  <si>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</si>
  <si>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</si>
  <si>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</si>
  <si>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</si>
  <si>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</si>
  <si>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</si>
  <si>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</si>
  <si>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</si>
  <si>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</si>
  <si>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</si>
  <si>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</si>
  <si>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</si>
  <si>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</si>
  <si>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</si>
  <si>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</si>
  <si>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</si>
  <si>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</si>
  <si>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</si>
  <si>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</si>
  <si>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</si>
  <si>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</si>
  <si>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</si>
  <si>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</si>
  <si>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</si>
  <si>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</si>
  <si>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</si>
  <si>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</si>
  <si>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</si>
  <si>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</si>
  <si>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</si>
  <si>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</si>
  <si>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</si>
  <si>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</si>
  <si>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</si>
  <si>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</si>
  <si>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</si>
  <si>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</si>
  <si>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</si>
  <si>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</si>
  <si>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</si>
  <si>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</si>
  <si>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</si>
  <si>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</si>
  <si>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</si>
  <si>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</si>
  <si>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</si>
  <si>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</si>
  <si>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</si>
  <si>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</si>
  <si>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</si>
  <si>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</si>
  <si>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</si>
  <si>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</si>
  <si>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</si>
  <si>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</si>
  <si>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</si>
  <si>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</si>
  <si>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</si>
  <si>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</si>
  <si>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</si>
  <si>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</si>
  <si>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</si>
  <si>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</si>
  <si>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</si>
  <si>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</si>
  <si>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</si>
  <si>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</si>
  <si>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</si>
  <si>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</si>
  <si>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</si>
  <si>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</si>
  <si>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</si>
  <si>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</si>
  <si>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</si>
  <si>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</si>
  <si>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</si>
  <si>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</si>
  <si>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</si>
  <si>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</si>
  <si>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</si>
  <si>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</si>
  <si>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</si>
  <si>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</si>
  <si>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</si>
  <si>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</si>
  <si>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</si>
  <si>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</si>
  <si>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</si>
  <si>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</si>
  <si>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</si>
  <si>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</si>
  <si>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</si>
  <si>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</si>
  <si>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</si>
  <si>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</si>
  <si>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</si>
  <si>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</si>
  <si>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</si>
  <si>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</si>
  <si>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</si>
  <si>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</si>
  <si>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</si>
  <si>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</si>
  <si>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</si>
  <si>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</si>
  <si>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</si>
  <si>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</si>
  <si>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</si>
  <si>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</si>
  <si>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</si>
  <si>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</si>
  <si>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</si>
  <si>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</si>
  <si>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</si>
  <si>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</si>
  <si>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</si>
  <si>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</si>
  <si>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</si>
  <si>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</si>
  <si>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</si>
  <si>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</si>
  <si>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</si>
  <si>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</si>
  <si>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</si>
  <si>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</si>
  <si>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</si>
  <si>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</si>
  <si>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</si>
  <si>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</si>
  <si>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</si>
  <si>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</si>
  <si>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</si>
  <si>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</si>
  <si>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</si>
  <si>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</si>
  <si>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</si>
  <si>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</si>
  <si>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</si>
  <si>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</si>
  <si>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</si>
  <si>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</si>
  <si>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</si>
  <si>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</si>
  <si>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</si>
  <si>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</si>
  <si>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</si>
  <si>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</si>
  <si>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</si>
  <si>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</si>
  <si>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</si>
  <si>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</si>
  <si>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</si>
  <si>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</si>
  <si>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</si>
  <si>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</si>
  <si>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</si>
  <si>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</si>
  <si>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</si>
  <si>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</si>
  <si>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</si>
  <si>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</si>
  <si>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</si>
  <si>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</si>
  <si>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</si>
  <si>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</si>
  <si>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</si>
  <si>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</si>
  <si>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</si>
  <si>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</si>
  <si>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</si>
  <si>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</si>
  <si>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</si>
  <si>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</si>
  <si>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</si>
  <si>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</si>
  <si>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</si>
  <si>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</si>
  <si>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</si>
  <si>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</si>
  <si>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</si>
  <si>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</si>
  <si>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</si>
  <si>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</si>
  <si>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</si>
  <si>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</si>
  <si>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</si>
  <si>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</si>
  <si>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</si>
  <si>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</si>
  <si>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</si>
  <si>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</si>
  <si>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</si>
  <si>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</si>
  <si>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</si>
  <si>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</si>
  <si>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</si>
  <si>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</si>
  <si>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west_revenue</t>
  </si>
  <si>
    <t>west_rank</t>
  </si>
  <si>
    <t>product_name_copy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</si>
  <si>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</si>
  <si>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</si>
  <si>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</si>
  <si>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</si>
  <si>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</si>
  <si>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</si>
  <si>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</si>
  <si>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</si>
  <si>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</si>
  <si>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</si>
  <si>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</si>
  <si>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</si>
  <si>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</si>
  <si>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</si>
  <si>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</si>
  <si>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</si>
  <si>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</si>
  <si>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</si>
  <si>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</si>
  <si>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</si>
  <si>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</si>
  <si>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</si>
  <si>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</si>
  <si>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</si>
  <si>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</si>
  <si>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</si>
  <si>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</si>
  <si>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</si>
  <si>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</si>
  <si>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</si>
  <si>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</si>
  <si>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</si>
  <si>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</si>
  <si>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</si>
  <si>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</si>
  <si>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</si>
  <si>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</si>
  <si>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</si>
  <si>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</si>
  <si>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</si>
  <si>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</si>
  <si>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</si>
  <si>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</si>
  <si>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</si>
  <si>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</si>
  <si>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</si>
  <si>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</si>
  <si>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</si>
  <si>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</si>
  <si>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</si>
  <si>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</si>
  <si>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</si>
  <si>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</si>
  <si>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</si>
  <si>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</si>
  <si>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</si>
  <si>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</si>
  <si>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</si>
  <si>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</si>
  <si>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</si>
  <si>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</si>
  <si>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</si>
  <si>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</si>
  <si>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</si>
  <si>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</si>
  <si>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</si>
  <si>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</si>
  <si>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</si>
  <si>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hire_date</t>
  </si>
  <si>
    <t>team_lead_id</t>
  </si>
  <si>
    <t>total_revenue</t>
  </si>
  <si>
    <t>rank</t>
  </si>
  <si>
    <t>rep_name_copy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</si>
  <si>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</si>
  <si>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</si>
  <si>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</si>
  <si>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</si>
  <si>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</si>
  <si>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</si>
  <si>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</si>
  <si>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</si>
  <si>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</si>
  <si>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</si>
  <si>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</si>
  <si>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</si>
  <si>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</si>
  <si>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</si>
  <si>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</si>
  <si>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</si>
  <si>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</si>
  <si>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</si>
  <si>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</si>
  <si>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</si>
  <si>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</si>
  <si>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</si>
  <si>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</si>
  <si>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</si>
  <si>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</si>
  <si>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</si>
  <si>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</si>
  <si>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</si>
  <si>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</si>
  <si>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</si>
  <si>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</si>
  <si>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</si>
  <si>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</si>
  <si>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</si>
  <si>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</si>
  <si>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</si>
  <si>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</si>
  <si>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</si>
  <si>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</si>
  <si>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</si>
  <si>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</si>
  <si>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</si>
  <si>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</si>
  <si>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</si>
  <si>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Q1 - LOOKUP FUNCTIONS  (25 marks total)</t>
  </si>
  <si>
    <t>VLOOKUP · INDEX-MATCH · Two-way lookup · Chain lookup · Approximate lookup · Self-join</t>
  </si>
  <si>
    <t>Q#</t>
  </si>
  <si>
    <t>Question</t>
  </si>
  <si>
    <t>Marks</t>
  </si>
  <si>
    <t>Hint</t>
  </si>
  <si>
    <t>Your Answer</t>
  </si>
  <si>
    <t>Format</t>
  </si>
  <si>
    <t>Helper steps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</si>
  <si>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</si>
  <si>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</si>
  <si>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</si>
  <si>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</si>
  <si>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</si>
  <si>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</si>
  <si>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</si>
  <si>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</si>
  <si>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</si>
  <si>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</si>
  <si>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VLOOKUP has directional limits - INDEX/MATCH does not.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</si>
  <si>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</si>
  <si>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</si>
  <si>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</si>
  <si>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</si>
  <si>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</si>
  <si>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</si>
  <si>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</si>
  <si>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</si>
  <si>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</si>
  <si>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</si>
  <si>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</si>
  <si>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For order ORD-01234, in one cell produce the string:  "&lt;rep_name&gt; (&lt;sales_region&gt;)"  - e.g. "Amit Singh (South)".</t>
  </si>
  <si>
    <t>Two lookups joined with &amp; or CONCATENATE.</t>
  </si>
  <si>
    <t>Q1.8</t>
  </si>
  <si>
    <t>What is the rep_name of the TEAM LEAD for rep R017? (The Sales_Reps sheet has team_lead_id - you need to self-join to find that person's name.)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</si>
  <si>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</si>
  <si>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</si>
  <si>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</si>
  <si>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</si>
  <si>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</si>
  <si>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</si>
  <si>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</si>
  <si>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</si>
  <si>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Q2 - DATA CLEANING &amp; QUALITY DIAGNOSTICS  (20 marks total)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</si>
  <si>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</si>
  <si>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</si>
  <si>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</si>
  <si>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COUNTIF &gt; 1, then count. Watch what you're counting - rows or IDs.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</si>
  <si>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</si>
  <si>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</si>
  <si>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</si>
  <si>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</si>
  <si>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</si>
  <si>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</si>
  <si>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</si>
  <si>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</si>
  <si>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</si>
  <si>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</si>
  <si>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</si>
  <si>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</si>
  <si>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</si>
  <si>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Find the "suspicious pattern": how many orders have payment_status = "Cancelled" AND a discount_pct &gt; 20%? (This pattern often indicates promo abuse - a real-world diagnostic query.)</t>
  </si>
  <si>
    <t>COUNTIFS with two criteria.</t>
  </si>
  <si>
    <t>Q3 - CONDITIONAL AGGREGATION  (25 marks total)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</si>
  <si>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</si>
  <si>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</si>
  <si>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</si>
  <si>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</si>
  <si>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</si>
  <si>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</si>
  <si>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</si>
  <si>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</si>
  <si>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</si>
  <si>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What is the AVERAGE final_amount for orders where the product CATEGORY is "Electronics" AND the customer SEGMENT is "Corporate"? Note: Both fields come from OTHER sheets - you'll need helper columns.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</si>
  <si>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</si>
  <si>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</si>
  <si>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</si>
  <si>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</si>
  <si>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</si>
  <si>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</si>
  <si>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</si>
  <si>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</si>
  <si>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</si>
  <si>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</si>
  <si>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Q4 - PIVOT TABLES  (20 marks total)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</si>
  <si>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</si>
  <si>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</si>
  <si>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</si>
  <si>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</si>
  <si>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</si>
  <si>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</si>
  <si>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</si>
  <si>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</si>
  <si>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</si>
  <si>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</si>
  <si>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</si>
  <si>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</si>
  <si>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</si>
  <si>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</si>
  <si>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</si>
  <si>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</si>
  <si>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</si>
  <si>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Q5 - ADVANCED  (10 marks total)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</si>
  <si>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</si>
  <si>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</si>
  <si>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</si>
  <si>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</si>
  <si>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</si>
  <si>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</si>
  <si>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</si>
  <si>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</si>
  <si>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</si>
  <si>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</si>
  <si>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</si>
  <si>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</si>
  <si>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</si>
  <si>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</si>
  <si>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</si>
  <si>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</si>
  <si>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</si>
  <si>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</si>
  <si>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</si>
  <si>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SCENARIO</t>
  </si>
  <si>
    <t>You have just joined the analytics team at a fast-growing multi-category retailer operating across 6 Indian cities.</t>
  </si>
  <si>
    <t>The head of sales has handed you 5 raw data files - Orders, Customers, Products, Sales Reps, and Targets - and asked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</si>
  <si>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</si>
  <si>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</si>
  <si>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Part of the assessment is spotting and handling these issues correctly. A wrong-looking answer isn't always wrong -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</si>
  <si>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</si>
  <si>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</si>
  <si>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</si>
  <si>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</si>
  <si>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</si>
  <si>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4. Partial credit is awarded - a right approach with a small error scores more than a blank cell.</t>
  </si>
  <si>
    <t>5. Do not modify the DATA sheets. If cleaning is needed, use helper columns or a scratch area.</t>
  </si>
  <si>
    <t>6. Time management matters - attempt every section, perfect none if needed.</t>
  </si>
  <si>
    <t>MARKS DISTRIBUTION</t>
  </si>
  <si>
    <t>Section</t>
  </si>
  <si>
    <t>Topic</t>
  </si>
  <si>
    <t>Questions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</si>
  <si>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</si>
  <si>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</si>
  <si>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</si>
  <si>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</si>
  <si>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</si>
  <si>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</si>
  <si>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</si>
  <si>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</si>
  <si>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</si>
  <si>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</si>
  <si>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</si>
  <si>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</si>
  <si>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</si>
  <si>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</si>
  <si>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</si>
  <si>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</si>
  <si>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</si>
  <si>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100</t>
  </si>
  <si>
    <t>PERFORMANCE TIERS</t>
  </si>
  <si>
    <t>Tier</t>
  </si>
  <si>
    <t>Interview Verdict</t>
  </si>
  <si>
    <t>85 - 100</t>
  </si>
  <si>
    <t>Excellent</t>
  </si>
  <si>
    <t>Round 1 clear - Excel not a concern</t>
  </si>
  <si>
    <t>70 - 84</t>
  </si>
  <si>
    <t>Good</t>
  </si>
  <si>
    <t>Round 1 clear with minor gaps</t>
  </si>
  <si>
    <t>55 - 69</t>
  </si>
  <si>
    <t>Borderline</t>
  </si>
  <si>
    <t>Round 1 uncertain - needs revision</t>
  </si>
  <si>
    <t>40 - 54</t>
  </si>
  <si>
    <t>Weak</t>
  </si>
  <si>
    <t>Round 1 likely reject - 2 weeks of practice needed</t>
  </si>
  <si>
    <t>&lt; 40</t>
  </si>
  <si>
    <t>Insufficient</t>
  </si>
  <si>
    <t>Round 1 reject - foundational gaps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</si>
</sst>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%"/>
  </numFmts>
  <fonts count="22" x14ac:knownFonts="1">
    <font>
      <sz val="11"/>
      <color theme="1"/>
      <name val="Calibri"/>
      <family val="2"/>
      <charset val="1"/>
    </font>
    <font>
      <sz val="10"/>
      <name val="Arial"/>
    </font>
    <font>
      <b/>
      <sz val="12"/>
      <color rgb="FF1F4E79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1"/>
      <name val="Cambria"/>
      <charset val="1"/>
    </font>
    <font>
      <b/>
      <sz val="16"/>
      <color rgb="FFFFFFFF"/>
      <name val="Arial"/>
      <charset val="1"/>
    </font>
    <font>
      <i/>
      <sz val="10"/>
      <color rgb="FF1F4E79"/>
      <name val="Arial"/>
      <charset val="1"/>
    </font>
    <font>
      <b/>
      <sz val="10"/>
      <color rgb="FF1F4E79"/>
      <name val="Arial"/>
      <charset val="1"/>
    </font>
    <font>
      <i/>
      <sz val="9"/>
      <color rgb="FF595959"/>
      <name val="Arial"/>
      <charset val="1"/>
    </font>
    <font>
      <i/>
      <sz val="9"/>
      <color rgb="FF808080"/>
      <name val="Cambria"/>
      <charset val="1"/>
    </font>
    <font>
      <b/>
      <sz val="11"/>
      <color rgb="FF1F4E79"/>
      <name val="Arial"/>
      <charset val="1"/>
    </font>
    <font>
      <b/>
      <sz val="10"/>
      <color rgb="FFFFFFFF"/>
      <name val="Arial"/>
      <charset val="1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9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0" xfId="0" applyFont="1"/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0" xfId="0" applyFont="1"/>
    <xf numFmtId="3" fontId="6" fillId="3" borderId="2" xfId="0" applyNumberFormat="1" applyFont="1" applyFill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6" fillId="3" borderId="2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0" borderId="0" xfId="0"/>
    <xf numFmtId="0" fontId="1" fillId="0" borderId="0" xfId="0" applyFont="1"/>
    <xf numFmtId="0" fontId="18" fillId="0" borderId="0" xfId="0" applyFont="1"/>
    <xf numFmtId="0" fontId="19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J42" zoomScaleNormal="100" workbookViewId="0">
      <selection activeCell="A9" sqref="A9:H9"/>
    </sheetView>
  </sheetViews>
  <sheetFormatPr defaultColWidth="8.6328125" defaultRowHeight="14.5" x14ac:dyDescent="0.35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19.5" customHeight="1" x14ac:dyDescent="0.4">
      <c r="A1" s="35" t="s">
        <v>2987</v>
      </c>
    </row>
    <row r="2" spans="1:8" ht="16.5" customHeight="1" x14ac:dyDescent="0.35">
      <c r="A2" s="36" t="s">
        <v>2988</v>
      </c>
    </row>
    <row r="3" spans="1:8" ht="14.25" customHeight="1" x14ac:dyDescent="0.35">
      <c r="A3" s="37" t="s">
        <v>2989</v>
      </c>
    </row>
    <row r="5" spans="1:8" ht="15" customHeight="1" x14ac:dyDescent="0.35">
      <c r="A5" s="38" t="s">
        <v>2990</v>
      </c>
      <c r="B5" s="39"/>
      <c r="C5" s="39"/>
      <c r="D5" s="39"/>
      <c r="E5" s="39"/>
      <c r="F5" s="39"/>
    </row>
    <row r="6" spans="1:8" ht="14.25" customHeight="1" x14ac:dyDescent="0.35">
      <c r="A6" s="40" t="s">
        <v>2991</v>
      </c>
      <c r="B6" s="39"/>
      <c r="C6" s="39"/>
      <c r="D6" s="39"/>
      <c r="E6" s="39"/>
      <c r="F6" s="39"/>
      <c r="G6" s="39"/>
      <c r="H6" s="39"/>
    </row>
    <row r="7" spans="1:8" ht="14.25" customHeight="1" x14ac:dyDescent="0.35">
      <c r="A7" s="40" t="s">
        <v>2992</v>
      </c>
      <c r="B7" s="39"/>
      <c r="C7" s="39"/>
      <c r="D7" s="39"/>
      <c r="E7" s="39"/>
      <c r="F7" s="39"/>
      <c r="G7" s="39"/>
      <c r="H7" s="39"/>
    </row>
    <row r="8" spans="1:8" ht="14.25" customHeight="1" x14ac:dyDescent="0.35">
      <c r="A8" s="40" t="s">
        <v>2993</v>
      </c>
      <c r="B8" s="39"/>
      <c r="C8" s="39"/>
      <c r="D8" s="39"/>
      <c r="E8" s="39"/>
      <c r="F8" s="39"/>
      <c r="G8" s="39"/>
      <c r="H8" s="39"/>
    </row>
    <row r="9" spans="1:8" ht="14.25" customHeight="1" x14ac:dyDescent="0.35">
      <c r="A9" s="40"/>
      <c r="B9" s="39"/>
      <c r="C9" s="39"/>
      <c r="D9" s="39"/>
      <c r="E9" s="39"/>
      <c r="F9" s="39"/>
      <c r="G9" s="39"/>
      <c r="H9" s="39"/>
    </row>
    <row r="10" spans="1:8" ht="14.25" customHeight="1" x14ac:dyDescent="0.35">
      <c r="A10" s="40" t="s">
        <v>2994</v>
      </c>
      <c r="B10" s="39"/>
      <c r="C10" s="39"/>
      <c r="D10" s="39"/>
      <c r="E10" s="39"/>
      <c r="F10" s="39"/>
      <c r="G10" s="39"/>
      <c r="H10" s="39"/>
    </row>
    <row r="11" spans="1:8" ht="14.25" customHeight="1" x14ac:dyDescent="0.35">
      <c r="A11" s="40" t="s">
        <v>2995</v>
      </c>
      <c r="B11" s="39"/>
      <c r="C11" s="39"/>
      <c r="D11" s="39"/>
      <c r="E11" s="39"/>
      <c r="F11" s="39"/>
      <c r="G11" s="39"/>
      <c r="H11" s="39"/>
    </row>
    <row r="12" spans="1:8" ht="14.25" customHeight="1" x14ac:dyDescent="0.35">
      <c r="A12" s="40" t="s">
        <v>2996</v>
      </c>
      <c r="B12" s="39"/>
      <c r="C12" s="39"/>
      <c r="D12" s="39"/>
      <c r="E12" s="39"/>
      <c r="F12" s="39"/>
      <c r="G12" s="39"/>
      <c r="H12" s="39"/>
    </row>
    <row r="14" spans="1:8" ht="15" customHeight="1" x14ac:dyDescent="0.35">
      <c r="A14" s="41" t="s">
        <v>2997</v>
      </c>
    </row>
    <row r="15" spans="1:8" ht="14.25" customHeight="1" x14ac:dyDescent="0.35">
      <c r="A15" s="40" t="s">
        <v>2998</v>
      </c>
      <c r="B15" s="39"/>
      <c r="C15" s="39"/>
      <c r="D15" s="39"/>
      <c r="E15" s="39"/>
      <c r="F15" s="39"/>
      <c r="G15" s="39"/>
      <c r="H15" s="39"/>
    </row>
    <row r="16" spans="1:8" ht="14.25" customHeight="1" x14ac:dyDescent="0.35">
      <c r="A16" s="40" t="s">
        <v>2999</v>
      </c>
      <c r="B16" s="39"/>
      <c r="C16" s="39"/>
      <c r="D16" s="39"/>
      <c r="E16" s="39"/>
      <c r="F16" s="39"/>
      <c r="G16" s="39"/>
      <c r="H16" s="39"/>
    </row>
    <row r="17" spans="1:8" ht="14.25" customHeight="1" x14ac:dyDescent="0.35">
      <c r="A17" s="40" t="s">
        <v>3000</v>
      </c>
      <c r="B17" s="39"/>
      <c r="C17" s="39"/>
      <c r="D17" s="39"/>
      <c r="E17" s="39"/>
      <c r="F17" s="39"/>
      <c r="G17" s="39"/>
      <c r="H17" s="39"/>
    </row>
    <row r="18" spans="1:8" ht="14.25" customHeight="1" x14ac:dyDescent="0.35">
      <c r="A18" s="40" t="s">
        <v>3001</v>
      </c>
      <c r="B18" s="39"/>
      <c r="C18" s="39"/>
      <c r="D18" s="39"/>
      <c r="E18" s="39"/>
      <c r="F18" s="39"/>
      <c r="G18" s="39"/>
      <c r="H18" s="39"/>
    </row>
    <row r="19" spans="1:8" ht="14.25" customHeight="1" x14ac:dyDescent="0.35">
      <c r="A19" s="40" t="s">
        <v>3002</v>
      </c>
      <c r="B19" s="39"/>
      <c r="C19" s="39"/>
      <c r="D19" s="39"/>
      <c r="E19" s="39"/>
      <c r="F19" s="39"/>
      <c r="G19" s="39"/>
      <c r="H19" s="39"/>
    </row>
    <row r="20" spans="1:8" ht="14.25" customHeight="1" x14ac:dyDescent="0.35">
      <c r="A20" s="40" t="s">
        <v>3003</v>
      </c>
      <c r="B20" s="39"/>
      <c r="C20" s="39"/>
      <c r="D20" s="39"/>
      <c r="E20" s="39"/>
      <c r="F20" s="39"/>
      <c r="G20" s="39"/>
      <c r="H20" s="39"/>
    </row>
    <row r="22" spans="1:8" ht="15" customHeight="1" x14ac:dyDescent="0.35">
      <c r="A22" s="41" t="s">
        <v>3004</v>
      </c>
    </row>
    <row r="23" spans="1:8" ht="14.25" customHeight="1" x14ac:dyDescent="0.35">
      <c r="A23" s="42" t="s">
        <v>3005</v>
      </c>
      <c r="B23" s="43" t="s">
        <v>3006</v>
      </c>
      <c r="C23" s="42" t="s">
        <v>3007</v>
      </c>
      <c r="D23" s="42" t="s">
        <v>2872</v>
      </c>
    </row>
    <row r="24" spans="1:8" ht="14.25" customHeight="1" x14ac:dyDescent="0.35">
      <c r="A24" s="44" t="s">
        <v>3008</v>
      </c>
      <c r="B24" s="45" t="s">
        <v>3009</v>
      </c>
      <c r="C24" s="44" t="s">
        <v>3010</v>
      </c>
      <c r="D24" s="44" t="s">
        <v>3011</v>
      </c>
    </row>
    <row r="25" spans="1:8" ht="14.25" customHeight="1" x14ac:dyDescent="0.35">
      <c r="A25" s="44" t="s">
        <v>3012</v>
      </c>
      <c r="B25" s="45" t="s">
        <v>3013</v>
      </c>
      <c r="C25" s="44" t="s">
        <v>3014</v>
      </c>
      <c r="D25" s="44" t="s">
        <v>3015</v>
      </c>
    </row>
    <row r="26" spans="1:8" ht="14.25" customHeight="1" x14ac:dyDescent="0.35">
      <c r="A26" s="44" t="s">
        <v>3016</v>
      </c>
      <c r="B26" s="45" t="s">
        <v>3017</v>
      </c>
      <c r="C26" s="44" t="s">
        <v>3014</v>
      </c>
      <c r="D26" s="44" t="s">
        <v>3011</v>
      </c>
    </row>
    <row r="27" spans="1:8" ht="14.25" customHeight="1" x14ac:dyDescent="0.35">
      <c r="A27" s="44" t="s">
        <v>3018</v>
      </c>
      <c r="B27" s="45" t="s">
        <v>3019</v>
      </c>
      <c r="C27" s="44" t="s">
        <v>3020</v>
      </c>
      <c r="D27" s="44" t="s">
        <v>3015</v>
      </c>
    </row>
    <row r="28" spans="1:8" ht="14.25" customHeight="1" x14ac:dyDescent="0.35">
      <c r="A28" s="44" t="s">
        <v>3021</v>
      </c>
      <c r="B28" s="45" t="s">
        <v>3022</v>
      </c>
      <c r="C28" s="44" t="s">
        <v>3020</v>
      </c>
      <c r="D28" s="44" t="s">
        <v>3023</v>
      </c>
    </row>
    <row r="29" spans="1:8" ht="14.25" customHeight="1" x14ac:dyDescent="0.35">
      <c r="A29" s="46"/>
      <c r="B29" s="47" t="s">
        <v>3024</v>
      </c>
      <c r="C29" s="46" t="s">
        <v>18</v>
      </c>
      <c r="D29" s="46" t="s">
        <v>3025</v>
      </c>
    </row>
    <row r="32" spans="1:8" ht="15" customHeight="1" x14ac:dyDescent="0.35">
      <c r="A32" s="41" t="s">
        <v>3026</v>
      </c>
    </row>
    <row r="33" spans="1:4" ht="14.25" customHeight="1" x14ac:dyDescent="0.35">
      <c r="A33" s="42" t="s">
        <v>2872</v>
      </c>
      <c r="B33" s="42" t="s">
        <v>3027</v>
      </c>
      <c r="C33" s="43" t="s">
        <v>3028</v>
      </c>
    </row>
    <row r="34" spans="1:4" ht="14.25" customHeight="1" x14ac:dyDescent="0.35">
      <c r="A34" s="44" t="s">
        <v>3029</v>
      </c>
      <c r="B34" s="44" t="s">
        <v>3030</v>
      </c>
      <c r="C34" s="45" t="s">
        <v>3031</v>
      </c>
    </row>
    <row r="35" spans="1:4" ht="14.25" customHeight="1" x14ac:dyDescent="0.35">
      <c r="A35" s="44" t="s">
        <v>3032</v>
      </c>
      <c r="B35" s="44" t="s">
        <v>3033</v>
      </c>
      <c r="C35" s="45" t="s">
        <v>3034</v>
      </c>
    </row>
    <row r="36" spans="1:4" ht="14.25" customHeight="1" x14ac:dyDescent="0.35">
      <c r="A36" s="44" t="s">
        <v>3035</v>
      </c>
      <c r="B36" s="44" t="s">
        <v>3036</v>
      </c>
      <c r="C36" s="45" t="s">
        <v>3037</v>
      </c>
    </row>
    <row r="37" spans="1:4" ht="14.25" customHeight="1" x14ac:dyDescent="0.35">
      <c r="A37" s="44" t="s">
        <v>3038</v>
      </c>
      <c r="B37" s="44" t="s">
        <v>3039</v>
      </c>
      <c r="C37" s="45" t="s">
        <v>3040</v>
      </c>
    </row>
    <row r="38" spans="1:4" ht="14.25" customHeight="1" x14ac:dyDescent="0.35">
      <c r="A38" s="44" t="s">
        <v>3041</v>
      </c>
      <c r="B38" s="44" t="s">
        <v>3042</v>
      </c>
      <c r="C38" s="45" t="s">
        <v>3043</v>
      </c>
    </row>
    <row r="41" spans="1:4" ht="15" customHeight="1" x14ac:dyDescent="0.35">
      <c r="A41" s="5" t="s">
        <v>0</v>
      </c>
    </row>
    <row r="42" spans="1:4" ht="14.25" customHeight="1" x14ac:dyDescent="0.35">
      <c r="A42" s="7" t="s">
        <v>1</v>
      </c>
      <c r="B42" s="7" t="s">
        <v>2</v>
      </c>
      <c r="C42" s="7" t="s">
        <v>3</v>
      </c>
      <c r="D42" s="7" t="s">
        <v>4</v>
      </c>
    </row>
    <row r="43" spans="1:4" ht="37.5" customHeight="1" x14ac:dyDescent="0.35">
      <c r="A43" s="8" t="s">
        <v>5</v>
      </c>
      <c r="B43" s="8" t="s">
        <v>6</v>
      </c>
      <c r="C43" s="8" t="s">
        <v>7</v>
      </c>
      <c r="D43" s="8" t="s">
        <v>8</v>
      </c>
    </row>
    <row r="44" spans="1:4" ht="24.75" customHeight="1" x14ac:dyDescent="0.35">
      <c r="A44" s="8" t="s">
        <v>9</v>
      </c>
      <c r="B44" s="8" t="s">
        <v>10</v>
      </c>
      <c r="C44" s="8" t="s">
        <v>11</v>
      </c>
      <c r="D44" s="8" t="s">
        <v>12</v>
      </c>
    </row>
    <row r="45" spans="1:4" ht="24.75" customHeight="1" x14ac:dyDescent="0.35">
      <c r="A45" s="8" t="s">
        <v>13</v>
      </c>
      <c r="B45" s="8" t="s">
        <v>14</v>
      </c>
      <c r="C45" s="8" t="s">
        <v>15</v>
      </c>
      <c r="D45" s="8" t="s">
        <v>16</v>
      </c>
    </row>
    <row r="46" spans="1:4" ht="24.75" customHeight="1" x14ac:dyDescent="0.35">
      <c r="A46" s="8" t="s">
        <v>17</v>
      </c>
      <c r="B46" s="8" t="s">
        <v>18</v>
      </c>
      <c r="C46" s="8" t="s">
        <v>19</v>
      </c>
      <c r="D46" s="8" t="s">
        <v>20</v>
      </c>
    </row>
    <row r="47" spans="1:4" ht="24.75" customHeight="1" x14ac:dyDescent="0.35">
      <c r="A47" s="8" t="s">
        <v>21</v>
      </c>
      <c r="B47" s="8" t="s">
        <v>22</v>
      </c>
      <c r="C47" s="8" t="s">
        <v>23</v>
      </c>
      <c r="D47" s="8" t="s">
        <v>24</v>
      </c>
    </row>
  </sheetData>
  <mergeCells count="14">
    <mergeCell ref="A17:H17"/>
    <mergeCell ref="A18:H18"/>
    <mergeCell ref="A19:H19"/>
    <mergeCell ref="A20:H20"/>
    <mergeCell ref="A10:H10"/>
    <mergeCell ref="A11:H11"/>
    <mergeCell ref="A12:H12"/>
    <mergeCell ref="A15:H15"/>
    <mergeCell ref="A16:H16"/>
    <mergeCell ref="A5:F5"/>
    <mergeCell ref="A6:H6"/>
    <mergeCell ref="A7:H7"/>
    <mergeCell ref="A8:H8"/>
    <mergeCell ref="A9:H9"/>
  </mergeCells>
  <pageMargins left="0.5" right="0.5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V200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6328125" defaultRowHeight="14.5" x14ac:dyDescent="0.35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22" ht="14.25" customHeight="1" x14ac:dyDescent="0.3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9" t="s">
        <v>36</v>
      </c>
      <c r="M1" s="9" t="s">
        <v>37</v>
      </c>
      <c r="N1" s="9" t="s">
        <v>38</v>
      </c>
      <c r="O1" s="9" t="s">
        <v>39</v>
      </c>
      <c r="P1" s="9" t="s">
        <v>40</v>
      </c>
      <c r="Q1" s="9" t="s">
        <v>41</v>
      </c>
      <c r="R1" s="9" t="s">
        <v>42</v>
      </c>
      <c r="S1" s="9" t="s">
        <v>43</v>
      </c>
      <c r="T1" s="9" t="s">
        <v>44</v>
      </c>
      <c r="U1" s="9" t="s">
        <v>45</v>
      </c>
      <c r="V1" s="9" t="s">
        <v>46</v>
      </c>
    </row>
    <row r="2" spans="1:22" ht="14.25" customHeight="1" x14ac:dyDescent="0.35">
      <c r="A2" s="10" t="s">
        <v>47</v>
      </c>
      <c r="B2" s="11">
        <v>45549</v>
      </c>
      <c r="C2" s="10" t="s">
        <v>48</v>
      </c>
      <c r="D2" s="10" t="s">
        <v>49</v>
      </c>
      <c r="E2" s="10" t="s">
        <v>50</v>
      </c>
      <c r="F2" s="12">
        <v>8</v>
      </c>
      <c r="G2" s="12">
        <v>3620</v>
      </c>
      <c r="H2" s="12">
        <v>15.4</v>
      </c>
      <c r="I2" s="12">
        <v>24500.16</v>
      </c>
      <c r="J2" s="10" t="s">
        <v>51</v>
      </c>
      <c r="K2" s="10" t="s">
        <v>52</v>
      </c>
      <c r="L2" t="str">
        <f>IFERROR(VLOOKUP(D2,Products!A:F,3,0),"")</f>
        <v>Apparel</v>
      </c>
      <c r="M2" t="str">
        <f>IFERROR(VLOOKUP(E2,Sales_Reps!A:E,3,0),"")</f>
        <v>North</v>
      </c>
      <c r="N2" t="str">
        <f>IFERROR(VLOOKUP(C2,Customers!A:F,5,0),"")</f>
        <v>SMB</v>
      </c>
      <c r="O2">
        <f>IFERROR(VLOOKUP(C2,Customers!A:F,3,0),"")</f>
        <v>44</v>
      </c>
      <c r="P2">
        <f>IFERROR(VLOOKUP(D2,Products!A:F,4,0),"")</f>
        <v>2509</v>
      </c>
      <c r="Q2" t="b">
        <f>IFERROR(VLOOKUP(D2,Products!A:F,6,0),"")</f>
        <v>1</v>
      </c>
      <c r="R2">
        <f t="shared" ref="R2:R65" si="0">IFERROR((G2-P2)/G2,"")</f>
        <v>0.3069060773480663</v>
      </c>
      <c r="S2">
        <f t="shared" ref="S2:S65" si="1">COUNTIF($A$2:$A$2001,A2)</f>
        <v>1</v>
      </c>
      <c r="T2">
        <f>IF(AND(S2&gt;1,COUNTIF($A$2:A2,A2)=1),1,0)</f>
        <v>0</v>
      </c>
      <c r="U2">
        <f>COUNTIF(Customers!$A$2:$A$301,C2)</f>
        <v>1</v>
      </c>
      <c r="V2">
        <f t="shared" ref="V2:V65" si="2">IF(AND(K2="Bengaluru",L2="Grocery"),I2,0)</f>
        <v>0</v>
      </c>
    </row>
    <row r="3" spans="1:22" ht="14.25" customHeight="1" x14ac:dyDescent="0.35">
      <c r="A3" s="10" t="s">
        <v>53</v>
      </c>
      <c r="B3" s="11">
        <v>45340</v>
      </c>
      <c r="C3" s="10" t="s">
        <v>54</v>
      </c>
      <c r="D3" s="10" t="s">
        <v>55</v>
      </c>
      <c r="E3" s="10" t="s">
        <v>56</v>
      </c>
      <c r="F3" s="12">
        <v>2</v>
      </c>
      <c r="G3" s="12">
        <v>820</v>
      </c>
      <c r="H3" s="12">
        <v>10.8</v>
      </c>
      <c r="I3" s="12">
        <v>1462.88</v>
      </c>
      <c r="J3" s="10" t="s">
        <v>57</v>
      </c>
      <c r="K3" s="10" t="s">
        <v>58</v>
      </c>
      <c r="L3" t="str">
        <f>IFERROR(VLOOKUP(D3,Products!A:F,3,0),"")</f>
        <v>Apparel</v>
      </c>
      <c r="M3" t="str">
        <f>IFERROR(VLOOKUP(E3,Sales_Reps!A:E,3,0),"")</f>
        <v>North</v>
      </c>
      <c r="N3" t="str">
        <f>IFERROR(VLOOKUP(C3,Customers!A:F,5,0),"")</f>
        <v>Retail</v>
      </c>
      <c r="O3">
        <f>IFERROR(VLOOKUP(C3,Customers!A:F,3,0),"")</f>
        <v>39</v>
      </c>
      <c r="P3">
        <f>IFERROR(VLOOKUP(D3,Products!A:F,4,0),"")</f>
        <v>391</v>
      </c>
      <c r="Q3" t="b">
        <f>IFERROR(VLOOKUP(D3,Products!A:F,6,0),"")</f>
        <v>1</v>
      </c>
      <c r="R3">
        <f t="shared" si="0"/>
        <v>0.52317073170731709</v>
      </c>
      <c r="S3">
        <f t="shared" si="1"/>
        <v>1</v>
      </c>
      <c r="T3">
        <f>IF(AND(S3&gt;1,COUNTIF($A$2:A3,A3)=1),1,0)</f>
        <v>0</v>
      </c>
      <c r="U3">
        <f>COUNTIF(Customers!$A$2:$A$301,C3)</f>
        <v>1</v>
      </c>
      <c r="V3">
        <f t="shared" si="2"/>
        <v>0</v>
      </c>
    </row>
    <row r="4" spans="1:22" ht="14.25" customHeight="1" x14ac:dyDescent="0.35">
      <c r="A4" s="10" t="s">
        <v>59</v>
      </c>
      <c r="B4" s="11">
        <v>45371</v>
      </c>
      <c r="C4" s="10" t="s">
        <v>60</v>
      </c>
      <c r="D4" s="10" t="s">
        <v>61</v>
      </c>
      <c r="E4" s="10" t="s">
        <v>62</v>
      </c>
      <c r="F4" s="12">
        <v>8</v>
      </c>
      <c r="G4" s="12">
        <v>470</v>
      </c>
      <c r="H4" s="12">
        <v>3.3</v>
      </c>
      <c r="I4" s="12">
        <v>3635.92</v>
      </c>
      <c r="J4" s="10" t="s">
        <v>57</v>
      </c>
      <c r="K4" s="10" t="s">
        <v>63</v>
      </c>
      <c r="L4" t="str">
        <f>IFERROR(VLOOKUP(D4,Products!A:F,3,0),"")</f>
        <v>Sports</v>
      </c>
      <c r="M4" t="str">
        <f>IFERROR(VLOOKUP(E4,Sales_Reps!A:E,3,0),"")</f>
        <v>South</v>
      </c>
      <c r="N4" t="str">
        <f>IFERROR(VLOOKUP(C4,Customers!A:F,5,0),"")</f>
        <v>Retail</v>
      </c>
      <c r="O4">
        <f>IFERROR(VLOOKUP(C4,Customers!A:F,3,0),"")</f>
        <v>52</v>
      </c>
      <c r="P4">
        <f>IFERROR(VLOOKUP(D4,Products!A:F,4,0),"")</f>
        <v>302</v>
      </c>
      <c r="Q4" t="b">
        <f>IFERROR(VLOOKUP(D4,Products!A:F,6,0),"")</f>
        <v>0</v>
      </c>
      <c r="R4">
        <f t="shared" si="0"/>
        <v>0.35744680851063831</v>
      </c>
      <c r="S4">
        <f t="shared" si="1"/>
        <v>1</v>
      </c>
      <c r="T4">
        <f>IF(AND(S4&gt;1,COUNTIF($A$2:A4,A4)=1),1,0)</f>
        <v>0</v>
      </c>
      <c r="U4">
        <f>COUNTIF(Customers!$A$2:$A$301,C4)</f>
        <v>1</v>
      </c>
      <c r="V4">
        <f t="shared" si="2"/>
        <v>0</v>
      </c>
    </row>
    <row r="5" spans="1:22" ht="14.25" customHeight="1" x14ac:dyDescent="0.35">
      <c r="A5" s="10" t="s">
        <v>64</v>
      </c>
      <c r="B5" s="11">
        <v>45413</v>
      </c>
      <c r="C5" s="10" t="s">
        <v>65</v>
      </c>
      <c r="D5" s="10" t="s">
        <v>66</v>
      </c>
      <c r="E5" s="10" t="s">
        <v>67</v>
      </c>
      <c r="F5" s="12">
        <v>1</v>
      </c>
      <c r="G5" s="12">
        <v>3660</v>
      </c>
      <c r="H5" s="12">
        <v>15.7</v>
      </c>
      <c r="I5" s="12">
        <v>3085.38</v>
      </c>
      <c r="J5" s="10" t="s">
        <v>51</v>
      </c>
      <c r="K5" s="10" t="s">
        <v>63</v>
      </c>
      <c r="L5" t="str">
        <f>IFERROR(VLOOKUP(D5,Products!A:F,3,0),"")</f>
        <v>Grocery</v>
      </c>
      <c r="M5" t="str">
        <f>IFERROR(VLOOKUP(E5,Sales_Reps!A:E,3,0),"")</f>
        <v>North</v>
      </c>
      <c r="N5" t="str">
        <f>IFERROR(VLOOKUP(C5,Customers!A:F,5,0),"")</f>
        <v>Corporate</v>
      </c>
      <c r="O5">
        <f>IFERROR(VLOOKUP(C5,Customers!A:F,3,0),"")</f>
        <v>46</v>
      </c>
      <c r="P5">
        <f>IFERROR(VLOOKUP(D5,Products!A:F,4,0),"")</f>
        <v>2214</v>
      </c>
      <c r="Q5" t="b">
        <f>IFERROR(VLOOKUP(D5,Products!A:F,6,0),"")</f>
        <v>0</v>
      </c>
      <c r="R5">
        <f t="shared" si="0"/>
        <v>0.39508196721311473</v>
      </c>
      <c r="S5">
        <f t="shared" si="1"/>
        <v>1</v>
      </c>
      <c r="T5">
        <f>IF(AND(S5&gt;1,COUNTIF($A$2:A5,A5)=1),1,0)</f>
        <v>0</v>
      </c>
      <c r="U5">
        <f>COUNTIF(Customers!$A$2:$A$301,C5)</f>
        <v>1</v>
      </c>
      <c r="V5">
        <f t="shared" si="2"/>
        <v>0</v>
      </c>
    </row>
    <row r="6" spans="1:22" ht="14.25" customHeight="1" x14ac:dyDescent="0.35">
      <c r="A6" s="10" t="s">
        <v>68</v>
      </c>
      <c r="B6" s="11">
        <v>45611</v>
      </c>
      <c r="C6" s="10" t="s">
        <v>69</v>
      </c>
      <c r="D6" s="10" t="s">
        <v>70</v>
      </c>
      <c r="E6" s="10" t="s">
        <v>71</v>
      </c>
      <c r="F6" s="12">
        <v>1</v>
      </c>
      <c r="G6" s="12">
        <v>3160</v>
      </c>
      <c r="H6" s="12">
        <v>26</v>
      </c>
      <c r="I6" s="12">
        <v>2338.4</v>
      </c>
      <c r="J6" s="10" t="s">
        <v>51</v>
      </c>
      <c r="K6" s="10" t="s">
        <v>58</v>
      </c>
      <c r="L6" t="str">
        <f>IFERROR(VLOOKUP(D6,Products!A:F,3,0),"")</f>
        <v>Apparel</v>
      </c>
      <c r="M6" t="str">
        <f>IFERROR(VLOOKUP(E6,Sales_Reps!A:E,3,0),"")</f>
        <v>North</v>
      </c>
      <c r="N6" t="str">
        <f>IFERROR(VLOOKUP(C6,Customers!A:F,5,0),"")</f>
        <v>Retail</v>
      </c>
      <c r="O6">
        <f>IFERROR(VLOOKUP(C6,Customers!A:F,3,0),"")</f>
        <v>36</v>
      </c>
      <c r="P6">
        <f>IFERROR(VLOOKUP(D6,Products!A:F,4,0),"")</f>
        <v>1886</v>
      </c>
      <c r="Q6" t="b">
        <f>IFERROR(VLOOKUP(D6,Products!A:F,6,0),"")</f>
        <v>1</v>
      </c>
      <c r="R6">
        <f t="shared" si="0"/>
        <v>0.4031645569620253</v>
      </c>
      <c r="S6">
        <f t="shared" si="1"/>
        <v>1</v>
      </c>
      <c r="T6">
        <f>IF(AND(S6&gt;1,COUNTIF($A$2:A6,A6)=1),1,0)</f>
        <v>0</v>
      </c>
      <c r="U6">
        <f>COUNTIF(Customers!$A$2:$A$301,C6)</f>
        <v>1</v>
      </c>
      <c r="V6">
        <f t="shared" si="2"/>
        <v>0</v>
      </c>
    </row>
    <row r="7" spans="1:22" ht="14.25" customHeight="1" x14ac:dyDescent="0.35">
      <c r="A7" s="10" t="s">
        <v>72</v>
      </c>
      <c r="B7" s="11">
        <v>45406</v>
      </c>
      <c r="C7" s="10" t="s">
        <v>73</v>
      </c>
      <c r="D7" s="10" t="s">
        <v>74</v>
      </c>
      <c r="E7" s="10" t="s">
        <v>75</v>
      </c>
      <c r="F7" s="12">
        <v>4</v>
      </c>
      <c r="G7" s="12">
        <v>370</v>
      </c>
      <c r="H7" s="12">
        <v>29</v>
      </c>
      <c r="I7" s="12">
        <v>1050.8</v>
      </c>
      <c r="J7" s="10" t="s">
        <v>51</v>
      </c>
      <c r="K7" s="10" t="s">
        <v>76</v>
      </c>
      <c r="L7" t="str">
        <f>IFERROR(VLOOKUP(D7,Products!A:F,3,0),"")</f>
        <v>Home</v>
      </c>
      <c r="M7" t="str">
        <f>IFERROR(VLOOKUP(E7,Sales_Reps!A:E,3,0),"")</f>
        <v>West</v>
      </c>
      <c r="N7" t="str">
        <f>IFERROR(VLOOKUP(C7,Customers!A:F,5,0),"")</f>
        <v>Retail</v>
      </c>
      <c r="O7">
        <f>IFERROR(VLOOKUP(C7,Customers!A:F,3,0),"")</f>
        <v>36</v>
      </c>
      <c r="P7">
        <f>IFERROR(VLOOKUP(D7,Products!A:F,4,0),"")</f>
        <v>288</v>
      </c>
      <c r="Q7" t="b">
        <f>IFERROR(VLOOKUP(D7,Products!A:F,6,0),"")</f>
        <v>1</v>
      </c>
      <c r="R7">
        <f t="shared" si="0"/>
        <v>0.22162162162162163</v>
      </c>
      <c r="S7">
        <f t="shared" si="1"/>
        <v>1</v>
      </c>
      <c r="T7">
        <f>IF(AND(S7&gt;1,COUNTIF($A$2:A7,A7)=1),1,0)</f>
        <v>0</v>
      </c>
      <c r="U7">
        <f>COUNTIF(Customers!$A$2:$A$301,C7)</f>
        <v>1</v>
      </c>
      <c r="V7">
        <f t="shared" si="2"/>
        <v>0</v>
      </c>
    </row>
    <row r="8" spans="1:22" ht="14.25" customHeight="1" x14ac:dyDescent="0.35">
      <c r="A8" s="10" t="s">
        <v>77</v>
      </c>
      <c r="B8" s="11">
        <v>45455</v>
      </c>
      <c r="C8" s="10" t="s">
        <v>78</v>
      </c>
      <c r="D8" s="10" t="s">
        <v>79</v>
      </c>
      <c r="E8" s="10" t="s">
        <v>80</v>
      </c>
      <c r="F8" s="12">
        <v>3</v>
      </c>
      <c r="G8" s="12">
        <v>960</v>
      </c>
      <c r="H8" s="12">
        <v>5.8</v>
      </c>
      <c r="I8" s="12">
        <v>2712.96</v>
      </c>
      <c r="J8" s="10" t="s">
        <v>51</v>
      </c>
      <c r="K8" s="10" t="s">
        <v>81</v>
      </c>
      <c r="L8" t="str">
        <f>IFERROR(VLOOKUP(D8,Products!A:F,3,0),"")</f>
        <v>Sports</v>
      </c>
      <c r="M8" t="str">
        <f>IFERROR(VLOOKUP(E8,Sales_Reps!A:E,3,0),"")</f>
        <v>West</v>
      </c>
      <c r="N8" t="str">
        <f>IFERROR(VLOOKUP(C8,Customers!A:F,5,0),"")</f>
        <v>Retail</v>
      </c>
      <c r="O8">
        <f>IFERROR(VLOOKUP(C8,Customers!A:F,3,0),"")</f>
        <v>27</v>
      </c>
      <c r="P8">
        <f>IFERROR(VLOOKUP(D8,Products!A:F,4,0),"")</f>
        <v>705</v>
      </c>
      <c r="Q8" t="b">
        <f>IFERROR(VLOOKUP(D8,Products!A:F,6,0),"")</f>
        <v>1</v>
      </c>
      <c r="R8">
        <f t="shared" si="0"/>
        <v>0.265625</v>
      </c>
      <c r="S8">
        <f t="shared" si="1"/>
        <v>1</v>
      </c>
      <c r="T8">
        <f>IF(AND(S8&gt;1,COUNTIF($A$2:A8,A8)=1),1,0)</f>
        <v>0</v>
      </c>
      <c r="U8">
        <f>COUNTIF(Customers!$A$2:$A$301,C8)</f>
        <v>1</v>
      </c>
      <c r="V8">
        <f t="shared" si="2"/>
        <v>0</v>
      </c>
    </row>
    <row r="9" spans="1:22" ht="14.25" customHeight="1" x14ac:dyDescent="0.35">
      <c r="A9" s="10" t="s">
        <v>82</v>
      </c>
      <c r="B9" s="11">
        <v>45617</v>
      </c>
      <c r="C9" s="10" t="s">
        <v>83</v>
      </c>
      <c r="D9" s="10" t="s">
        <v>84</v>
      </c>
      <c r="E9" s="10" t="s">
        <v>85</v>
      </c>
      <c r="F9" s="12">
        <v>8</v>
      </c>
      <c r="G9" s="12">
        <v>1430</v>
      </c>
      <c r="H9" s="12">
        <v>2.4</v>
      </c>
      <c r="I9" s="12">
        <v>11165.44</v>
      </c>
      <c r="J9" s="10" t="s">
        <v>51</v>
      </c>
      <c r="K9" s="10" t="s">
        <v>81</v>
      </c>
      <c r="L9" t="str">
        <f>IFERROR(VLOOKUP(D9,Products!A:F,3,0),"")</f>
        <v>Electronics</v>
      </c>
      <c r="M9" t="str">
        <f>IFERROR(VLOOKUP(E9,Sales_Reps!A:E,3,0),"")</f>
        <v>East</v>
      </c>
      <c r="N9" t="str">
        <f>IFERROR(VLOOKUP(C9,Customers!A:F,5,0),"")</f>
        <v>Corporate</v>
      </c>
      <c r="O9">
        <f>IFERROR(VLOOKUP(C9,Customers!A:F,3,0),"")</f>
        <v>57</v>
      </c>
      <c r="P9">
        <f>IFERROR(VLOOKUP(D9,Products!A:F,4,0),"")</f>
        <v>861</v>
      </c>
      <c r="Q9" t="b">
        <f>IFERROR(VLOOKUP(D9,Products!A:F,6,0),"")</f>
        <v>1</v>
      </c>
      <c r="R9">
        <f t="shared" si="0"/>
        <v>0.39790209790209791</v>
      </c>
      <c r="S9">
        <f t="shared" si="1"/>
        <v>1</v>
      </c>
      <c r="T9">
        <f>IF(AND(S9&gt;1,COUNTIF($A$2:A9,A9)=1),1,0)</f>
        <v>0</v>
      </c>
      <c r="U9">
        <f>COUNTIF(Customers!$A$2:$A$301,C9)</f>
        <v>1</v>
      </c>
      <c r="V9">
        <f t="shared" si="2"/>
        <v>0</v>
      </c>
    </row>
    <row r="10" spans="1:22" ht="14.25" customHeight="1" x14ac:dyDescent="0.35">
      <c r="A10" s="10" t="s">
        <v>86</v>
      </c>
      <c r="B10" s="11">
        <v>45549</v>
      </c>
      <c r="C10" s="10" t="s">
        <v>87</v>
      </c>
      <c r="D10" s="10" t="s">
        <v>88</v>
      </c>
      <c r="E10" s="10" t="s">
        <v>71</v>
      </c>
      <c r="F10" s="12">
        <v>3</v>
      </c>
      <c r="G10" s="12">
        <v>5490</v>
      </c>
      <c r="H10" s="12">
        <v>14.2</v>
      </c>
      <c r="I10" s="12">
        <v>14131.26</v>
      </c>
      <c r="J10" s="10" t="s">
        <v>51</v>
      </c>
      <c r="K10" s="10" t="s">
        <v>81</v>
      </c>
      <c r="L10" t="str">
        <f>IFERROR(VLOOKUP(D10,Products!A:F,3,0),"")</f>
        <v>Home</v>
      </c>
      <c r="M10" t="str">
        <f>IFERROR(VLOOKUP(E10,Sales_Reps!A:E,3,0),"")</f>
        <v>North</v>
      </c>
      <c r="N10" t="str">
        <f>IFERROR(VLOOKUP(C10,Customers!A:F,5,0),"")</f>
        <v>Retail</v>
      </c>
      <c r="O10">
        <f>IFERROR(VLOOKUP(C10,Customers!A:F,3,0),"")</f>
        <v>42</v>
      </c>
      <c r="P10">
        <f>IFERROR(VLOOKUP(D10,Products!A:F,4,0),"")</f>
        <v>2549</v>
      </c>
      <c r="Q10" t="b">
        <f>IFERROR(VLOOKUP(D10,Products!A:F,6,0),"")</f>
        <v>1</v>
      </c>
      <c r="R10">
        <f t="shared" si="0"/>
        <v>0.53570127504553733</v>
      </c>
      <c r="S10">
        <f t="shared" si="1"/>
        <v>1</v>
      </c>
      <c r="T10">
        <f>IF(AND(S10&gt;1,COUNTIF($A$2:A10,A10)=1),1,0)</f>
        <v>0</v>
      </c>
      <c r="U10">
        <f>COUNTIF(Customers!$A$2:$A$301,C10)</f>
        <v>1</v>
      </c>
      <c r="V10">
        <f t="shared" si="2"/>
        <v>0</v>
      </c>
    </row>
    <row r="11" spans="1:22" ht="14.25" customHeight="1" x14ac:dyDescent="0.35">
      <c r="A11" s="10" t="s">
        <v>89</v>
      </c>
      <c r="B11" s="11">
        <v>45396</v>
      </c>
      <c r="C11" s="10" t="s">
        <v>90</v>
      </c>
      <c r="D11" s="10" t="s">
        <v>91</v>
      </c>
      <c r="E11" s="10" t="s">
        <v>92</v>
      </c>
      <c r="F11" s="12">
        <v>3</v>
      </c>
      <c r="G11" s="12">
        <v>970</v>
      </c>
      <c r="H11" s="12">
        <v>1.2</v>
      </c>
      <c r="I11" s="12">
        <v>2875.08</v>
      </c>
      <c r="J11" s="10" t="s">
        <v>51</v>
      </c>
      <c r="K11" s="10" t="s">
        <v>52</v>
      </c>
      <c r="L11" t="str">
        <f>IFERROR(VLOOKUP(D11,Products!A:F,3,0),"")</f>
        <v>Grocery</v>
      </c>
      <c r="M11" t="str">
        <f>IFERROR(VLOOKUP(E11,Sales_Reps!A:E,3,0),"")</f>
        <v>West</v>
      </c>
      <c r="N11" t="str">
        <f>IFERROR(VLOOKUP(C11,Customers!A:F,5,0),"")</f>
        <v>Retail</v>
      </c>
      <c r="O11">
        <f>IFERROR(VLOOKUP(C11,Customers!A:F,3,0),"")</f>
        <v>56</v>
      </c>
      <c r="P11">
        <f>IFERROR(VLOOKUP(D11,Products!A:F,4,0),"")</f>
        <v>434</v>
      </c>
      <c r="Q11" t="b">
        <f>IFERROR(VLOOKUP(D11,Products!A:F,6,0),"")</f>
        <v>1</v>
      </c>
      <c r="R11">
        <f t="shared" si="0"/>
        <v>0.5525773195876289</v>
      </c>
      <c r="S11">
        <f t="shared" si="1"/>
        <v>1</v>
      </c>
      <c r="T11">
        <f>IF(AND(S11&gt;1,COUNTIF($A$2:A11,A11)=1),1,0)</f>
        <v>0</v>
      </c>
      <c r="U11">
        <f>COUNTIF(Customers!$A$2:$A$301,C11)</f>
        <v>1</v>
      </c>
      <c r="V11">
        <f t="shared" si="2"/>
        <v>0</v>
      </c>
    </row>
    <row r="12" spans="1:22" ht="14.25" customHeight="1" x14ac:dyDescent="0.35">
      <c r="A12" s="10" t="s">
        <v>93</v>
      </c>
      <c r="B12" s="11">
        <v>45560</v>
      </c>
      <c r="C12" s="10" t="s">
        <v>94</v>
      </c>
      <c r="D12" s="10" t="s">
        <v>95</v>
      </c>
      <c r="E12" s="10" t="s">
        <v>96</v>
      </c>
      <c r="F12" s="12">
        <v>7</v>
      </c>
      <c r="G12" s="12">
        <v>2270</v>
      </c>
      <c r="H12" s="12">
        <v>7.1</v>
      </c>
      <c r="I12" s="12">
        <v>14761.81</v>
      </c>
      <c r="J12" s="10" t="s">
        <v>57</v>
      </c>
      <c r="K12" s="10" t="s">
        <v>97</v>
      </c>
      <c r="L12" t="str">
        <f>IFERROR(VLOOKUP(D12,Products!A:F,3,0),"")</f>
        <v>Grocery</v>
      </c>
      <c r="M12" t="str">
        <f>IFERROR(VLOOKUP(E12,Sales_Reps!A:E,3,0),"")</f>
        <v>South</v>
      </c>
      <c r="N12" t="str">
        <f>IFERROR(VLOOKUP(C12,Customers!A:F,5,0),"")</f>
        <v>Retail</v>
      </c>
      <c r="O12">
        <f>IFERROR(VLOOKUP(C12,Customers!A:F,3,0),"")</f>
        <v>60</v>
      </c>
      <c r="P12">
        <f>IFERROR(VLOOKUP(D12,Products!A:F,4,0),"")</f>
        <v>1203</v>
      </c>
      <c r="Q12" t="b">
        <f>IFERROR(VLOOKUP(D12,Products!A:F,6,0),"")</f>
        <v>1</v>
      </c>
      <c r="R12">
        <f t="shared" si="0"/>
        <v>0.47004405286343615</v>
      </c>
      <c r="S12">
        <f t="shared" si="1"/>
        <v>1</v>
      </c>
      <c r="T12">
        <f>IF(AND(S12&gt;1,COUNTIF($A$2:A12,A12)=1),1,0)</f>
        <v>0</v>
      </c>
      <c r="U12">
        <f>COUNTIF(Customers!$A$2:$A$301,C12)</f>
        <v>1</v>
      </c>
      <c r="V12">
        <f t="shared" si="2"/>
        <v>0</v>
      </c>
    </row>
    <row r="13" spans="1:22" ht="14.25" customHeight="1" x14ac:dyDescent="0.35">
      <c r="A13" s="10" t="s">
        <v>98</v>
      </c>
      <c r="B13" s="11">
        <v>45332</v>
      </c>
      <c r="C13" s="10" t="s">
        <v>90</v>
      </c>
      <c r="D13" s="10" t="s">
        <v>99</v>
      </c>
      <c r="E13" s="10" t="s">
        <v>80</v>
      </c>
      <c r="F13" s="12">
        <v>9</v>
      </c>
      <c r="G13" s="12">
        <v>2640</v>
      </c>
      <c r="H13" s="12">
        <v>21.7</v>
      </c>
      <c r="I13" s="12">
        <v>18604.080000000002</v>
      </c>
      <c r="J13" s="10" t="s">
        <v>51</v>
      </c>
      <c r="K13" s="10" t="s">
        <v>52</v>
      </c>
      <c r="L13" t="str">
        <f>IFERROR(VLOOKUP(D13,Products!A:F,3,0),"")</f>
        <v>Electronics</v>
      </c>
      <c r="M13" t="str">
        <f>IFERROR(VLOOKUP(E13,Sales_Reps!A:E,3,0),"")</f>
        <v>West</v>
      </c>
      <c r="N13" t="str">
        <f>IFERROR(VLOOKUP(C13,Customers!A:F,5,0),"")</f>
        <v>Retail</v>
      </c>
      <c r="O13">
        <f>IFERROR(VLOOKUP(C13,Customers!A:F,3,0),"")</f>
        <v>56</v>
      </c>
      <c r="P13">
        <f>IFERROR(VLOOKUP(D13,Products!A:F,4,0),"")</f>
        <v>1149</v>
      </c>
      <c r="Q13" t="b">
        <f>IFERROR(VLOOKUP(D13,Products!A:F,6,0),"")</f>
        <v>1</v>
      </c>
      <c r="R13">
        <f t="shared" si="0"/>
        <v>0.56477272727272732</v>
      </c>
      <c r="S13">
        <f t="shared" si="1"/>
        <v>1</v>
      </c>
      <c r="T13">
        <f>IF(AND(S13&gt;1,COUNTIF($A$2:A13,A13)=1),1,0)</f>
        <v>0</v>
      </c>
      <c r="U13">
        <f>COUNTIF(Customers!$A$2:$A$301,C13)</f>
        <v>1</v>
      </c>
      <c r="V13">
        <f t="shared" si="2"/>
        <v>0</v>
      </c>
    </row>
    <row r="14" spans="1:22" ht="14.25" customHeight="1" x14ac:dyDescent="0.35">
      <c r="A14" s="10" t="s">
        <v>100</v>
      </c>
      <c r="B14" s="11">
        <v>45507</v>
      </c>
      <c r="C14" s="10" t="s">
        <v>101</v>
      </c>
      <c r="D14" s="10" t="s">
        <v>102</v>
      </c>
      <c r="E14" s="10" t="s">
        <v>103</v>
      </c>
      <c r="F14" s="12">
        <v>3</v>
      </c>
      <c r="G14" s="12">
        <v>2600</v>
      </c>
      <c r="H14" s="12">
        <v>4.3</v>
      </c>
      <c r="I14" s="12">
        <v>7464.6</v>
      </c>
      <c r="J14" s="10" t="s">
        <v>104</v>
      </c>
      <c r="K14" s="10" t="s">
        <v>63</v>
      </c>
      <c r="L14" t="str">
        <f>IFERROR(VLOOKUP(D14,Products!A:F,3,0),"")</f>
        <v>Electronics</v>
      </c>
      <c r="M14" t="str">
        <f>IFERROR(VLOOKUP(E14,Sales_Reps!A:E,3,0),"")</f>
        <v>North</v>
      </c>
      <c r="N14" t="str">
        <f>IFERROR(VLOOKUP(C14,Customers!A:F,5,0),"")</f>
        <v>SMB</v>
      </c>
      <c r="O14">
        <f>IFERROR(VLOOKUP(C14,Customers!A:F,3,0),"")</f>
        <v>27</v>
      </c>
      <c r="P14">
        <f>IFERROR(VLOOKUP(D14,Products!A:F,4,0),"")</f>
        <v>1052</v>
      </c>
      <c r="Q14" t="b">
        <f>IFERROR(VLOOKUP(D14,Products!A:F,6,0),"")</f>
        <v>1</v>
      </c>
      <c r="R14">
        <f t="shared" si="0"/>
        <v>0.5953846153846154</v>
      </c>
      <c r="S14">
        <f t="shared" si="1"/>
        <v>1</v>
      </c>
      <c r="T14">
        <f>IF(AND(S14&gt;1,COUNTIF($A$2:A14,A14)=1),1,0)</f>
        <v>0</v>
      </c>
      <c r="U14">
        <f>COUNTIF(Customers!$A$2:$A$301,C14)</f>
        <v>1</v>
      </c>
      <c r="V14">
        <f t="shared" si="2"/>
        <v>0</v>
      </c>
    </row>
    <row r="15" spans="1:22" ht="14.25" customHeight="1" x14ac:dyDescent="0.35">
      <c r="A15" s="10" t="s">
        <v>105</v>
      </c>
      <c r="B15" s="11">
        <v>45466</v>
      </c>
      <c r="C15" s="10" t="s">
        <v>106</v>
      </c>
      <c r="D15" s="10" t="s">
        <v>107</v>
      </c>
      <c r="E15" s="10" t="s">
        <v>75</v>
      </c>
      <c r="F15" s="12">
        <v>3</v>
      </c>
      <c r="G15" s="12">
        <v>3250</v>
      </c>
      <c r="H15" s="12">
        <v>14.1</v>
      </c>
      <c r="I15" s="12">
        <v>8375.25</v>
      </c>
      <c r="J15" s="10" t="s">
        <v>108</v>
      </c>
      <c r="K15" s="10" t="s">
        <v>52</v>
      </c>
      <c r="L15" t="str">
        <f>IFERROR(VLOOKUP(D15,Products!A:F,3,0),"")</f>
        <v>Home</v>
      </c>
      <c r="M15" t="str">
        <f>IFERROR(VLOOKUP(E15,Sales_Reps!A:E,3,0),"")</f>
        <v>West</v>
      </c>
      <c r="N15" t="str">
        <f>IFERROR(VLOOKUP(C15,Customers!A:F,5,0),"")</f>
        <v>SMB</v>
      </c>
      <c r="O15">
        <f>IFERROR(VLOOKUP(C15,Customers!A:F,3,0),"")</f>
        <v>39</v>
      </c>
      <c r="P15">
        <f>IFERROR(VLOOKUP(D15,Products!A:F,4,0),"")</f>
        <v>1556</v>
      </c>
      <c r="Q15" t="b">
        <f>IFERROR(VLOOKUP(D15,Products!A:F,6,0),"")</f>
        <v>1</v>
      </c>
      <c r="R15">
        <f t="shared" si="0"/>
        <v>0.52123076923076928</v>
      </c>
      <c r="S15">
        <f t="shared" si="1"/>
        <v>1</v>
      </c>
      <c r="T15">
        <f>IF(AND(S15&gt;1,COUNTIF($A$2:A15,A15)=1),1,0)</f>
        <v>0</v>
      </c>
      <c r="U15">
        <f>COUNTIF(Customers!$A$2:$A$301,C15)</f>
        <v>1</v>
      </c>
      <c r="V15">
        <f t="shared" si="2"/>
        <v>0</v>
      </c>
    </row>
    <row r="16" spans="1:22" ht="14.25" customHeight="1" x14ac:dyDescent="0.35">
      <c r="A16" s="10" t="s">
        <v>109</v>
      </c>
      <c r="B16" s="11">
        <v>45365</v>
      </c>
      <c r="C16" s="10" t="s">
        <v>110</v>
      </c>
      <c r="D16" s="10" t="s">
        <v>111</v>
      </c>
      <c r="E16" s="10" t="s">
        <v>112</v>
      </c>
      <c r="F16" s="12">
        <v>1</v>
      </c>
      <c r="G16" s="12">
        <v>190</v>
      </c>
      <c r="H16" s="12">
        <v>20.7</v>
      </c>
      <c r="I16" s="12">
        <v>150.66999999999999</v>
      </c>
      <c r="J16" s="10" t="s">
        <v>51</v>
      </c>
      <c r="K16" s="10" t="s">
        <v>52</v>
      </c>
      <c r="L16" t="str">
        <f>IFERROR(VLOOKUP(D16,Products!A:F,3,0),"")</f>
        <v>Sports</v>
      </c>
      <c r="M16" t="str">
        <f>IFERROR(VLOOKUP(E16,Sales_Reps!A:E,3,0),"")</f>
        <v>North</v>
      </c>
      <c r="N16" t="str">
        <f>IFERROR(VLOOKUP(C16,Customers!A:F,5,0),"")</f>
        <v>Retail</v>
      </c>
      <c r="O16">
        <f>IFERROR(VLOOKUP(C16,Customers!A:F,3,0),"")</f>
        <v>38</v>
      </c>
      <c r="P16">
        <f>IFERROR(VLOOKUP(D16,Products!A:F,4,0),"")</f>
        <v>147</v>
      </c>
      <c r="Q16" t="b">
        <f>IFERROR(VLOOKUP(D16,Products!A:F,6,0),"")</f>
        <v>1</v>
      </c>
      <c r="R16">
        <f t="shared" si="0"/>
        <v>0.22631578947368422</v>
      </c>
      <c r="S16">
        <f t="shared" si="1"/>
        <v>1</v>
      </c>
      <c r="T16">
        <f>IF(AND(S16&gt;1,COUNTIF($A$2:A16,A16)=1),1,0)</f>
        <v>0</v>
      </c>
      <c r="U16">
        <f>COUNTIF(Customers!$A$2:$A$301,C16)</f>
        <v>1</v>
      </c>
      <c r="V16">
        <f t="shared" si="2"/>
        <v>0</v>
      </c>
    </row>
    <row r="17" spans="1:22" ht="14.25" customHeight="1" x14ac:dyDescent="0.35">
      <c r="A17" s="10" t="s">
        <v>113</v>
      </c>
      <c r="B17" s="11">
        <v>45546</v>
      </c>
      <c r="C17" s="10" t="s">
        <v>114</v>
      </c>
      <c r="D17" s="10" t="s">
        <v>115</v>
      </c>
      <c r="E17" s="10" t="s">
        <v>62</v>
      </c>
      <c r="F17" s="12">
        <v>7</v>
      </c>
      <c r="G17" s="12">
        <v>2400</v>
      </c>
      <c r="H17" s="12">
        <v>10.199999999999999</v>
      </c>
      <c r="I17" s="12">
        <v>15086.4</v>
      </c>
      <c r="J17" s="10" t="s">
        <v>57</v>
      </c>
      <c r="K17" s="10" t="s">
        <v>52</v>
      </c>
      <c r="L17" t="str">
        <f>IFERROR(VLOOKUP(D17,Products!A:F,3,0),"")</f>
        <v>Sports</v>
      </c>
      <c r="M17" t="str">
        <f>IFERROR(VLOOKUP(E17,Sales_Reps!A:E,3,0),"")</f>
        <v>South</v>
      </c>
      <c r="N17" t="str">
        <f>IFERROR(VLOOKUP(C17,Customers!A:F,5,0),"")</f>
        <v>Retail</v>
      </c>
      <c r="O17">
        <f>IFERROR(VLOOKUP(C17,Customers!A:F,3,0),"")</f>
        <v>63</v>
      </c>
      <c r="P17">
        <f>IFERROR(VLOOKUP(D17,Products!A:F,4,0),"")</f>
        <v>974</v>
      </c>
      <c r="Q17" t="b">
        <f>IFERROR(VLOOKUP(D17,Products!A:F,6,0),"")</f>
        <v>1</v>
      </c>
      <c r="R17">
        <f t="shared" si="0"/>
        <v>0.59416666666666662</v>
      </c>
      <c r="S17">
        <f t="shared" si="1"/>
        <v>1</v>
      </c>
      <c r="T17">
        <f>IF(AND(S17&gt;1,COUNTIF($A$2:A17,A17)=1),1,0)</f>
        <v>0</v>
      </c>
      <c r="U17">
        <f>COUNTIF(Customers!$A$2:$A$301,C17)</f>
        <v>1</v>
      </c>
      <c r="V17">
        <f t="shared" si="2"/>
        <v>0</v>
      </c>
    </row>
    <row r="18" spans="1:22" ht="14.25" customHeight="1" x14ac:dyDescent="0.35">
      <c r="A18" s="10" t="s">
        <v>116</v>
      </c>
      <c r="B18" s="11">
        <v>45512</v>
      </c>
      <c r="C18" s="10" t="s">
        <v>117</v>
      </c>
      <c r="D18" s="10" t="s">
        <v>66</v>
      </c>
      <c r="E18" s="10" t="s">
        <v>118</v>
      </c>
      <c r="F18" s="12">
        <v>4</v>
      </c>
      <c r="G18" s="12">
        <v>3660</v>
      </c>
      <c r="H18" s="12">
        <v>2.6</v>
      </c>
      <c r="I18" s="12">
        <v>14259.36</v>
      </c>
      <c r="J18" s="10" t="s">
        <v>51</v>
      </c>
      <c r="K18" s="10" t="s">
        <v>81</v>
      </c>
      <c r="L18" t="str">
        <f>IFERROR(VLOOKUP(D18,Products!A:F,3,0),"")</f>
        <v>Grocery</v>
      </c>
      <c r="M18" t="str">
        <f>IFERROR(VLOOKUP(E18,Sales_Reps!A:E,3,0),"")</f>
        <v>East</v>
      </c>
      <c r="N18" t="str">
        <f>IFERROR(VLOOKUP(C18,Customers!A:F,5,0),"")</f>
        <v>SMB</v>
      </c>
      <c r="O18">
        <f>IFERROR(VLOOKUP(C18,Customers!A:F,3,0),"")</f>
        <v>46</v>
      </c>
      <c r="P18">
        <f>IFERROR(VLOOKUP(D18,Products!A:F,4,0),"")</f>
        <v>2214</v>
      </c>
      <c r="Q18" t="b">
        <f>IFERROR(VLOOKUP(D18,Products!A:F,6,0),"")</f>
        <v>0</v>
      </c>
      <c r="R18">
        <f t="shared" si="0"/>
        <v>0.39508196721311473</v>
      </c>
      <c r="S18">
        <f t="shared" si="1"/>
        <v>1</v>
      </c>
      <c r="T18">
        <f>IF(AND(S18&gt;1,COUNTIF($A$2:A18,A18)=1),1,0)</f>
        <v>0</v>
      </c>
      <c r="U18">
        <f>COUNTIF(Customers!$A$2:$A$301,C18)</f>
        <v>1</v>
      </c>
      <c r="V18">
        <f t="shared" si="2"/>
        <v>14259.36</v>
      </c>
    </row>
    <row r="19" spans="1:22" ht="14.25" customHeight="1" x14ac:dyDescent="0.35">
      <c r="A19" s="10" t="s">
        <v>119</v>
      </c>
      <c r="B19" s="11">
        <v>45654</v>
      </c>
      <c r="C19" s="10" t="s">
        <v>120</v>
      </c>
      <c r="D19" s="10" t="s">
        <v>121</v>
      </c>
      <c r="E19" s="10" t="s">
        <v>122</v>
      </c>
      <c r="F19" s="12">
        <v>8</v>
      </c>
      <c r="G19" s="12">
        <v>3450</v>
      </c>
      <c r="H19" s="12">
        <v>18.5</v>
      </c>
      <c r="I19" s="12">
        <v>22494</v>
      </c>
      <c r="J19" s="10" t="s">
        <v>51</v>
      </c>
      <c r="K19" s="10" t="s">
        <v>97</v>
      </c>
      <c r="L19" t="str">
        <f>IFERROR(VLOOKUP(D19,Products!A:F,3,0),"")</f>
        <v>Beauty</v>
      </c>
      <c r="M19" t="str">
        <f>IFERROR(VLOOKUP(E19,Sales_Reps!A:E,3,0),"")</f>
        <v>East</v>
      </c>
      <c r="N19" t="str">
        <f>IFERROR(VLOOKUP(C19,Customers!A:F,5,0),"")</f>
        <v>Corporate</v>
      </c>
      <c r="O19">
        <f>IFERROR(VLOOKUP(C19,Customers!A:F,3,0),"")</f>
        <v>32</v>
      </c>
      <c r="P19">
        <f>IFERROR(VLOOKUP(D19,Products!A:F,4,0),"")</f>
        <v>2420</v>
      </c>
      <c r="Q19" t="b">
        <f>IFERROR(VLOOKUP(D19,Products!A:F,6,0),"")</f>
        <v>1</v>
      </c>
      <c r="R19">
        <f t="shared" si="0"/>
        <v>0.29855072463768118</v>
      </c>
      <c r="S19">
        <f t="shared" si="1"/>
        <v>1</v>
      </c>
      <c r="T19">
        <f>IF(AND(S19&gt;1,COUNTIF($A$2:A19,A19)=1),1,0)</f>
        <v>0</v>
      </c>
      <c r="U19">
        <f>COUNTIF(Customers!$A$2:$A$301,C19)</f>
        <v>1</v>
      </c>
      <c r="V19">
        <f t="shared" si="2"/>
        <v>0</v>
      </c>
    </row>
    <row r="20" spans="1:22" ht="14.25" customHeight="1" x14ac:dyDescent="0.35">
      <c r="A20" s="10" t="s">
        <v>123</v>
      </c>
      <c r="B20" s="11">
        <v>45626</v>
      </c>
      <c r="C20" s="10" t="s">
        <v>124</v>
      </c>
      <c r="D20" s="10" t="s">
        <v>125</v>
      </c>
      <c r="E20" s="10" t="s">
        <v>118</v>
      </c>
      <c r="F20" s="12">
        <v>5</v>
      </c>
      <c r="G20" s="12">
        <v>3450</v>
      </c>
      <c r="H20" s="12">
        <v>7.3</v>
      </c>
      <c r="I20" s="12">
        <v>15990.75</v>
      </c>
      <c r="J20" s="10" t="s">
        <v>51</v>
      </c>
      <c r="K20" s="10" t="s">
        <v>76</v>
      </c>
      <c r="L20" t="str">
        <f>IFERROR(VLOOKUP(D20,Products!A:F,3,0),"")</f>
        <v>Sports</v>
      </c>
      <c r="M20" t="str">
        <f>IFERROR(VLOOKUP(E20,Sales_Reps!A:E,3,0),"")</f>
        <v>East</v>
      </c>
      <c r="N20" t="str">
        <f>IFERROR(VLOOKUP(C20,Customers!A:F,5,0),"")</f>
        <v>Retail</v>
      </c>
      <c r="O20">
        <f>IFERROR(VLOOKUP(C20,Customers!A:F,3,0),"")</f>
        <v>54</v>
      </c>
      <c r="P20">
        <f>IFERROR(VLOOKUP(D20,Products!A:F,4,0),"")</f>
        <v>2467</v>
      </c>
      <c r="Q20" t="b">
        <f>IFERROR(VLOOKUP(D20,Products!A:F,6,0),"")</f>
        <v>1</v>
      </c>
      <c r="R20">
        <f t="shared" si="0"/>
        <v>0.28492753623188405</v>
      </c>
      <c r="S20">
        <f t="shared" si="1"/>
        <v>1</v>
      </c>
      <c r="T20">
        <f>IF(AND(S20&gt;1,COUNTIF($A$2:A20,A20)=1),1,0)</f>
        <v>0</v>
      </c>
      <c r="U20">
        <f>COUNTIF(Customers!$A$2:$A$301,C20)</f>
        <v>1</v>
      </c>
      <c r="V20">
        <f t="shared" si="2"/>
        <v>0</v>
      </c>
    </row>
    <row r="21" spans="1:22" ht="14.25" customHeight="1" x14ac:dyDescent="0.35">
      <c r="A21" s="10" t="s">
        <v>126</v>
      </c>
      <c r="B21" s="11">
        <v>45394</v>
      </c>
      <c r="C21" s="10" t="s">
        <v>127</v>
      </c>
      <c r="D21" s="10" t="s">
        <v>128</v>
      </c>
      <c r="E21" s="10" t="s">
        <v>118</v>
      </c>
      <c r="F21" s="12">
        <v>8</v>
      </c>
      <c r="G21" s="12">
        <v>1080</v>
      </c>
      <c r="H21" s="12">
        <v>2.2000000000000002</v>
      </c>
      <c r="I21" s="12">
        <v>8449.92</v>
      </c>
      <c r="J21" s="10" t="s">
        <v>51</v>
      </c>
      <c r="K21" s="10" t="s">
        <v>58</v>
      </c>
      <c r="L21" t="str">
        <f>IFERROR(VLOOKUP(D21,Products!A:F,3,0),"")</f>
        <v>Home</v>
      </c>
      <c r="M21" t="str">
        <f>IFERROR(VLOOKUP(E21,Sales_Reps!A:E,3,0),"")</f>
        <v>East</v>
      </c>
      <c r="N21" t="str">
        <f>IFERROR(VLOOKUP(C21,Customers!A:F,5,0),"")</f>
        <v>Retail</v>
      </c>
      <c r="O21">
        <f>IFERROR(VLOOKUP(C21,Customers!A:F,3,0),"")</f>
        <v>49</v>
      </c>
      <c r="P21">
        <f>IFERROR(VLOOKUP(D21,Products!A:F,4,0),"")</f>
        <v>519</v>
      </c>
      <c r="Q21" t="b">
        <f>IFERROR(VLOOKUP(D21,Products!A:F,6,0),"")</f>
        <v>1</v>
      </c>
      <c r="R21">
        <f t="shared" si="0"/>
        <v>0.51944444444444449</v>
      </c>
      <c r="S21">
        <f t="shared" si="1"/>
        <v>1</v>
      </c>
      <c r="T21">
        <f>IF(AND(S21&gt;1,COUNTIF($A$2:A21,A21)=1),1,0)</f>
        <v>0</v>
      </c>
      <c r="U21">
        <f>COUNTIF(Customers!$A$2:$A$301,C21)</f>
        <v>1</v>
      </c>
      <c r="V21">
        <f t="shared" si="2"/>
        <v>0</v>
      </c>
    </row>
    <row r="22" spans="1:22" ht="14.25" customHeight="1" x14ac:dyDescent="0.35">
      <c r="A22" s="10" t="s">
        <v>129</v>
      </c>
      <c r="B22" s="11">
        <v>45470</v>
      </c>
      <c r="C22" s="10" t="s">
        <v>130</v>
      </c>
      <c r="D22" s="10" t="s">
        <v>131</v>
      </c>
      <c r="E22" s="10" t="s">
        <v>67</v>
      </c>
      <c r="F22" s="12">
        <v>7</v>
      </c>
      <c r="G22" s="12">
        <v>2480</v>
      </c>
      <c r="H22" s="12">
        <v>28.7</v>
      </c>
      <c r="I22" s="12">
        <v>12377.68</v>
      </c>
      <c r="J22" s="10" t="s">
        <v>51</v>
      </c>
      <c r="K22" s="10" t="s">
        <v>97</v>
      </c>
      <c r="L22" t="str">
        <f>IFERROR(VLOOKUP(D22,Products!A:F,3,0),"")</f>
        <v>Apparel</v>
      </c>
      <c r="M22" t="str">
        <f>IFERROR(VLOOKUP(E22,Sales_Reps!A:E,3,0),"")</f>
        <v>North</v>
      </c>
      <c r="N22" t="str">
        <f>IFERROR(VLOOKUP(C22,Customers!A:F,5,0),"")</f>
        <v>Retail</v>
      </c>
      <c r="O22">
        <f>IFERROR(VLOOKUP(C22,Customers!A:F,3,0),"")</f>
        <v>32</v>
      </c>
      <c r="P22">
        <f>IFERROR(VLOOKUP(D22,Products!A:F,4,0),"")</f>
        <v>1173</v>
      </c>
      <c r="Q22" t="b">
        <f>IFERROR(VLOOKUP(D22,Products!A:F,6,0),"")</f>
        <v>1</v>
      </c>
      <c r="R22">
        <f t="shared" si="0"/>
        <v>0.52701612903225803</v>
      </c>
      <c r="S22">
        <f t="shared" si="1"/>
        <v>1</v>
      </c>
      <c r="T22">
        <f>IF(AND(S22&gt;1,COUNTIF($A$2:A22,A22)=1),1,0)</f>
        <v>0</v>
      </c>
      <c r="U22">
        <f>COUNTIF(Customers!$A$2:$A$301,C22)</f>
        <v>1</v>
      </c>
      <c r="V22">
        <f t="shared" si="2"/>
        <v>0</v>
      </c>
    </row>
    <row r="23" spans="1:22" ht="14.25" customHeight="1" x14ac:dyDescent="0.35">
      <c r="A23" s="10" t="s">
        <v>132</v>
      </c>
      <c r="B23" s="11">
        <v>45354</v>
      </c>
      <c r="C23" s="10" t="s">
        <v>133</v>
      </c>
      <c r="D23" s="10" t="s">
        <v>107</v>
      </c>
      <c r="E23" s="10" t="s">
        <v>134</v>
      </c>
      <c r="F23" s="12">
        <v>4</v>
      </c>
      <c r="G23" s="12">
        <v>3250</v>
      </c>
      <c r="H23" s="12">
        <v>24.6</v>
      </c>
      <c r="I23" s="12">
        <v>9802</v>
      </c>
      <c r="J23" s="10" t="s">
        <v>51</v>
      </c>
      <c r="K23" s="10" t="s">
        <v>76</v>
      </c>
      <c r="L23" t="str">
        <f>IFERROR(VLOOKUP(D23,Products!A:F,3,0),"")</f>
        <v>Home</v>
      </c>
      <c r="M23" t="str">
        <f>IFERROR(VLOOKUP(E23,Sales_Reps!A:E,3,0),"")</f>
        <v>West</v>
      </c>
      <c r="N23" t="str">
        <f>IFERROR(VLOOKUP(C23,Customers!A:F,5,0),"")</f>
        <v>Retail</v>
      </c>
      <c r="O23">
        <f>IFERROR(VLOOKUP(C23,Customers!A:F,3,0),"")</f>
        <v>34</v>
      </c>
      <c r="P23">
        <f>IFERROR(VLOOKUP(D23,Products!A:F,4,0),"")</f>
        <v>1556</v>
      </c>
      <c r="Q23" t="b">
        <f>IFERROR(VLOOKUP(D23,Products!A:F,6,0),"")</f>
        <v>1</v>
      </c>
      <c r="R23">
        <f t="shared" si="0"/>
        <v>0.52123076923076928</v>
      </c>
      <c r="S23">
        <f t="shared" si="1"/>
        <v>1</v>
      </c>
      <c r="T23">
        <f>IF(AND(S23&gt;1,COUNTIF($A$2:A23,A23)=1),1,0)</f>
        <v>0</v>
      </c>
      <c r="U23">
        <f>COUNTIF(Customers!$A$2:$A$301,C23)</f>
        <v>1</v>
      </c>
      <c r="V23">
        <f t="shared" si="2"/>
        <v>0</v>
      </c>
    </row>
    <row r="24" spans="1:22" ht="14.25" customHeight="1" x14ac:dyDescent="0.35">
      <c r="A24" s="10" t="s">
        <v>135</v>
      </c>
      <c r="B24" s="11">
        <v>45530</v>
      </c>
      <c r="C24" s="10" t="s">
        <v>136</v>
      </c>
      <c r="D24" s="10" t="s">
        <v>137</v>
      </c>
      <c r="E24" s="10" t="s">
        <v>134</v>
      </c>
      <c r="F24" s="12">
        <v>9</v>
      </c>
      <c r="G24" s="12">
        <v>2720</v>
      </c>
      <c r="H24" s="12">
        <v>26.2</v>
      </c>
      <c r="I24" s="12">
        <v>18066.240000000002</v>
      </c>
      <c r="J24" s="10" t="s">
        <v>51</v>
      </c>
      <c r="K24" s="10" t="s">
        <v>52</v>
      </c>
      <c r="L24" t="str">
        <f>IFERROR(VLOOKUP(D24,Products!A:F,3,0),"")</f>
        <v>Apparel</v>
      </c>
      <c r="M24" t="str">
        <f>IFERROR(VLOOKUP(E24,Sales_Reps!A:E,3,0),"")</f>
        <v>West</v>
      </c>
      <c r="N24" t="str">
        <f>IFERROR(VLOOKUP(C24,Customers!A:F,5,0),"")</f>
        <v>Retail</v>
      </c>
      <c r="O24">
        <f>IFERROR(VLOOKUP(C24,Customers!A:F,3,0),"")</f>
        <v>50</v>
      </c>
      <c r="P24">
        <f>IFERROR(VLOOKUP(D24,Products!A:F,4,0),"")</f>
        <v>1962</v>
      </c>
      <c r="Q24" t="b">
        <f>IFERROR(VLOOKUP(D24,Products!A:F,6,0),"")</f>
        <v>1</v>
      </c>
      <c r="R24">
        <f t="shared" si="0"/>
        <v>0.2786764705882353</v>
      </c>
      <c r="S24">
        <f t="shared" si="1"/>
        <v>1</v>
      </c>
      <c r="T24">
        <f>IF(AND(S24&gt;1,COUNTIF($A$2:A24,A24)=1),1,0)</f>
        <v>0</v>
      </c>
      <c r="U24">
        <f>COUNTIF(Customers!$A$2:$A$301,C24)</f>
        <v>1</v>
      </c>
      <c r="V24">
        <f t="shared" si="2"/>
        <v>0</v>
      </c>
    </row>
    <row r="25" spans="1:22" ht="14.25" customHeight="1" x14ac:dyDescent="0.35">
      <c r="A25" s="10" t="s">
        <v>138</v>
      </c>
      <c r="B25" s="11">
        <v>45472</v>
      </c>
      <c r="C25" s="10" t="s">
        <v>139</v>
      </c>
      <c r="D25" s="10" t="s">
        <v>140</v>
      </c>
      <c r="E25" s="10" t="s">
        <v>112</v>
      </c>
      <c r="F25" s="12">
        <v>2</v>
      </c>
      <c r="G25" s="12">
        <v>1650</v>
      </c>
      <c r="H25" s="12">
        <v>9.4</v>
      </c>
      <c r="I25" s="12">
        <v>2989.8</v>
      </c>
      <c r="J25" s="10" t="s">
        <v>51</v>
      </c>
      <c r="K25" s="10" t="s">
        <v>97</v>
      </c>
      <c r="L25" t="str">
        <f>IFERROR(VLOOKUP(D25,Products!A:F,3,0),"")</f>
        <v>Beauty</v>
      </c>
      <c r="M25" t="str">
        <f>IFERROR(VLOOKUP(E25,Sales_Reps!A:E,3,0),"")</f>
        <v>North</v>
      </c>
      <c r="N25" t="str">
        <f>IFERROR(VLOOKUP(C25,Customers!A:F,5,0),"")</f>
        <v>SMB</v>
      </c>
      <c r="O25">
        <f>IFERROR(VLOOKUP(C25,Customers!A:F,3,0),"")</f>
        <v>40</v>
      </c>
      <c r="P25">
        <f>IFERROR(VLOOKUP(D25,Products!A:F,4,0),"")</f>
        <v>1222</v>
      </c>
      <c r="Q25" t="b">
        <f>IFERROR(VLOOKUP(D25,Products!A:F,6,0),"")</f>
        <v>1</v>
      </c>
      <c r="R25">
        <f t="shared" si="0"/>
        <v>0.2593939393939394</v>
      </c>
      <c r="S25">
        <f t="shared" si="1"/>
        <v>1</v>
      </c>
      <c r="T25">
        <f>IF(AND(S25&gt;1,COUNTIF($A$2:A25,A25)=1),1,0)</f>
        <v>0</v>
      </c>
      <c r="U25">
        <f>COUNTIF(Customers!$A$2:$A$301,C25)</f>
        <v>1</v>
      </c>
      <c r="V25">
        <f t="shared" si="2"/>
        <v>0</v>
      </c>
    </row>
    <row r="26" spans="1:22" ht="14.25" customHeight="1" x14ac:dyDescent="0.35">
      <c r="A26" s="10" t="s">
        <v>141</v>
      </c>
      <c r="B26" s="11">
        <v>45394</v>
      </c>
      <c r="C26" s="10" t="s">
        <v>142</v>
      </c>
      <c r="D26" s="10" t="s">
        <v>143</v>
      </c>
      <c r="E26" s="10" t="s">
        <v>118</v>
      </c>
      <c r="F26" s="12">
        <v>6</v>
      </c>
      <c r="G26" s="12">
        <v>3350</v>
      </c>
      <c r="H26" s="12">
        <v>6.1</v>
      </c>
      <c r="I26" s="12">
        <v>18873.900000000001</v>
      </c>
      <c r="J26" s="10" t="s">
        <v>57</v>
      </c>
      <c r="K26" s="10" t="s">
        <v>58</v>
      </c>
      <c r="L26" t="str">
        <f>IFERROR(VLOOKUP(D26,Products!A:F,3,0),"")</f>
        <v>Beauty</v>
      </c>
      <c r="M26" t="str">
        <f>IFERROR(VLOOKUP(E26,Sales_Reps!A:E,3,0),"")</f>
        <v>East</v>
      </c>
      <c r="N26" t="str">
        <f>IFERROR(VLOOKUP(C26,Customers!A:F,5,0),"")</f>
        <v>Corporate</v>
      </c>
      <c r="O26">
        <f>IFERROR(VLOOKUP(C26,Customers!A:F,3,0),"")</f>
        <v>55</v>
      </c>
      <c r="P26">
        <f>IFERROR(VLOOKUP(D26,Products!A:F,4,0),"")</f>
        <v>1728</v>
      </c>
      <c r="Q26" t="b">
        <f>IFERROR(VLOOKUP(D26,Products!A:F,6,0),"")</f>
        <v>1</v>
      </c>
      <c r="R26">
        <f t="shared" si="0"/>
        <v>0.48417910447761192</v>
      </c>
      <c r="S26">
        <f t="shared" si="1"/>
        <v>1</v>
      </c>
      <c r="T26">
        <f>IF(AND(S26&gt;1,COUNTIF($A$2:A26,A26)=1),1,0)</f>
        <v>0</v>
      </c>
      <c r="U26">
        <f>COUNTIF(Customers!$A$2:$A$301,C26)</f>
        <v>1</v>
      </c>
      <c r="V26">
        <f t="shared" si="2"/>
        <v>0</v>
      </c>
    </row>
    <row r="27" spans="1:22" ht="14.25" customHeight="1" x14ac:dyDescent="0.35">
      <c r="A27" s="10" t="s">
        <v>144</v>
      </c>
      <c r="B27" s="11">
        <v>45570</v>
      </c>
      <c r="C27" s="10" t="s">
        <v>145</v>
      </c>
      <c r="D27" s="10" t="s">
        <v>146</v>
      </c>
      <c r="E27" s="10" t="s">
        <v>85</v>
      </c>
      <c r="F27" s="12">
        <v>2</v>
      </c>
      <c r="G27" s="12">
        <v>1010</v>
      </c>
      <c r="H27" s="12">
        <v>16.5</v>
      </c>
      <c r="I27" s="12">
        <v>1686.7</v>
      </c>
      <c r="J27" s="10" t="s">
        <v>104</v>
      </c>
      <c r="K27" s="10" t="s">
        <v>63</v>
      </c>
      <c r="L27" t="str">
        <f>IFERROR(VLOOKUP(D27,Products!A:F,3,0),"")</f>
        <v>Sports</v>
      </c>
      <c r="M27" t="str">
        <f>IFERROR(VLOOKUP(E27,Sales_Reps!A:E,3,0),"")</f>
        <v>East</v>
      </c>
      <c r="N27" t="str">
        <f>IFERROR(VLOOKUP(C27,Customers!A:F,5,0),"")</f>
        <v>Retail</v>
      </c>
      <c r="O27">
        <f>IFERROR(VLOOKUP(C27,Customers!A:F,3,0),"")</f>
        <v>31</v>
      </c>
      <c r="P27">
        <f>IFERROR(VLOOKUP(D27,Products!A:F,4,0),"")</f>
        <v>516</v>
      </c>
      <c r="Q27" t="b">
        <f>IFERROR(VLOOKUP(D27,Products!A:F,6,0),"")</f>
        <v>1</v>
      </c>
      <c r="R27">
        <f t="shared" si="0"/>
        <v>0.4891089108910891</v>
      </c>
      <c r="S27">
        <f t="shared" si="1"/>
        <v>1</v>
      </c>
      <c r="T27">
        <f>IF(AND(S27&gt;1,COUNTIF($A$2:A27,A27)=1),1,0)</f>
        <v>0</v>
      </c>
      <c r="U27">
        <f>COUNTIF(Customers!$A$2:$A$301,C27)</f>
        <v>1</v>
      </c>
      <c r="V27">
        <f t="shared" si="2"/>
        <v>0</v>
      </c>
    </row>
    <row r="28" spans="1:22" ht="14.25" customHeight="1" x14ac:dyDescent="0.35">
      <c r="A28" s="10" t="s">
        <v>147</v>
      </c>
      <c r="B28" s="11">
        <v>45401</v>
      </c>
      <c r="C28" s="10" t="s">
        <v>60</v>
      </c>
      <c r="D28" s="10" t="s">
        <v>148</v>
      </c>
      <c r="E28" s="10" t="s">
        <v>67</v>
      </c>
      <c r="F28" s="12">
        <v>5</v>
      </c>
      <c r="G28" s="12">
        <v>4880</v>
      </c>
      <c r="H28" s="12">
        <v>23.6</v>
      </c>
      <c r="I28" s="12">
        <v>18641.599999999999</v>
      </c>
      <c r="J28" s="10" t="s">
        <v>51</v>
      </c>
      <c r="K28" s="10" t="s">
        <v>63</v>
      </c>
      <c r="L28" t="str">
        <f>IFERROR(VLOOKUP(D28,Products!A:F,3,0),"")</f>
        <v>Beauty</v>
      </c>
      <c r="M28" t="str">
        <f>IFERROR(VLOOKUP(E28,Sales_Reps!A:E,3,0),"")</f>
        <v>North</v>
      </c>
      <c r="N28" t="str">
        <f>IFERROR(VLOOKUP(C28,Customers!A:F,5,0),"")</f>
        <v>Retail</v>
      </c>
      <c r="O28">
        <f>IFERROR(VLOOKUP(C28,Customers!A:F,3,0),"")</f>
        <v>52</v>
      </c>
      <c r="P28">
        <f>IFERROR(VLOOKUP(D28,Products!A:F,4,0),"")</f>
        <v>2768</v>
      </c>
      <c r="Q28" t="b">
        <f>IFERROR(VLOOKUP(D28,Products!A:F,6,0),"")</f>
        <v>1</v>
      </c>
      <c r="R28">
        <f t="shared" si="0"/>
        <v>0.43278688524590164</v>
      </c>
      <c r="S28">
        <f t="shared" si="1"/>
        <v>1</v>
      </c>
      <c r="T28">
        <f>IF(AND(S28&gt;1,COUNTIF($A$2:A28,A28)=1),1,0)</f>
        <v>0</v>
      </c>
      <c r="U28">
        <f>COUNTIF(Customers!$A$2:$A$301,C28)</f>
        <v>1</v>
      </c>
      <c r="V28">
        <f t="shared" si="2"/>
        <v>0</v>
      </c>
    </row>
    <row r="29" spans="1:22" ht="14.25" customHeight="1" x14ac:dyDescent="0.35">
      <c r="A29" s="10" t="s">
        <v>149</v>
      </c>
      <c r="B29" s="11">
        <v>45517</v>
      </c>
      <c r="C29" s="10" t="s">
        <v>150</v>
      </c>
      <c r="D29" s="10" t="s">
        <v>151</v>
      </c>
      <c r="E29" s="10" t="s">
        <v>152</v>
      </c>
      <c r="F29" s="12">
        <v>7</v>
      </c>
      <c r="G29" s="12">
        <v>3570</v>
      </c>
      <c r="H29" s="12">
        <v>5.8</v>
      </c>
      <c r="I29" s="12">
        <v>23540.58</v>
      </c>
      <c r="J29" s="10" t="s">
        <v>104</v>
      </c>
      <c r="K29" s="10" t="s">
        <v>58</v>
      </c>
      <c r="L29" t="str">
        <f>IFERROR(VLOOKUP(D29,Products!A:F,3,0),"")</f>
        <v>Electronics</v>
      </c>
      <c r="M29" t="str">
        <f>IFERROR(VLOOKUP(E29,Sales_Reps!A:E,3,0),"")</f>
        <v>South</v>
      </c>
      <c r="N29" t="str">
        <f>IFERROR(VLOOKUP(C29,Customers!A:F,5,0),"")</f>
        <v>SMB</v>
      </c>
      <c r="O29">
        <f>IFERROR(VLOOKUP(C29,Customers!A:F,3,0),"")</f>
        <v>52</v>
      </c>
      <c r="P29">
        <f>IFERROR(VLOOKUP(D29,Products!A:F,4,0),"")</f>
        <v>1665</v>
      </c>
      <c r="Q29" t="b">
        <f>IFERROR(VLOOKUP(D29,Products!A:F,6,0),"")</f>
        <v>1</v>
      </c>
      <c r="R29">
        <f t="shared" si="0"/>
        <v>0.53361344537815125</v>
      </c>
      <c r="S29">
        <f t="shared" si="1"/>
        <v>1</v>
      </c>
      <c r="T29">
        <f>IF(AND(S29&gt;1,COUNTIF($A$2:A29,A29)=1),1,0)</f>
        <v>0</v>
      </c>
      <c r="U29">
        <f>COUNTIF(Customers!$A$2:$A$301,C29)</f>
        <v>1</v>
      </c>
      <c r="V29">
        <f t="shared" si="2"/>
        <v>0</v>
      </c>
    </row>
    <row r="30" spans="1:22" ht="14.25" customHeight="1" x14ac:dyDescent="0.35">
      <c r="A30" s="10" t="s">
        <v>153</v>
      </c>
      <c r="B30" s="11">
        <v>45363</v>
      </c>
      <c r="C30" s="10" t="s">
        <v>154</v>
      </c>
      <c r="D30" s="10" t="s">
        <v>155</v>
      </c>
      <c r="E30" s="10" t="s">
        <v>156</v>
      </c>
      <c r="F30" s="12">
        <v>9</v>
      </c>
      <c r="G30" s="12">
        <v>5100</v>
      </c>
      <c r="H30" s="12">
        <v>16.7</v>
      </c>
      <c r="I30" s="12">
        <v>38234.699999999997</v>
      </c>
      <c r="J30" s="10" t="s">
        <v>51</v>
      </c>
      <c r="K30" s="10" t="s">
        <v>97</v>
      </c>
      <c r="L30" t="str">
        <f>IFERROR(VLOOKUP(D30,Products!A:F,3,0),"")</f>
        <v>Beauty</v>
      </c>
      <c r="M30" t="str">
        <f>IFERROR(VLOOKUP(E30,Sales_Reps!A:E,3,0),"")</f>
        <v>East</v>
      </c>
      <c r="N30" t="str">
        <f>IFERROR(VLOOKUP(C30,Customers!A:F,5,0),"")</f>
        <v>Corporate</v>
      </c>
      <c r="O30">
        <f>IFERROR(VLOOKUP(C30,Customers!A:F,3,0),"")</f>
        <v>56</v>
      </c>
      <c r="P30">
        <f>IFERROR(VLOOKUP(D30,Products!A:F,4,0),"")</f>
        <v>2237</v>
      </c>
      <c r="Q30" t="b">
        <f>IFERROR(VLOOKUP(D30,Products!A:F,6,0),"")</f>
        <v>1</v>
      </c>
      <c r="R30">
        <f t="shared" si="0"/>
        <v>0.56137254901960787</v>
      </c>
      <c r="S30">
        <f t="shared" si="1"/>
        <v>1</v>
      </c>
      <c r="T30">
        <f>IF(AND(S30&gt;1,COUNTIF($A$2:A30,A30)=1),1,0)</f>
        <v>0</v>
      </c>
      <c r="U30">
        <f>COUNTIF(Customers!$A$2:$A$301,C30)</f>
        <v>1</v>
      </c>
      <c r="V30">
        <f t="shared" si="2"/>
        <v>0</v>
      </c>
    </row>
    <row r="31" spans="1:22" ht="14.25" customHeight="1" x14ac:dyDescent="0.35">
      <c r="A31" s="10" t="s">
        <v>157</v>
      </c>
      <c r="B31" s="11">
        <v>45367</v>
      </c>
      <c r="C31" s="10" t="s">
        <v>158</v>
      </c>
      <c r="D31" s="10" t="s">
        <v>159</v>
      </c>
      <c r="E31" s="10" t="s">
        <v>56</v>
      </c>
      <c r="F31" s="12">
        <v>3</v>
      </c>
      <c r="G31" s="12">
        <v>2860</v>
      </c>
      <c r="H31" s="12">
        <v>25.8</v>
      </c>
      <c r="I31" s="12">
        <v>6366.36</v>
      </c>
      <c r="J31" s="10" t="s">
        <v>51</v>
      </c>
      <c r="K31" s="10" t="s">
        <v>52</v>
      </c>
      <c r="L31" t="str">
        <f>IFERROR(VLOOKUP(D31,Products!A:F,3,0),"")</f>
        <v>Sports</v>
      </c>
      <c r="M31" t="str">
        <f>IFERROR(VLOOKUP(E31,Sales_Reps!A:E,3,0),"")</f>
        <v>North</v>
      </c>
      <c r="N31" t="str">
        <f>IFERROR(VLOOKUP(C31,Customers!A:F,5,0),"")</f>
        <v>SMB</v>
      </c>
      <c r="O31">
        <f>IFERROR(VLOOKUP(C31,Customers!A:F,3,0),"")</f>
        <v>44</v>
      </c>
      <c r="P31">
        <f>IFERROR(VLOOKUP(D31,Products!A:F,4,0),"")</f>
        <v>2028</v>
      </c>
      <c r="Q31" t="b">
        <f>IFERROR(VLOOKUP(D31,Products!A:F,6,0),"")</f>
        <v>1</v>
      </c>
      <c r="R31">
        <f t="shared" si="0"/>
        <v>0.29090909090909089</v>
      </c>
      <c r="S31">
        <f t="shared" si="1"/>
        <v>1</v>
      </c>
      <c r="T31">
        <f>IF(AND(S31&gt;1,COUNTIF($A$2:A31,A31)=1),1,0)</f>
        <v>0</v>
      </c>
      <c r="U31">
        <f>COUNTIF(Customers!$A$2:$A$301,C31)</f>
        <v>1</v>
      </c>
      <c r="V31">
        <f t="shared" si="2"/>
        <v>0</v>
      </c>
    </row>
    <row r="32" spans="1:22" ht="14.25" customHeight="1" x14ac:dyDescent="0.35">
      <c r="A32" s="10" t="s">
        <v>160</v>
      </c>
      <c r="B32" s="11">
        <v>45569</v>
      </c>
      <c r="C32" s="10" t="s">
        <v>161</v>
      </c>
      <c r="D32" s="10" t="s">
        <v>91</v>
      </c>
      <c r="E32" s="10" t="s">
        <v>67</v>
      </c>
      <c r="F32" s="12">
        <v>7</v>
      </c>
      <c r="G32" s="12">
        <v>970</v>
      </c>
      <c r="H32" s="12">
        <v>29.8</v>
      </c>
      <c r="I32" s="12">
        <v>4766.58</v>
      </c>
      <c r="J32" s="10" t="s">
        <v>51</v>
      </c>
      <c r="K32" s="10" t="s">
        <v>52</v>
      </c>
      <c r="L32" t="str">
        <f>IFERROR(VLOOKUP(D32,Products!A:F,3,0),"")</f>
        <v>Grocery</v>
      </c>
      <c r="M32" t="str">
        <f>IFERROR(VLOOKUP(E32,Sales_Reps!A:E,3,0),"")</f>
        <v>North</v>
      </c>
      <c r="N32" t="str">
        <f>IFERROR(VLOOKUP(C32,Customers!A:F,5,0),"")</f>
        <v>Corporate</v>
      </c>
      <c r="O32">
        <f>IFERROR(VLOOKUP(C32,Customers!A:F,3,0),"")</f>
        <v>47</v>
      </c>
      <c r="P32">
        <f>IFERROR(VLOOKUP(D32,Products!A:F,4,0),"")</f>
        <v>434</v>
      </c>
      <c r="Q32" t="b">
        <f>IFERROR(VLOOKUP(D32,Products!A:F,6,0),"")</f>
        <v>1</v>
      </c>
      <c r="R32">
        <f t="shared" si="0"/>
        <v>0.5525773195876289</v>
      </c>
      <c r="S32">
        <f t="shared" si="1"/>
        <v>1</v>
      </c>
      <c r="T32">
        <f>IF(AND(S32&gt;1,COUNTIF($A$2:A32,A32)=1),1,0)</f>
        <v>0</v>
      </c>
      <c r="U32">
        <f>COUNTIF(Customers!$A$2:$A$301,C32)</f>
        <v>1</v>
      </c>
      <c r="V32">
        <f t="shared" si="2"/>
        <v>0</v>
      </c>
    </row>
    <row r="33" spans="1:22" ht="14.25" customHeight="1" x14ac:dyDescent="0.35">
      <c r="A33" s="10" t="s">
        <v>162</v>
      </c>
      <c r="B33" s="11">
        <v>45641</v>
      </c>
      <c r="C33" s="10" t="s">
        <v>163</v>
      </c>
      <c r="D33" s="10" t="s">
        <v>164</v>
      </c>
      <c r="E33" s="10" t="s">
        <v>165</v>
      </c>
      <c r="F33" s="12">
        <v>4</v>
      </c>
      <c r="G33" s="12">
        <v>2760</v>
      </c>
      <c r="H33" s="12">
        <v>5.9</v>
      </c>
      <c r="I33" s="12">
        <v>10388.64</v>
      </c>
      <c r="J33" s="10" t="s">
        <v>51</v>
      </c>
      <c r="K33" s="10" t="s">
        <v>97</v>
      </c>
      <c r="L33" t="str">
        <f>IFERROR(VLOOKUP(D33,Products!A:F,3,0),"")</f>
        <v>Grocery</v>
      </c>
      <c r="M33" t="str">
        <f>IFERROR(VLOOKUP(E33,Sales_Reps!A:E,3,0),"")</f>
        <v>West</v>
      </c>
      <c r="N33" t="str">
        <f>IFERROR(VLOOKUP(C33,Customers!A:F,5,0),"")</f>
        <v>Retail</v>
      </c>
      <c r="O33">
        <f>IFERROR(VLOOKUP(C33,Customers!A:F,3,0),"")</f>
        <v>53</v>
      </c>
      <c r="P33">
        <f>IFERROR(VLOOKUP(D33,Products!A:F,4,0),"")</f>
        <v>1435</v>
      </c>
      <c r="Q33" t="b">
        <f>IFERROR(VLOOKUP(D33,Products!A:F,6,0),"")</f>
        <v>1</v>
      </c>
      <c r="R33">
        <f t="shared" si="0"/>
        <v>0.48007246376811596</v>
      </c>
      <c r="S33">
        <f t="shared" si="1"/>
        <v>1</v>
      </c>
      <c r="T33">
        <f>IF(AND(S33&gt;1,COUNTIF($A$2:A33,A33)=1),1,0)</f>
        <v>0</v>
      </c>
      <c r="U33">
        <f>COUNTIF(Customers!$A$2:$A$301,C33)</f>
        <v>1</v>
      </c>
      <c r="V33">
        <f t="shared" si="2"/>
        <v>0</v>
      </c>
    </row>
    <row r="34" spans="1:22" ht="14.25" customHeight="1" x14ac:dyDescent="0.35">
      <c r="A34" s="10" t="s">
        <v>166</v>
      </c>
      <c r="B34" s="11">
        <v>45343</v>
      </c>
      <c r="C34" s="10" t="s">
        <v>120</v>
      </c>
      <c r="D34" s="10" t="s">
        <v>167</v>
      </c>
      <c r="E34" s="10" t="s">
        <v>168</v>
      </c>
      <c r="F34" s="12">
        <v>10</v>
      </c>
      <c r="G34" s="12">
        <v>660</v>
      </c>
      <c r="H34" s="12">
        <v>18.3</v>
      </c>
      <c r="I34" s="12">
        <v>5392.2</v>
      </c>
      <c r="J34" s="10" t="s">
        <v>57</v>
      </c>
      <c r="K34" s="10" t="s">
        <v>97</v>
      </c>
      <c r="L34" t="str">
        <f>IFERROR(VLOOKUP(D34,Products!A:F,3,0),"")</f>
        <v>Home</v>
      </c>
      <c r="M34" t="str">
        <f>IFERROR(VLOOKUP(E34,Sales_Reps!A:E,3,0),"")</f>
        <v>South</v>
      </c>
      <c r="N34" t="str">
        <f>IFERROR(VLOOKUP(C34,Customers!A:F,5,0),"")</f>
        <v>Corporate</v>
      </c>
      <c r="O34">
        <f>IFERROR(VLOOKUP(C34,Customers!A:F,3,0),"")</f>
        <v>32</v>
      </c>
      <c r="P34">
        <f>IFERROR(VLOOKUP(D34,Products!A:F,4,0),"")</f>
        <v>329</v>
      </c>
      <c r="Q34" t="b">
        <f>IFERROR(VLOOKUP(D34,Products!A:F,6,0),"")</f>
        <v>1</v>
      </c>
      <c r="R34">
        <f t="shared" si="0"/>
        <v>0.50151515151515147</v>
      </c>
      <c r="S34">
        <f t="shared" si="1"/>
        <v>1</v>
      </c>
      <c r="T34">
        <f>IF(AND(S34&gt;1,COUNTIF($A$2:A34,A34)=1),1,0)</f>
        <v>0</v>
      </c>
      <c r="U34">
        <f>COUNTIF(Customers!$A$2:$A$301,C34)</f>
        <v>1</v>
      </c>
      <c r="V34">
        <f t="shared" si="2"/>
        <v>0</v>
      </c>
    </row>
    <row r="35" spans="1:22" ht="14.25" customHeight="1" x14ac:dyDescent="0.35">
      <c r="A35" s="10" t="s">
        <v>169</v>
      </c>
      <c r="B35" s="11">
        <v>45576</v>
      </c>
      <c r="C35" s="10" t="s">
        <v>170</v>
      </c>
      <c r="D35" s="10" t="s">
        <v>107</v>
      </c>
      <c r="E35" s="10" t="s">
        <v>85</v>
      </c>
      <c r="F35" s="12">
        <v>1</v>
      </c>
      <c r="G35" s="12">
        <v>3250</v>
      </c>
      <c r="H35" s="12">
        <v>10.7</v>
      </c>
      <c r="I35" s="12">
        <v>2902.25</v>
      </c>
      <c r="J35" s="10" t="s">
        <v>51</v>
      </c>
      <c r="K35" s="10" t="s">
        <v>97</v>
      </c>
      <c r="L35" t="str">
        <f>IFERROR(VLOOKUP(D35,Products!A:F,3,0),"")</f>
        <v>Home</v>
      </c>
      <c r="M35" t="str">
        <f>IFERROR(VLOOKUP(E35,Sales_Reps!A:E,3,0),"")</f>
        <v>East</v>
      </c>
      <c r="N35" t="str">
        <f>IFERROR(VLOOKUP(C35,Customers!A:F,5,0),"")</f>
        <v>SMB</v>
      </c>
      <c r="O35">
        <f>IFERROR(VLOOKUP(C35,Customers!A:F,3,0),"")</f>
        <v>40</v>
      </c>
      <c r="P35">
        <f>IFERROR(VLOOKUP(D35,Products!A:F,4,0),"")</f>
        <v>1556</v>
      </c>
      <c r="Q35" t="b">
        <f>IFERROR(VLOOKUP(D35,Products!A:F,6,0),"")</f>
        <v>1</v>
      </c>
      <c r="R35">
        <f t="shared" si="0"/>
        <v>0.52123076923076928</v>
      </c>
      <c r="S35">
        <f t="shared" si="1"/>
        <v>1</v>
      </c>
      <c r="T35">
        <f>IF(AND(S35&gt;1,COUNTIF($A$2:A35,A35)=1),1,0)</f>
        <v>0</v>
      </c>
      <c r="U35">
        <f>COUNTIF(Customers!$A$2:$A$301,C35)</f>
        <v>1</v>
      </c>
      <c r="V35">
        <f t="shared" si="2"/>
        <v>0</v>
      </c>
    </row>
    <row r="36" spans="1:22" ht="14.25" customHeight="1" x14ac:dyDescent="0.35">
      <c r="A36" s="10" t="s">
        <v>171</v>
      </c>
      <c r="B36" s="11">
        <v>45462</v>
      </c>
      <c r="C36" s="10" t="s">
        <v>172</v>
      </c>
      <c r="D36" s="10" t="s">
        <v>155</v>
      </c>
      <c r="E36" s="10" t="s">
        <v>85</v>
      </c>
      <c r="F36" s="12">
        <v>8</v>
      </c>
      <c r="G36" s="12">
        <v>5100</v>
      </c>
      <c r="H36" s="12">
        <v>26.4</v>
      </c>
      <c r="I36" s="12">
        <v>30028.799999999999</v>
      </c>
      <c r="J36" s="10" t="s">
        <v>104</v>
      </c>
      <c r="K36" s="10" t="s">
        <v>97</v>
      </c>
      <c r="L36" t="str">
        <f>IFERROR(VLOOKUP(D36,Products!A:F,3,0),"")</f>
        <v>Beauty</v>
      </c>
      <c r="M36" t="str">
        <f>IFERROR(VLOOKUP(E36,Sales_Reps!A:E,3,0),"")</f>
        <v>East</v>
      </c>
      <c r="N36" t="str">
        <f>IFERROR(VLOOKUP(C36,Customers!A:F,5,0),"")</f>
        <v>Retail</v>
      </c>
      <c r="O36">
        <f>IFERROR(VLOOKUP(C36,Customers!A:F,3,0),"")</f>
        <v>26</v>
      </c>
      <c r="P36">
        <f>IFERROR(VLOOKUP(D36,Products!A:F,4,0),"")</f>
        <v>2237</v>
      </c>
      <c r="Q36" t="b">
        <f>IFERROR(VLOOKUP(D36,Products!A:F,6,0),"")</f>
        <v>1</v>
      </c>
      <c r="R36">
        <f t="shared" si="0"/>
        <v>0.56137254901960787</v>
      </c>
      <c r="S36">
        <f t="shared" si="1"/>
        <v>1</v>
      </c>
      <c r="T36">
        <f>IF(AND(S36&gt;1,COUNTIF($A$2:A36,A36)=1),1,0)</f>
        <v>0</v>
      </c>
      <c r="U36">
        <f>COUNTIF(Customers!$A$2:$A$301,C36)</f>
        <v>1</v>
      </c>
      <c r="V36">
        <f t="shared" si="2"/>
        <v>0</v>
      </c>
    </row>
    <row r="37" spans="1:22" ht="14.25" customHeight="1" x14ac:dyDescent="0.35">
      <c r="A37" s="10" t="s">
        <v>173</v>
      </c>
      <c r="B37" s="11">
        <v>45442</v>
      </c>
      <c r="C37" s="10" t="s">
        <v>174</v>
      </c>
      <c r="D37" s="10" t="s">
        <v>128</v>
      </c>
      <c r="E37" s="10" t="s">
        <v>122</v>
      </c>
      <c r="F37" s="12">
        <v>1</v>
      </c>
      <c r="G37" s="12">
        <v>1080</v>
      </c>
      <c r="H37" s="12">
        <v>5.0999999999999996</v>
      </c>
      <c r="I37" s="12">
        <v>1024.92</v>
      </c>
      <c r="J37" s="10" t="s">
        <v>51</v>
      </c>
      <c r="K37" s="10" t="s">
        <v>63</v>
      </c>
      <c r="L37" t="str">
        <f>IFERROR(VLOOKUP(D37,Products!A:F,3,0),"")</f>
        <v>Home</v>
      </c>
      <c r="M37" t="str">
        <f>IFERROR(VLOOKUP(E37,Sales_Reps!A:E,3,0),"")</f>
        <v>East</v>
      </c>
      <c r="N37" t="str">
        <f>IFERROR(VLOOKUP(C37,Customers!A:F,5,0),"")</f>
        <v>Retail</v>
      </c>
      <c r="O37">
        <f>IFERROR(VLOOKUP(C37,Customers!A:F,3,0),"")</f>
        <v>41</v>
      </c>
      <c r="P37">
        <f>IFERROR(VLOOKUP(D37,Products!A:F,4,0),"")</f>
        <v>519</v>
      </c>
      <c r="Q37" t="b">
        <f>IFERROR(VLOOKUP(D37,Products!A:F,6,0),"")</f>
        <v>1</v>
      </c>
      <c r="R37">
        <f t="shared" si="0"/>
        <v>0.51944444444444449</v>
      </c>
      <c r="S37">
        <f t="shared" si="1"/>
        <v>1</v>
      </c>
      <c r="T37">
        <f>IF(AND(S37&gt;1,COUNTIF($A$2:A37,A37)=1),1,0)</f>
        <v>0</v>
      </c>
      <c r="U37">
        <f>COUNTIF(Customers!$A$2:$A$301,C37)</f>
        <v>1</v>
      </c>
      <c r="V37">
        <f t="shared" si="2"/>
        <v>0</v>
      </c>
    </row>
    <row r="38" spans="1:22" ht="14.25" customHeight="1" x14ac:dyDescent="0.35">
      <c r="A38" s="10" t="s">
        <v>175</v>
      </c>
      <c r="B38" s="11">
        <v>45646</v>
      </c>
      <c r="C38" s="10" t="s">
        <v>176</v>
      </c>
      <c r="D38" s="10" t="s">
        <v>88</v>
      </c>
      <c r="E38" s="10" t="s">
        <v>168</v>
      </c>
      <c r="F38" s="12">
        <v>2</v>
      </c>
      <c r="G38" s="12">
        <v>5490</v>
      </c>
      <c r="H38" s="12">
        <v>21.1</v>
      </c>
      <c r="I38" s="12">
        <v>8663.2199999999993</v>
      </c>
      <c r="J38" s="10" t="s">
        <v>104</v>
      </c>
      <c r="K38" s="10" t="s">
        <v>76</v>
      </c>
      <c r="L38" t="str">
        <f>IFERROR(VLOOKUP(D38,Products!A:F,3,0),"")</f>
        <v>Home</v>
      </c>
      <c r="M38" t="str">
        <f>IFERROR(VLOOKUP(E38,Sales_Reps!A:E,3,0),"")</f>
        <v>South</v>
      </c>
      <c r="N38" t="str">
        <f>IFERROR(VLOOKUP(C38,Customers!A:F,5,0),"")</f>
        <v>SMB</v>
      </c>
      <c r="O38">
        <f>IFERROR(VLOOKUP(C38,Customers!A:F,3,0),"")</f>
        <v>36</v>
      </c>
      <c r="P38">
        <f>IFERROR(VLOOKUP(D38,Products!A:F,4,0),"")</f>
        <v>2549</v>
      </c>
      <c r="Q38" t="b">
        <f>IFERROR(VLOOKUP(D38,Products!A:F,6,0),"")</f>
        <v>1</v>
      </c>
      <c r="R38">
        <f t="shared" si="0"/>
        <v>0.53570127504553733</v>
      </c>
      <c r="S38">
        <f t="shared" si="1"/>
        <v>1</v>
      </c>
      <c r="T38">
        <f>IF(AND(S38&gt;1,COUNTIF($A$2:A38,A38)=1),1,0)</f>
        <v>0</v>
      </c>
      <c r="U38">
        <f>COUNTIF(Customers!$A$2:$A$301,C38)</f>
        <v>1</v>
      </c>
      <c r="V38">
        <f t="shared" si="2"/>
        <v>0</v>
      </c>
    </row>
    <row r="39" spans="1:22" ht="14.25" customHeight="1" x14ac:dyDescent="0.35">
      <c r="A39" s="10" t="s">
        <v>177</v>
      </c>
      <c r="B39" s="11">
        <v>45478</v>
      </c>
      <c r="C39" s="10" t="s">
        <v>178</v>
      </c>
      <c r="D39" s="10" t="s">
        <v>111</v>
      </c>
      <c r="E39" s="10" t="s">
        <v>179</v>
      </c>
      <c r="F39" s="12">
        <v>7</v>
      </c>
      <c r="G39" s="12">
        <v>190</v>
      </c>
      <c r="H39" s="12">
        <v>28.7</v>
      </c>
      <c r="I39" s="12">
        <v>948.29</v>
      </c>
      <c r="J39" s="10" t="s">
        <v>51</v>
      </c>
      <c r="K39" s="10" t="s">
        <v>81</v>
      </c>
      <c r="L39" t="str">
        <f>IFERROR(VLOOKUP(D39,Products!A:F,3,0),"")</f>
        <v>Sports</v>
      </c>
      <c r="M39" t="str">
        <f>IFERROR(VLOOKUP(E39,Sales_Reps!A:E,3,0),"")</f>
        <v>North</v>
      </c>
      <c r="N39" t="str">
        <f>IFERROR(VLOOKUP(C39,Customers!A:F,5,0),"")</f>
        <v>Retail</v>
      </c>
      <c r="O39">
        <f>IFERROR(VLOOKUP(C39,Customers!A:F,3,0),"")</f>
        <v>42</v>
      </c>
      <c r="P39">
        <f>IFERROR(VLOOKUP(D39,Products!A:F,4,0),"")</f>
        <v>147</v>
      </c>
      <c r="Q39" t="b">
        <f>IFERROR(VLOOKUP(D39,Products!A:F,6,0),"")</f>
        <v>1</v>
      </c>
      <c r="R39">
        <f t="shared" si="0"/>
        <v>0.22631578947368422</v>
      </c>
      <c r="S39">
        <f t="shared" si="1"/>
        <v>1</v>
      </c>
      <c r="T39">
        <f>IF(AND(S39&gt;1,COUNTIF($A$2:A39,A39)=1),1,0)</f>
        <v>0</v>
      </c>
      <c r="U39">
        <f>COUNTIF(Customers!$A$2:$A$301,C39)</f>
        <v>1</v>
      </c>
      <c r="V39">
        <f t="shared" si="2"/>
        <v>0</v>
      </c>
    </row>
    <row r="40" spans="1:22" ht="14.25" customHeight="1" x14ac:dyDescent="0.35">
      <c r="A40" s="10" t="s">
        <v>180</v>
      </c>
      <c r="B40" s="11">
        <v>45355</v>
      </c>
      <c r="C40" s="10" t="s">
        <v>181</v>
      </c>
      <c r="D40" s="10" t="s">
        <v>115</v>
      </c>
      <c r="E40" s="10" t="s">
        <v>152</v>
      </c>
      <c r="F40" s="12">
        <v>6</v>
      </c>
      <c r="G40" s="12">
        <v>2400</v>
      </c>
      <c r="H40" s="12">
        <v>2.7</v>
      </c>
      <c r="I40" s="12">
        <v>14011.2</v>
      </c>
      <c r="J40" s="10" t="s">
        <v>51</v>
      </c>
      <c r="K40" s="10" t="s">
        <v>58</v>
      </c>
      <c r="L40" t="str">
        <f>IFERROR(VLOOKUP(D40,Products!A:F,3,0),"")</f>
        <v>Sports</v>
      </c>
      <c r="M40" t="str">
        <f>IFERROR(VLOOKUP(E40,Sales_Reps!A:E,3,0),"")</f>
        <v>South</v>
      </c>
      <c r="N40" t="str">
        <f>IFERROR(VLOOKUP(C40,Customers!A:F,5,0),"")</f>
        <v>Retail</v>
      </c>
      <c r="O40">
        <f>IFERROR(VLOOKUP(C40,Customers!A:F,3,0),"")</f>
        <v>51</v>
      </c>
      <c r="P40">
        <f>IFERROR(VLOOKUP(D40,Products!A:F,4,0),"")</f>
        <v>974</v>
      </c>
      <c r="Q40" t="b">
        <f>IFERROR(VLOOKUP(D40,Products!A:F,6,0),"")</f>
        <v>1</v>
      </c>
      <c r="R40">
        <f t="shared" si="0"/>
        <v>0.59416666666666662</v>
      </c>
      <c r="S40">
        <f t="shared" si="1"/>
        <v>1</v>
      </c>
      <c r="T40">
        <f>IF(AND(S40&gt;1,COUNTIF($A$2:A40,A40)=1),1,0)</f>
        <v>0</v>
      </c>
      <c r="U40">
        <f>COUNTIF(Customers!$A$2:$A$301,C40)</f>
        <v>1</v>
      </c>
      <c r="V40">
        <f t="shared" si="2"/>
        <v>0</v>
      </c>
    </row>
    <row r="41" spans="1:22" ht="14.25" customHeight="1" x14ac:dyDescent="0.35">
      <c r="A41" s="10" t="s">
        <v>182</v>
      </c>
      <c r="B41" s="11">
        <v>45599</v>
      </c>
      <c r="C41" s="10" t="s">
        <v>183</v>
      </c>
      <c r="D41" s="10" t="s">
        <v>140</v>
      </c>
      <c r="E41" s="10" t="s">
        <v>118</v>
      </c>
      <c r="F41" s="12">
        <v>9</v>
      </c>
      <c r="G41" s="12">
        <v>1650</v>
      </c>
      <c r="H41" s="12">
        <v>11.6</v>
      </c>
      <c r="I41" s="12">
        <v>13127.4</v>
      </c>
      <c r="J41" s="10" t="s">
        <v>51</v>
      </c>
      <c r="K41" s="10" t="s">
        <v>63</v>
      </c>
      <c r="L41" t="str">
        <f>IFERROR(VLOOKUP(D41,Products!A:F,3,0),"")</f>
        <v>Beauty</v>
      </c>
      <c r="M41" t="str">
        <f>IFERROR(VLOOKUP(E41,Sales_Reps!A:E,3,0),"")</f>
        <v>East</v>
      </c>
      <c r="N41" t="str">
        <f>IFERROR(VLOOKUP(C41,Customers!A:F,5,0),"")</f>
        <v>SMB</v>
      </c>
      <c r="O41">
        <f>IFERROR(VLOOKUP(C41,Customers!A:F,3,0),"")</f>
        <v>50</v>
      </c>
      <c r="P41">
        <f>IFERROR(VLOOKUP(D41,Products!A:F,4,0),"")</f>
        <v>1222</v>
      </c>
      <c r="Q41" t="b">
        <f>IFERROR(VLOOKUP(D41,Products!A:F,6,0),"")</f>
        <v>1</v>
      </c>
      <c r="R41">
        <f t="shared" si="0"/>
        <v>0.2593939393939394</v>
      </c>
      <c r="S41">
        <f t="shared" si="1"/>
        <v>1</v>
      </c>
      <c r="T41">
        <f>IF(AND(S41&gt;1,COUNTIF($A$2:A41,A41)=1),1,0)</f>
        <v>0</v>
      </c>
      <c r="U41">
        <f>COUNTIF(Customers!$A$2:$A$301,C41)</f>
        <v>1</v>
      </c>
      <c r="V41">
        <f t="shared" si="2"/>
        <v>0</v>
      </c>
    </row>
    <row r="42" spans="1:22" ht="14.25" customHeight="1" x14ac:dyDescent="0.35">
      <c r="A42" s="10" t="s">
        <v>184</v>
      </c>
      <c r="B42" s="11">
        <v>45606</v>
      </c>
      <c r="C42" s="10" t="s">
        <v>185</v>
      </c>
      <c r="D42" s="10" t="s">
        <v>88</v>
      </c>
      <c r="E42" s="10" t="s">
        <v>67</v>
      </c>
      <c r="F42" s="12">
        <v>4</v>
      </c>
      <c r="G42" s="12">
        <v>5490</v>
      </c>
      <c r="H42" s="12">
        <v>12.8</v>
      </c>
      <c r="I42" s="12">
        <v>19149.12</v>
      </c>
      <c r="J42" s="10" t="s">
        <v>104</v>
      </c>
      <c r="K42" s="10" t="s">
        <v>58</v>
      </c>
      <c r="L42" t="str">
        <f>IFERROR(VLOOKUP(D42,Products!A:F,3,0),"")</f>
        <v>Home</v>
      </c>
      <c r="M42" t="str">
        <f>IFERROR(VLOOKUP(E42,Sales_Reps!A:E,3,0),"")</f>
        <v>North</v>
      </c>
      <c r="N42" t="str">
        <f>IFERROR(VLOOKUP(C42,Customers!A:F,5,0),"")</f>
        <v/>
      </c>
      <c r="O42" t="str">
        <f>IFERROR(VLOOKUP(C42,Customers!A:F,3,0),"")</f>
        <v/>
      </c>
      <c r="P42">
        <f>IFERROR(VLOOKUP(D42,Products!A:F,4,0),"")</f>
        <v>2549</v>
      </c>
      <c r="Q42" t="b">
        <f>IFERROR(VLOOKUP(D42,Products!A:F,6,0),"")</f>
        <v>1</v>
      </c>
      <c r="R42">
        <f t="shared" si="0"/>
        <v>0.53570127504553733</v>
      </c>
      <c r="S42">
        <f t="shared" si="1"/>
        <v>1</v>
      </c>
      <c r="T42">
        <f>IF(AND(S42&gt;1,COUNTIF($A$2:A42,A42)=1),1,0)</f>
        <v>0</v>
      </c>
      <c r="U42">
        <f>COUNTIF(Customers!$A$2:$A$301,C42)</f>
        <v>0</v>
      </c>
      <c r="V42">
        <f t="shared" si="2"/>
        <v>0</v>
      </c>
    </row>
    <row r="43" spans="1:22" ht="14.25" customHeight="1" x14ac:dyDescent="0.35">
      <c r="A43" s="10" t="s">
        <v>186</v>
      </c>
      <c r="B43" s="11">
        <v>45432</v>
      </c>
      <c r="C43" s="10" t="s">
        <v>187</v>
      </c>
      <c r="D43" s="10" t="s">
        <v>148</v>
      </c>
      <c r="E43" s="10" t="s">
        <v>62</v>
      </c>
      <c r="F43" s="12">
        <v>10</v>
      </c>
      <c r="G43" s="12">
        <v>4880</v>
      </c>
      <c r="H43" s="12">
        <v>12.7</v>
      </c>
      <c r="I43" s="12">
        <v>42602.400000000001</v>
      </c>
      <c r="J43" s="10" t="s">
        <v>51</v>
      </c>
      <c r="K43" s="10" t="s">
        <v>63</v>
      </c>
      <c r="L43" t="str">
        <f>IFERROR(VLOOKUP(D43,Products!A:F,3,0),"")</f>
        <v>Beauty</v>
      </c>
      <c r="M43" t="str">
        <f>IFERROR(VLOOKUP(E43,Sales_Reps!A:E,3,0),"")</f>
        <v>South</v>
      </c>
      <c r="N43" t="str">
        <f>IFERROR(VLOOKUP(C43,Customers!A:F,5,0),"")</f>
        <v>Retail</v>
      </c>
      <c r="O43">
        <f>IFERROR(VLOOKUP(C43,Customers!A:F,3,0),"")</f>
        <v>53</v>
      </c>
      <c r="P43">
        <f>IFERROR(VLOOKUP(D43,Products!A:F,4,0),"")</f>
        <v>2768</v>
      </c>
      <c r="Q43" t="b">
        <f>IFERROR(VLOOKUP(D43,Products!A:F,6,0),"")</f>
        <v>1</v>
      </c>
      <c r="R43">
        <f t="shared" si="0"/>
        <v>0.43278688524590164</v>
      </c>
      <c r="S43">
        <f t="shared" si="1"/>
        <v>1</v>
      </c>
      <c r="T43">
        <f>IF(AND(S43&gt;1,COUNTIF($A$2:A43,A43)=1),1,0)</f>
        <v>0</v>
      </c>
      <c r="U43">
        <f>COUNTIF(Customers!$A$2:$A$301,C43)</f>
        <v>1</v>
      </c>
      <c r="V43">
        <f t="shared" si="2"/>
        <v>0</v>
      </c>
    </row>
    <row r="44" spans="1:22" ht="14.25" customHeight="1" x14ac:dyDescent="0.35">
      <c r="A44" s="10" t="s">
        <v>188</v>
      </c>
      <c r="B44" s="11">
        <v>45392</v>
      </c>
      <c r="C44" s="10" t="s">
        <v>189</v>
      </c>
      <c r="D44" s="10" t="s">
        <v>190</v>
      </c>
      <c r="E44" s="10" t="s">
        <v>85</v>
      </c>
      <c r="F44" s="12">
        <v>2</v>
      </c>
      <c r="G44" s="12">
        <v>3730</v>
      </c>
      <c r="H44" s="12">
        <v>25.8</v>
      </c>
      <c r="I44" s="12">
        <v>5535.32</v>
      </c>
      <c r="J44" s="10" t="s">
        <v>51</v>
      </c>
      <c r="K44" s="10" t="s">
        <v>58</v>
      </c>
      <c r="L44" t="str">
        <f>IFERROR(VLOOKUP(D44,Products!A:F,3,0),"")</f>
        <v>Home</v>
      </c>
      <c r="M44" t="str">
        <f>IFERROR(VLOOKUP(E44,Sales_Reps!A:E,3,0),"")</f>
        <v>East</v>
      </c>
      <c r="N44" t="str">
        <f>IFERROR(VLOOKUP(C44,Customers!A:F,5,0),"")</f>
        <v>Retail</v>
      </c>
      <c r="O44">
        <f>IFERROR(VLOOKUP(C44,Customers!A:F,3,0),"")</f>
        <v>37</v>
      </c>
      <c r="P44">
        <f>IFERROR(VLOOKUP(D44,Products!A:F,4,0),"")</f>
        <v>2135</v>
      </c>
      <c r="Q44" t="b">
        <f>IFERROR(VLOOKUP(D44,Products!A:F,6,0),"")</f>
        <v>1</v>
      </c>
      <c r="R44">
        <f t="shared" si="0"/>
        <v>0.42761394101876676</v>
      </c>
      <c r="S44">
        <f t="shared" si="1"/>
        <v>1</v>
      </c>
      <c r="T44">
        <f>IF(AND(S44&gt;1,COUNTIF($A$2:A44,A44)=1),1,0)</f>
        <v>0</v>
      </c>
      <c r="U44">
        <f>COUNTIF(Customers!$A$2:$A$301,C44)</f>
        <v>1</v>
      </c>
      <c r="V44">
        <f t="shared" si="2"/>
        <v>0</v>
      </c>
    </row>
    <row r="45" spans="1:22" ht="14.25" customHeight="1" x14ac:dyDescent="0.35">
      <c r="A45" s="10" t="s">
        <v>191</v>
      </c>
      <c r="B45" s="11">
        <v>45396</v>
      </c>
      <c r="C45" s="10" t="s">
        <v>192</v>
      </c>
      <c r="D45" s="10" t="s">
        <v>121</v>
      </c>
      <c r="E45" s="10" t="s">
        <v>193</v>
      </c>
      <c r="F45" s="12">
        <v>4</v>
      </c>
      <c r="G45" s="12">
        <v>3450</v>
      </c>
      <c r="H45" s="12">
        <v>20.7</v>
      </c>
      <c r="I45" s="12">
        <v>10943.4</v>
      </c>
      <c r="J45" s="10" t="s">
        <v>51</v>
      </c>
      <c r="K45" s="10" t="s">
        <v>76</v>
      </c>
      <c r="L45" t="str">
        <f>IFERROR(VLOOKUP(D45,Products!A:F,3,0),"")</f>
        <v>Beauty</v>
      </c>
      <c r="M45" t="str">
        <f>IFERROR(VLOOKUP(E45,Sales_Reps!A:E,3,0),"")</f>
        <v>West</v>
      </c>
      <c r="N45" t="str">
        <f>IFERROR(VLOOKUP(C45,Customers!A:F,5,0),"")</f>
        <v>SMB</v>
      </c>
      <c r="O45">
        <f>IFERROR(VLOOKUP(C45,Customers!A:F,3,0),"")</f>
        <v>54</v>
      </c>
      <c r="P45">
        <f>IFERROR(VLOOKUP(D45,Products!A:F,4,0),"")</f>
        <v>2420</v>
      </c>
      <c r="Q45" t="b">
        <f>IFERROR(VLOOKUP(D45,Products!A:F,6,0),"")</f>
        <v>1</v>
      </c>
      <c r="R45">
        <f t="shared" si="0"/>
        <v>0.29855072463768118</v>
      </c>
      <c r="S45">
        <f t="shared" si="1"/>
        <v>1</v>
      </c>
      <c r="T45">
        <f>IF(AND(S45&gt;1,COUNTIF($A$2:A45,A45)=1),1,0)</f>
        <v>0</v>
      </c>
      <c r="U45">
        <f>COUNTIF(Customers!$A$2:$A$301,C45)</f>
        <v>1</v>
      </c>
      <c r="V45">
        <f t="shared" si="2"/>
        <v>0</v>
      </c>
    </row>
    <row r="46" spans="1:22" ht="14.25" customHeight="1" x14ac:dyDescent="0.35">
      <c r="A46" s="10" t="s">
        <v>194</v>
      </c>
      <c r="B46" s="11">
        <v>45373</v>
      </c>
      <c r="C46" s="10" t="s">
        <v>195</v>
      </c>
      <c r="D46" s="10" t="s">
        <v>131</v>
      </c>
      <c r="E46" s="10" t="s">
        <v>85</v>
      </c>
      <c r="F46" s="12">
        <v>2</v>
      </c>
      <c r="G46" s="12">
        <v>2480</v>
      </c>
      <c r="H46" s="12">
        <v>17.3</v>
      </c>
      <c r="I46" s="12">
        <v>4101.92</v>
      </c>
      <c r="J46" s="10" t="s">
        <v>51</v>
      </c>
      <c r="K46" s="10" t="s">
        <v>81</v>
      </c>
      <c r="L46" t="str">
        <f>IFERROR(VLOOKUP(D46,Products!A:F,3,0),"")</f>
        <v>Apparel</v>
      </c>
      <c r="M46" t="str">
        <f>IFERROR(VLOOKUP(E46,Sales_Reps!A:E,3,0),"")</f>
        <v>East</v>
      </c>
      <c r="N46" t="str">
        <f>IFERROR(VLOOKUP(C46,Customers!A:F,5,0),"")</f>
        <v>SMB</v>
      </c>
      <c r="O46">
        <f>IFERROR(VLOOKUP(C46,Customers!A:F,3,0),"")</f>
        <v>64</v>
      </c>
      <c r="P46">
        <f>IFERROR(VLOOKUP(D46,Products!A:F,4,0),"")</f>
        <v>1173</v>
      </c>
      <c r="Q46" t="b">
        <f>IFERROR(VLOOKUP(D46,Products!A:F,6,0),"")</f>
        <v>1</v>
      </c>
      <c r="R46">
        <f t="shared" si="0"/>
        <v>0.52701612903225803</v>
      </c>
      <c r="S46">
        <f t="shared" si="1"/>
        <v>1</v>
      </c>
      <c r="T46">
        <f>IF(AND(S46&gt;1,COUNTIF($A$2:A46,A46)=1),1,0)</f>
        <v>0</v>
      </c>
      <c r="U46">
        <f>COUNTIF(Customers!$A$2:$A$301,C46)</f>
        <v>1</v>
      </c>
      <c r="V46">
        <f t="shared" si="2"/>
        <v>0</v>
      </c>
    </row>
    <row r="47" spans="1:22" ht="14.25" customHeight="1" x14ac:dyDescent="0.35">
      <c r="A47" s="10" t="s">
        <v>196</v>
      </c>
      <c r="B47" s="11">
        <v>45312</v>
      </c>
      <c r="C47" s="10" t="s">
        <v>197</v>
      </c>
      <c r="D47" s="10" t="s">
        <v>198</v>
      </c>
      <c r="E47" s="10" t="s">
        <v>152</v>
      </c>
      <c r="F47" s="12">
        <v>9</v>
      </c>
      <c r="G47" s="12">
        <v>3780</v>
      </c>
      <c r="H47" s="12">
        <v>8.6999999999999993</v>
      </c>
      <c r="I47" s="12">
        <v>31060.26</v>
      </c>
      <c r="J47" s="10" t="s">
        <v>57</v>
      </c>
      <c r="K47" s="10" t="s">
        <v>52</v>
      </c>
      <c r="L47" t="str">
        <f>IFERROR(VLOOKUP(D47,Products!A:F,3,0),"")</f>
        <v>Grocery</v>
      </c>
      <c r="M47" t="str">
        <f>IFERROR(VLOOKUP(E47,Sales_Reps!A:E,3,0),"")</f>
        <v>South</v>
      </c>
      <c r="N47" t="str">
        <f>IFERROR(VLOOKUP(C47,Customers!A:F,5,0),"")</f>
        <v>SMB</v>
      </c>
      <c r="O47">
        <f>IFERROR(VLOOKUP(C47,Customers!A:F,3,0),"")</f>
        <v>29</v>
      </c>
      <c r="P47">
        <f>IFERROR(VLOOKUP(D47,Products!A:F,4,0),"")</f>
        <v>2436</v>
      </c>
      <c r="Q47" t="b">
        <f>IFERROR(VLOOKUP(D47,Products!A:F,6,0),"")</f>
        <v>1</v>
      </c>
      <c r="R47">
        <f t="shared" si="0"/>
        <v>0.35555555555555557</v>
      </c>
      <c r="S47">
        <f t="shared" si="1"/>
        <v>1</v>
      </c>
      <c r="T47">
        <f>IF(AND(S47&gt;1,COUNTIF($A$2:A47,A47)=1),1,0)</f>
        <v>0</v>
      </c>
      <c r="U47">
        <f>COUNTIF(Customers!$A$2:$A$301,C47)</f>
        <v>1</v>
      </c>
      <c r="V47">
        <f t="shared" si="2"/>
        <v>0</v>
      </c>
    </row>
    <row r="48" spans="1:22" ht="14.25" customHeight="1" x14ac:dyDescent="0.35">
      <c r="A48" s="10" t="s">
        <v>199</v>
      </c>
      <c r="B48" s="11">
        <v>45340</v>
      </c>
      <c r="C48" s="10" t="s">
        <v>200</v>
      </c>
      <c r="D48" s="10" t="s">
        <v>201</v>
      </c>
      <c r="E48" s="10" t="s">
        <v>202</v>
      </c>
      <c r="F48" s="12">
        <v>4</v>
      </c>
      <c r="G48" s="12">
        <v>3640</v>
      </c>
      <c r="H48" s="12">
        <v>20.7</v>
      </c>
      <c r="I48" s="12">
        <v>11546.08</v>
      </c>
      <c r="J48" s="10" t="s">
        <v>51</v>
      </c>
      <c r="K48" s="10" t="s">
        <v>97</v>
      </c>
      <c r="L48" t="str">
        <f>IFERROR(VLOOKUP(D48,Products!A:F,3,0),"")</f>
        <v>Apparel</v>
      </c>
      <c r="M48" t="str">
        <f>IFERROR(VLOOKUP(E48,Sales_Reps!A:E,3,0),"")</f>
        <v>East</v>
      </c>
      <c r="N48" t="str">
        <f>IFERROR(VLOOKUP(C48,Customers!A:F,5,0),"")</f>
        <v>Retail</v>
      </c>
      <c r="O48">
        <f>IFERROR(VLOOKUP(C48,Customers!A:F,3,0),"")</f>
        <v>64</v>
      </c>
      <c r="P48">
        <f>IFERROR(VLOOKUP(D48,Products!A:F,4,0),"")</f>
        <v>2611</v>
      </c>
      <c r="Q48" t="b">
        <f>IFERROR(VLOOKUP(D48,Products!A:F,6,0),"")</f>
        <v>1</v>
      </c>
      <c r="R48">
        <f t="shared" si="0"/>
        <v>0.28269230769230769</v>
      </c>
      <c r="S48">
        <f t="shared" si="1"/>
        <v>1</v>
      </c>
      <c r="T48">
        <f>IF(AND(S48&gt;1,COUNTIF($A$2:A48,A48)=1),1,0)</f>
        <v>0</v>
      </c>
      <c r="U48">
        <f>COUNTIF(Customers!$A$2:$A$301,C48)</f>
        <v>1</v>
      </c>
      <c r="V48">
        <f t="shared" si="2"/>
        <v>0</v>
      </c>
    </row>
    <row r="49" spans="1:22" ht="14.25" customHeight="1" x14ac:dyDescent="0.35">
      <c r="A49" s="10" t="s">
        <v>203</v>
      </c>
      <c r="B49" s="11">
        <v>45370</v>
      </c>
      <c r="C49" s="10" t="s">
        <v>204</v>
      </c>
      <c r="D49" s="10" t="s">
        <v>205</v>
      </c>
      <c r="E49" s="10" t="s">
        <v>112</v>
      </c>
      <c r="F49" s="12">
        <v>8</v>
      </c>
      <c r="G49" s="12">
        <v>6080</v>
      </c>
      <c r="H49" s="12">
        <v>24.4</v>
      </c>
      <c r="I49" s="12">
        <v>36771.839999999997</v>
      </c>
      <c r="J49" s="10" t="s">
        <v>51</v>
      </c>
      <c r="K49" s="10" t="s">
        <v>52</v>
      </c>
      <c r="L49" t="str">
        <f>IFERROR(VLOOKUP(D49,Products!A:F,3,0),"")</f>
        <v>Beauty</v>
      </c>
      <c r="M49" t="str">
        <f>IFERROR(VLOOKUP(E49,Sales_Reps!A:E,3,0),"")</f>
        <v>North</v>
      </c>
      <c r="N49" t="str">
        <f>IFERROR(VLOOKUP(C49,Customers!A:F,5,0),"")</f>
        <v/>
      </c>
      <c r="O49" t="str">
        <f>IFERROR(VLOOKUP(C49,Customers!A:F,3,0),"")</f>
        <v/>
      </c>
      <c r="P49">
        <f>IFERROR(VLOOKUP(D49,Products!A:F,4,0),"")</f>
        <v>2617</v>
      </c>
      <c r="Q49" t="b">
        <f>IFERROR(VLOOKUP(D49,Products!A:F,6,0),"")</f>
        <v>1</v>
      </c>
      <c r="R49">
        <f t="shared" si="0"/>
        <v>0.56957236842105263</v>
      </c>
      <c r="S49">
        <f t="shared" si="1"/>
        <v>1</v>
      </c>
      <c r="T49">
        <f>IF(AND(S49&gt;1,COUNTIF($A$2:A49,A49)=1),1,0)</f>
        <v>0</v>
      </c>
      <c r="U49">
        <f>COUNTIF(Customers!$A$2:$A$301,C49)</f>
        <v>0</v>
      </c>
      <c r="V49">
        <f t="shared" si="2"/>
        <v>0</v>
      </c>
    </row>
    <row r="50" spans="1:22" ht="14.25" customHeight="1" x14ac:dyDescent="0.35">
      <c r="A50" s="10" t="s">
        <v>206</v>
      </c>
      <c r="B50" s="11">
        <v>45389</v>
      </c>
      <c r="C50" s="10" t="s">
        <v>150</v>
      </c>
      <c r="D50" s="10" t="s">
        <v>91</v>
      </c>
      <c r="E50" s="10" t="s">
        <v>50</v>
      </c>
      <c r="F50" s="12">
        <v>10</v>
      </c>
      <c r="G50" s="12">
        <v>970</v>
      </c>
      <c r="H50" s="12">
        <v>0.6</v>
      </c>
      <c r="I50" s="12">
        <v>9641.7999999999993</v>
      </c>
      <c r="J50" s="10" t="s">
        <v>104</v>
      </c>
      <c r="K50" s="10" t="s">
        <v>58</v>
      </c>
      <c r="L50" t="str">
        <f>IFERROR(VLOOKUP(D50,Products!A:F,3,0),"")</f>
        <v>Grocery</v>
      </c>
      <c r="M50" t="str">
        <f>IFERROR(VLOOKUP(E50,Sales_Reps!A:E,3,0),"")</f>
        <v>North</v>
      </c>
      <c r="N50" t="str">
        <f>IFERROR(VLOOKUP(C50,Customers!A:F,5,0),"")</f>
        <v>SMB</v>
      </c>
      <c r="O50">
        <f>IFERROR(VLOOKUP(C50,Customers!A:F,3,0),"")</f>
        <v>52</v>
      </c>
      <c r="P50">
        <f>IFERROR(VLOOKUP(D50,Products!A:F,4,0),"")</f>
        <v>434</v>
      </c>
      <c r="Q50" t="b">
        <f>IFERROR(VLOOKUP(D50,Products!A:F,6,0),"")</f>
        <v>1</v>
      </c>
      <c r="R50">
        <f t="shared" si="0"/>
        <v>0.5525773195876289</v>
      </c>
      <c r="S50">
        <f t="shared" si="1"/>
        <v>1</v>
      </c>
      <c r="T50">
        <f>IF(AND(S50&gt;1,COUNTIF($A$2:A50,A50)=1),1,0)</f>
        <v>0</v>
      </c>
      <c r="U50">
        <f>COUNTIF(Customers!$A$2:$A$301,C50)</f>
        <v>1</v>
      </c>
      <c r="V50">
        <f t="shared" si="2"/>
        <v>0</v>
      </c>
    </row>
    <row r="51" spans="1:22" ht="14.25" customHeight="1" x14ac:dyDescent="0.35">
      <c r="A51" s="10" t="s">
        <v>207</v>
      </c>
      <c r="B51" s="11">
        <v>45565</v>
      </c>
      <c r="C51" s="10" t="s">
        <v>208</v>
      </c>
      <c r="D51" s="10" t="s">
        <v>209</v>
      </c>
      <c r="E51" s="10" t="s">
        <v>92</v>
      </c>
      <c r="F51" s="12">
        <v>1</v>
      </c>
      <c r="G51" s="12">
        <v>2270</v>
      </c>
      <c r="H51" s="12">
        <v>11.5</v>
      </c>
      <c r="I51" s="12">
        <v>2008.95</v>
      </c>
      <c r="J51" s="10" t="s">
        <v>57</v>
      </c>
      <c r="K51" s="10" t="s">
        <v>58</v>
      </c>
      <c r="L51" t="str">
        <f>IFERROR(VLOOKUP(D51,Products!A:F,3,0),"")</f>
        <v>Grocery</v>
      </c>
      <c r="M51" t="str">
        <f>IFERROR(VLOOKUP(E51,Sales_Reps!A:E,3,0),"")</f>
        <v>West</v>
      </c>
      <c r="N51" t="str">
        <f>IFERROR(VLOOKUP(C51,Customers!A:F,5,0),"")</f>
        <v>Corporate</v>
      </c>
      <c r="O51">
        <f>IFERROR(VLOOKUP(C51,Customers!A:F,3,0),"")</f>
        <v>52</v>
      </c>
      <c r="P51">
        <f>IFERROR(VLOOKUP(D51,Products!A:F,4,0),"")</f>
        <v>1412</v>
      </c>
      <c r="Q51" t="b">
        <f>IFERROR(VLOOKUP(D51,Products!A:F,6,0),"")</f>
        <v>1</v>
      </c>
      <c r="R51">
        <f t="shared" si="0"/>
        <v>0.37797356828193834</v>
      </c>
      <c r="S51">
        <f t="shared" si="1"/>
        <v>1</v>
      </c>
      <c r="T51">
        <f>IF(AND(S51&gt;1,COUNTIF($A$2:A51,A51)=1),1,0)</f>
        <v>0</v>
      </c>
      <c r="U51">
        <f>COUNTIF(Customers!$A$2:$A$301,C51)</f>
        <v>1</v>
      </c>
      <c r="V51">
        <f t="shared" si="2"/>
        <v>0</v>
      </c>
    </row>
    <row r="52" spans="1:22" ht="14.25" customHeight="1" x14ac:dyDescent="0.35">
      <c r="A52" s="10" t="s">
        <v>210</v>
      </c>
      <c r="B52" s="11">
        <v>45323</v>
      </c>
      <c r="C52" s="10" t="s">
        <v>211</v>
      </c>
      <c r="D52" s="10" t="s">
        <v>212</v>
      </c>
      <c r="E52" s="10" t="s">
        <v>118</v>
      </c>
      <c r="F52" s="12">
        <v>7</v>
      </c>
      <c r="G52" s="12">
        <v>3870</v>
      </c>
      <c r="H52" s="12">
        <v>0.3</v>
      </c>
      <c r="I52" s="12">
        <v>27008.73</v>
      </c>
      <c r="J52" s="10" t="s">
        <v>104</v>
      </c>
      <c r="K52" s="10" t="s">
        <v>81</v>
      </c>
      <c r="L52" t="str">
        <f>IFERROR(VLOOKUP(D52,Products!A:F,3,0),"")</f>
        <v>Electronics</v>
      </c>
      <c r="M52" t="str">
        <f>IFERROR(VLOOKUP(E52,Sales_Reps!A:E,3,0),"")</f>
        <v>East</v>
      </c>
      <c r="N52" t="str">
        <f>IFERROR(VLOOKUP(C52,Customers!A:F,5,0),"")</f>
        <v>Retail</v>
      </c>
      <c r="O52">
        <f>IFERROR(VLOOKUP(C52,Customers!A:F,3,0),"")</f>
        <v>34</v>
      </c>
      <c r="P52">
        <f>IFERROR(VLOOKUP(D52,Products!A:F,4,0),"")</f>
        <v>1559</v>
      </c>
      <c r="Q52" t="b">
        <f>IFERROR(VLOOKUP(D52,Products!A:F,6,0),"")</f>
        <v>1</v>
      </c>
      <c r="R52">
        <f t="shared" si="0"/>
        <v>0.59715762273901807</v>
      </c>
      <c r="S52">
        <f t="shared" si="1"/>
        <v>1</v>
      </c>
      <c r="T52">
        <f>IF(AND(S52&gt;1,COUNTIF($A$2:A52,A52)=1),1,0)</f>
        <v>0</v>
      </c>
      <c r="U52">
        <f>COUNTIF(Customers!$A$2:$A$301,C52)</f>
        <v>1</v>
      </c>
      <c r="V52">
        <f t="shared" si="2"/>
        <v>0</v>
      </c>
    </row>
    <row r="53" spans="1:22" ht="14.25" customHeight="1" x14ac:dyDescent="0.35">
      <c r="A53" s="10" t="s">
        <v>213</v>
      </c>
      <c r="B53" s="11">
        <v>45506</v>
      </c>
      <c r="C53" s="10" t="s">
        <v>214</v>
      </c>
      <c r="D53" s="10" t="s">
        <v>148</v>
      </c>
      <c r="E53" s="10" t="s">
        <v>168</v>
      </c>
      <c r="F53" s="12">
        <v>1</v>
      </c>
      <c r="G53" s="12">
        <v>4880</v>
      </c>
      <c r="H53" s="12">
        <v>23.9</v>
      </c>
      <c r="I53" s="12">
        <v>3713.68</v>
      </c>
      <c r="J53" s="10" t="s">
        <v>57</v>
      </c>
      <c r="K53" s="10" t="s">
        <v>81</v>
      </c>
      <c r="L53" t="str">
        <f>IFERROR(VLOOKUP(D53,Products!A:F,3,0),"")</f>
        <v>Beauty</v>
      </c>
      <c r="M53" t="str">
        <f>IFERROR(VLOOKUP(E53,Sales_Reps!A:E,3,0),"")</f>
        <v>South</v>
      </c>
      <c r="N53" t="str">
        <f>IFERROR(VLOOKUP(C53,Customers!A:F,5,0),"")</f>
        <v>SMB</v>
      </c>
      <c r="O53">
        <f>IFERROR(VLOOKUP(C53,Customers!A:F,3,0),"")</f>
        <v>34</v>
      </c>
      <c r="P53">
        <f>IFERROR(VLOOKUP(D53,Products!A:F,4,0),"")</f>
        <v>2768</v>
      </c>
      <c r="Q53" t="b">
        <f>IFERROR(VLOOKUP(D53,Products!A:F,6,0),"")</f>
        <v>1</v>
      </c>
      <c r="R53">
        <f t="shared" si="0"/>
        <v>0.43278688524590164</v>
      </c>
      <c r="S53">
        <f t="shared" si="1"/>
        <v>1</v>
      </c>
      <c r="T53">
        <f>IF(AND(S53&gt;1,COUNTIF($A$2:A53,A53)=1),1,0)</f>
        <v>0</v>
      </c>
      <c r="U53">
        <f>COUNTIF(Customers!$A$2:$A$301,C53)</f>
        <v>1</v>
      </c>
      <c r="V53">
        <f t="shared" si="2"/>
        <v>0</v>
      </c>
    </row>
    <row r="54" spans="1:22" ht="14.25" customHeight="1" x14ac:dyDescent="0.35">
      <c r="A54" s="10" t="s">
        <v>215</v>
      </c>
      <c r="B54" s="11">
        <v>45616</v>
      </c>
      <c r="C54" s="10" t="s">
        <v>69</v>
      </c>
      <c r="D54" s="10" t="s">
        <v>198</v>
      </c>
      <c r="E54" s="10" t="s">
        <v>216</v>
      </c>
      <c r="F54" s="12">
        <v>5</v>
      </c>
      <c r="G54" s="12">
        <v>3780</v>
      </c>
      <c r="H54" s="12">
        <v>18.5</v>
      </c>
      <c r="I54" s="12">
        <v>15403.5</v>
      </c>
      <c r="J54" s="10" t="s">
        <v>51</v>
      </c>
      <c r="K54" s="10" t="s">
        <v>58</v>
      </c>
      <c r="L54" t="str">
        <f>IFERROR(VLOOKUP(D54,Products!A:F,3,0),"")</f>
        <v>Grocery</v>
      </c>
      <c r="M54" t="str">
        <f>IFERROR(VLOOKUP(E54,Sales_Reps!A:E,3,0),"")</f>
        <v>South</v>
      </c>
      <c r="N54" t="str">
        <f>IFERROR(VLOOKUP(C54,Customers!A:F,5,0),"")</f>
        <v>Retail</v>
      </c>
      <c r="O54">
        <f>IFERROR(VLOOKUP(C54,Customers!A:F,3,0),"")</f>
        <v>36</v>
      </c>
      <c r="P54">
        <f>IFERROR(VLOOKUP(D54,Products!A:F,4,0),"")</f>
        <v>2436</v>
      </c>
      <c r="Q54" t="b">
        <f>IFERROR(VLOOKUP(D54,Products!A:F,6,0),"")</f>
        <v>1</v>
      </c>
      <c r="R54">
        <f t="shared" si="0"/>
        <v>0.35555555555555557</v>
      </c>
      <c r="S54">
        <f t="shared" si="1"/>
        <v>1</v>
      </c>
      <c r="T54">
        <f>IF(AND(S54&gt;1,COUNTIF($A$2:A54,A54)=1),1,0)</f>
        <v>0</v>
      </c>
      <c r="U54">
        <f>COUNTIF(Customers!$A$2:$A$301,C54)</f>
        <v>1</v>
      </c>
      <c r="V54">
        <f t="shared" si="2"/>
        <v>0</v>
      </c>
    </row>
    <row r="55" spans="1:22" ht="14.25" customHeight="1" x14ac:dyDescent="0.35">
      <c r="A55" s="10" t="s">
        <v>217</v>
      </c>
      <c r="B55" s="11">
        <v>45428</v>
      </c>
      <c r="C55" s="10" t="s">
        <v>218</v>
      </c>
      <c r="D55" s="10" t="s">
        <v>107</v>
      </c>
      <c r="E55" s="10" t="s">
        <v>156</v>
      </c>
      <c r="F55" s="12">
        <v>10</v>
      </c>
      <c r="G55" s="12">
        <v>3250</v>
      </c>
      <c r="H55" s="12">
        <v>25.5</v>
      </c>
      <c r="I55" s="12">
        <v>24212.5</v>
      </c>
      <c r="J55" s="10" t="s">
        <v>51</v>
      </c>
      <c r="K55" s="10" t="s">
        <v>58</v>
      </c>
      <c r="L55" t="str">
        <f>IFERROR(VLOOKUP(D55,Products!A:F,3,0),"")</f>
        <v>Home</v>
      </c>
      <c r="M55" t="str">
        <f>IFERROR(VLOOKUP(E55,Sales_Reps!A:E,3,0),"")</f>
        <v>East</v>
      </c>
      <c r="N55" t="str">
        <f>IFERROR(VLOOKUP(C55,Customers!A:F,5,0),"")</f>
        <v>Retail</v>
      </c>
      <c r="O55">
        <f>IFERROR(VLOOKUP(C55,Customers!A:F,3,0),"")</f>
        <v>24</v>
      </c>
      <c r="P55">
        <f>IFERROR(VLOOKUP(D55,Products!A:F,4,0),"")</f>
        <v>1556</v>
      </c>
      <c r="Q55" t="b">
        <f>IFERROR(VLOOKUP(D55,Products!A:F,6,0),"")</f>
        <v>1</v>
      </c>
      <c r="R55">
        <f t="shared" si="0"/>
        <v>0.52123076923076928</v>
      </c>
      <c r="S55">
        <f t="shared" si="1"/>
        <v>1</v>
      </c>
      <c r="T55">
        <f>IF(AND(S55&gt;1,COUNTIF($A$2:A55,A55)=1),1,0)</f>
        <v>0</v>
      </c>
      <c r="U55">
        <f>COUNTIF(Customers!$A$2:$A$301,C55)</f>
        <v>1</v>
      </c>
      <c r="V55">
        <f t="shared" si="2"/>
        <v>0</v>
      </c>
    </row>
    <row r="56" spans="1:22" ht="14.25" customHeight="1" x14ac:dyDescent="0.35">
      <c r="A56" s="10" t="s">
        <v>219</v>
      </c>
      <c r="B56" s="11">
        <v>45515</v>
      </c>
      <c r="C56" s="10" t="s">
        <v>220</v>
      </c>
      <c r="D56" s="10" t="s">
        <v>201</v>
      </c>
      <c r="E56" s="10" t="s">
        <v>50</v>
      </c>
      <c r="F56" s="12">
        <v>4</v>
      </c>
      <c r="G56" s="12">
        <v>3640</v>
      </c>
      <c r="H56" s="12">
        <v>9.9</v>
      </c>
      <c r="I56" s="12">
        <v>13118.56</v>
      </c>
      <c r="J56" s="10" t="s">
        <v>108</v>
      </c>
      <c r="K56" s="10" t="s">
        <v>97</v>
      </c>
      <c r="L56" t="str">
        <f>IFERROR(VLOOKUP(D56,Products!A:F,3,0),"")</f>
        <v>Apparel</v>
      </c>
      <c r="M56" t="str">
        <f>IFERROR(VLOOKUP(E56,Sales_Reps!A:E,3,0),"")</f>
        <v>North</v>
      </c>
      <c r="N56" t="str">
        <f>IFERROR(VLOOKUP(C56,Customers!A:F,5,0),"")</f>
        <v>Retail</v>
      </c>
      <c r="O56">
        <f>IFERROR(VLOOKUP(C56,Customers!A:F,3,0),"")</f>
        <v>27</v>
      </c>
      <c r="P56">
        <f>IFERROR(VLOOKUP(D56,Products!A:F,4,0),"")</f>
        <v>2611</v>
      </c>
      <c r="Q56" t="b">
        <f>IFERROR(VLOOKUP(D56,Products!A:F,6,0),"")</f>
        <v>1</v>
      </c>
      <c r="R56">
        <f t="shared" si="0"/>
        <v>0.28269230769230769</v>
      </c>
      <c r="S56">
        <f t="shared" si="1"/>
        <v>1</v>
      </c>
      <c r="T56">
        <f>IF(AND(S56&gt;1,COUNTIF($A$2:A56,A56)=1),1,0)</f>
        <v>0</v>
      </c>
      <c r="U56">
        <f>COUNTIF(Customers!$A$2:$A$301,C56)</f>
        <v>1</v>
      </c>
      <c r="V56">
        <f t="shared" si="2"/>
        <v>0</v>
      </c>
    </row>
    <row r="57" spans="1:22" ht="14.25" customHeight="1" x14ac:dyDescent="0.35">
      <c r="A57" s="10" t="s">
        <v>221</v>
      </c>
      <c r="B57" s="11">
        <v>45649</v>
      </c>
      <c r="C57" s="10" t="s">
        <v>222</v>
      </c>
      <c r="D57" s="10" t="s">
        <v>223</v>
      </c>
      <c r="E57" s="10" t="s">
        <v>118</v>
      </c>
      <c r="F57" s="12">
        <v>4</v>
      </c>
      <c r="G57" s="12">
        <v>1540</v>
      </c>
      <c r="H57" s="12">
        <v>28.8</v>
      </c>
      <c r="I57" s="12">
        <v>4385.92</v>
      </c>
      <c r="J57" s="10" t="s">
        <v>51</v>
      </c>
      <c r="K57" s="10" t="s">
        <v>63</v>
      </c>
      <c r="L57" t="str">
        <f>IFERROR(VLOOKUP(D57,Products!A:F,3,0),"")</f>
        <v>Beauty</v>
      </c>
      <c r="M57" t="str">
        <f>IFERROR(VLOOKUP(E57,Sales_Reps!A:E,3,0),"")</f>
        <v>East</v>
      </c>
      <c r="N57" t="str">
        <f>IFERROR(VLOOKUP(C57,Customers!A:F,5,0),"")</f>
        <v>SMB</v>
      </c>
      <c r="O57">
        <f>IFERROR(VLOOKUP(C57,Customers!A:F,3,0),"")</f>
        <v>55</v>
      </c>
      <c r="P57">
        <f>IFERROR(VLOOKUP(D57,Products!A:F,4,0),"")</f>
        <v>647</v>
      </c>
      <c r="Q57" t="b">
        <f>IFERROR(VLOOKUP(D57,Products!A:F,6,0),"")</f>
        <v>0</v>
      </c>
      <c r="R57">
        <f t="shared" si="0"/>
        <v>0.57987012987012987</v>
      </c>
      <c r="S57">
        <f t="shared" si="1"/>
        <v>1</v>
      </c>
      <c r="T57">
        <f>IF(AND(S57&gt;1,COUNTIF($A$2:A57,A57)=1),1,0)</f>
        <v>0</v>
      </c>
      <c r="U57">
        <f>COUNTIF(Customers!$A$2:$A$301,C57)</f>
        <v>1</v>
      </c>
      <c r="V57">
        <f t="shared" si="2"/>
        <v>0</v>
      </c>
    </row>
    <row r="58" spans="1:22" ht="14.25" customHeight="1" x14ac:dyDescent="0.35">
      <c r="A58" s="10" t="s">
        <v>224</v>
      </c>
      <c r="B58" s="11">
        <v>45616</v>
      </c>
      <c r="C58" s="10" t="s">
        <v>225</v>
      </c>
      <c r="D58" s="10" t="s">
        <v>128</v>
      </c>
      <c r="E58" s="10" t="s">
        <v>202</v>
      </c>
      <c r="F58" s="12">
        <v>1</v>
      </c>
      <c r="G58" s="12">
        <v>1080</v>
      </c>
      <c r="H58" s="12">
        <v>23</v>
      </c>
      <c r="I58" s="12">
        <v>831.6</v>
      </c>
      <c r="J58" s="10" t="s">
        <v>104</v>
      </c>
      <c r="K58" s="10" t="s">
        <v>63</v>
      </c>
      <c r="L58" t="str">
        <f>IFERROR(VLOOKUP(D58,Products!A:F,3,0),"")</f>
        <v>Home</v>
      </c>
      <c r="M58" t="str">
        <f>IFERROR(VLOOKUP(E58,Sales_Reps!A:E,3,0),"")</f>
        <v>East</v>
      </c>
      <c r="N58" t="str">
        <f>IFERROR(VLOOKUP(C58,Customers!A:F,5,0),"")</f>
        <v>Retail</v>
      </c>
      <c r="O58">
        <f>IFERROR(VLOOKUP(C58,Customers!A:F,3,0),"")</f>
        <v>54</v>
      </c>
      <c r="P58">
        <f>IFERROR(VLOOKUP(D58,Products!A:F,4,0),"")</f>
        <v>519</v>
      </c>
      <c r="Q58" t="b">
        <f>IFERROR(VLOOKUP(D58,Products!A:F,6,0),"")</f>
        <v>1</v>
      </c>
      <c r="R58">
        <f t="shared" si="0"/>
        <v>0.51944444444444449</v>
      </c>
      <c r="S58">
        <f t="shared" si="1"/>
        <v>1</v>
      </c>
      <c r="T58">
        <f>IF(AND(S58&gt;1,COUNTIF($A$2:A58,A58)=1),1,0)</f>
        <v>0</v>
      </c>
      <c r="U58">
        <f>COUNTIF(Customers!$A$2:$A$301,C58)</f>
        <v>1</v>
      </c>
      <c r="V58">
        <f t="shared" si="2"/>
        <v>0</v>
      </c>
    </row>
    <row r="59" spans="1:22" ht="14.25" customHeight="1" x14ac:dyDescent="0.35">
      <c r="A59" s="10" t="s">
        <v>226</v>
      </c>
      <c r="B59" s="11">
        <v>45573</v>
      </c>
      <c r="C59" s="10" t="s">
        <v>227</v>
      </c>
      <c r="D59" s="10" t="s">
        <v>228</v>
      </c>
      <c r="E59" s="10" t="s">
        <v>50</v>
      </c>
      <c r="F59" s="12">
        <v>1</v>
      </c>
      <c r="G59" s="12">
        <v>4070</v>
      </c>
      <c r="H59" s="12">
        <v>6.7</v>
      </c>
      <c r="I59" s="12">
        <v>3797.31</v>
      </c>
      <c r="J59" s="10" t="s">
        <v>51</v>
      </c>
      <c r="K59" s="10" t="s">
        <v>97</v>
      </c>
      <c r="L59" t="str">
        <f>IFERROR(VLOOKUP(D59,Products!A:F,3,0),"")</f>
        <v>Grocery</v>
      </c>
      <c r="M59" t="str">
        <f>IFERROR(VLOOKUP(E59,Sales_Reps!A:E,3,0),"")</f>
        <v>North</v>
      </c>
      <c r="N59" t="str">
        <f>IFERROR(VLOOKUP(C59,Customers!A:F,5,0),"")</f>
        <v>Retail</v>
      </c>
      <c r="O59">
        <f>IFERROR(VLOOKUP(C59,Customers!A:F,3,0),"")</f>
        <v>53</v>
      </c>
      <c r="P59">
        <f>IFERROR(VLOOKUP(D59,Products!A:F,4,0),"")</f>
        <v>2027</v>
      </c>
      <c r="Q59" t="b">
        <f>IFERROR(VLOOKUP(D59,Products!A:F,6,0),"")</f>
        <v>1</v>
      </c>
      <c r="R59">
        <f t="shared" si="0"/>
        <v>0.50196560196560192</v>
      </c>
      <c r="S59">
        <f t="shared" si="1"/>
        <v>1</v>
      </c>
      <c r="T59">
        <f>IF(AND(S59&gt;1,COUNTIF($A$2:A59,A59)=1),1,0)</f>
        <v>0</v>
      </c>
      <c r="U59">
        <f>COUNTIF(Customers!$A$2:$A$301,C59)</f>
        <v>1</v>
      </c>
      <c r="V59">
        <f t="shared" si="2"/>
        <v>0</v>
      </c>
    </row>
    <row r="60" spans="1:22" ht="14.25" customHeight="1" x14ac:dyDescent="0.35">
      <c r="A60" s="10" t="s">
        <v>229</v>
      </c>
      <c r="B60" s="11">
        <v>45417</v>
      </c>
      <c r="C60" s="10" t="s">
        <v>230</v>
      </c>
      <c r="D60" s="10" t="s">
        <v>231</v>
      </c>
      <c r="E60" s="10" t="s">
        <v>134</v>
      </c>
      <c r="F60" s="12">
        <v>2</v>
      </c>
      <c r="G60" s="12">
        <v>1220</v>
      </c>
      <c r="H60" s="12">
        <v>11.7</v>
      </c>
      <c r="I60" s="12">
        <v>2154.52</v>
      </c>
      <c r="J60" s="10" t="s">
        <v>104</v>
      </c>
      <c r="K60" s="10" t="s">
        <v>63</v>
      </c>
      <c r="L60" t="str">
        <f>IFERROR(VLOOKUP(D60,Products!A:F,3,0),"")</f>
        <v>Electronics</v>
      </c>
      <c r="M60" t="str">
        <f>IFERROR(VLOOKUP(E60,Sales_Reps!A:E,3,0),"")</f>
        <v>West</v>
      </c>
      <c r="N60" t="str">
        <f>IFERROR(VLOOKUP(C60,Customers!A:F,5,0),"")</f>
        <v>Corporate</v>
      </c>
      <c r="O60">
        <f>IFERROR(VLOOKUP(C60,Customers!A:F,3,0),"")</f>
        <v>55</v>
      </c>
      <c r="P60">
        <f>IFERROR(VLOOKUP(D60,Products!A:F,4,0),"")</f>
        <v>517</v>
      </c>
      <c r="Q60" t="b">
        <f>IFERROR(VLOOKUP(D60,Products!A:F,6,0),"")</f>
        <v>1</v>
      </c>
      <c r="R60">
        <f t="shared" si="0"/>
        <v>0.57622950819672136</v>
      </c>
      <c r="S60">
        <f t="shared" si="1"/>
        <v>1</v>
      </c>
      <c r="T60">
        <f>IF(AND(S60&gt;1,COUNTIF($A$2:A60,A60)=1),1,0)</f>
        <v>0</v>
      </c>
      <c r="U60">
        <f>COUNTIF(Customers!$A$2:$A$301,C60)</f>
        <v>1</v>
      </c>
      <c r="V60">
        <f t="shared" si="2"/>
        <v>0</v>
      </c>
    </row>
    <row r="61" spans="1:22" ht="14.25" customHeight="1" x14ac:dyDescent="0.35">
      <c r="A61" s="10" t="s">
        <v>232</v>
      </c>
      <c r="B61" s="11">
        <v>45425</v>
      </c>
      <c r="C61" s="10" t="s">
        <v>233</v>
      </c>
      <c r="D61" s="10" t="s">
        <v>234</v>
      </c>
      <c r="E61" s="10" t="s">
        <v>193</v>
      </c>
      <c r="F61" s="12">
        <v>4</v>
      </c>
      <c r="G61" s="12">
        <v>4610</v>
      </c>
      <c r="H61" s="12">
        <v>26.9</v>
      </c>
      <c r="I61" s="12">
        <v>13479.64</v>
      </c>
      <c r="J61" s="10" t="s">
        <v>57</v>
      </c>
      <c r="K61" s="10" t="s">
        <v>76</v>
      </c>
      <c r="L61" t="str">
        <f>IFERROR(VLOOKUP(D61,Products!A:F,3,0),"")</f>
        <v>Home</v>
      </c>
      <c r="M61" t="str">
        <f>IFERROR(VLOOKUP(E61,Sales_Reps!A:E,3,0),"")</f>
        <v>West</v>
      </c>
      <c r="N61" t="str">
        <f>IFERROR(VLOOKUP(C61,Customers!A:F,5,0),"")</f>
        <v>Retail</v>
      </c>
      <c r="O61">
        <f>IFERROR(VLOOKUP(C61,Customers!A:F,3,0),"")</f>
        <v>40</v>
      </c>
      <c r="P61">
        <f>IFERROR(VLOOKUP(D61,Products!A:F,4,0),"")</f>
        <v>1850</v>
      </c>
      <c r="Q61" t="b">
        <f>IFERROR(VLOOKUP(D61,Products!A:F,6,0),"")</f>
        <v>1</v>
      </c>
      <c r="R61">
        <f t="shared" si="0"/>
        <v>0.59869848156182215</v>
      </c>
      <c r="S61">
        <f t="shared" si="1"/>
        <v>1</v>
      </c>
      <c r="T61">
        <f>IF(AND(S61&gt;1,COUNTIF($A$2:A61,A61)=1),1,0)</f>
        <v>0</v>
      </c>
      <c r="U61">
        <f>COUNTIF(Customers!$A$2:$A$301,C61)</f>
        <v>1</v>
      </c>
      <c r="V61">
        <f t="shared" si="2"/>
        <v>0</v>
      </c>
    </row>
    <row r="62" spans="1:22" ht="14.25" customHeight="1" x14ac:dyDescent="0.35">
      <c r="A62" s="10" t="s">
        <v>235</v>
      </c>
      <c r="B62" s="11">
        <v>45589</v>
      </c>
      <c r="C62" s="10" t="s">
        <v>236</v>
      </c>
      <c r="D62" s="10" t="s">
        <v>128</v>
      </c>
      <c r="E62" s="10" t="s">
        <v>237</v>
      </c>
      <c r="F62" s="12">
        <v>8</v>
      </c>
      <c r="G62" s="12">
        <v>1080</v>
      </c>
      <c r="H62" s="12">
        <v>28.4</v>
      </c>
      <c r="I62" s="12">
        <v>6186.24</v>
      </c>
      <c r="J62" s="10" t="s">
        <v>51</v>
      </c>
      <c r="K62" s="10" t="s">
        <v>58</v>
      </c>
      <c r="L62" t="str">
        <f>IFERROR(VLOOKUP(D62,Products!A:F,3,0),"")</f>
        <v>Home</v>
      </c>
      <c r="M62" t="str">
        <f>IFERROR(VLOOKUP(E62,Sales_Reps!A:E,3,0),"")</f>
        <v>South</v>
      </c>
      <c r="N62" t="str">
        <f>IFERROR(VLOOKUP(C62,Customers!A:F,5,0),"")</f>
        <v>SMB</v>
      </c>
      <c r="O62">
        <f>IFERROR(VLOOKUP(C62,Customers!A:F,3,0),"")</f>
        <v>55</v>
      </c>
      <c r="P62">
        <f>IFERROR(VLOOKUP(D62,Products!A:F,4,0),"")</f>
        <v>519</v>
      </c>
      <c r="Q62" t="b">
        <f>IFERROR(VLOOKUP(D62,Products!A:F,6,0),"")</f>
        <v>1</v>
      </c>
      <c r="R62">
        <f t="shared" si="0"/>
        <v>0.51944444444444449</v>
      </c>
      <c r="S62">
        <f t="shared" si="1"/>
        <v>1</v>
      </c>
      <c r="T62">
        <f>IF(AND(S62&gt;1,COUNTIF($A$2:A62,A62)=1),1,0)</f>
        <v>0</v>
      </c>
      <c r="U62">
        <f>COUNTIF(Customers!$A$2:$A$301,C62)</f>
        <v>1</v>
      </c>
      <c r="V62">
        <f t="shared" si="2"/>
        <v>0</v>
      </c>
    </row>
    <row r="63" spans="1:22" ht="14.25" customHeight="1" x14ac:dyDescent="0.35">
      <c r="A63" s="10" t="s">
        <v>238</v>
      </c>
      <c r="B63" s="11">
        <v>45488</v>
      </c>
      <c r="C63" s="10" t="s">
        <v>239</v>
      </c>
      <c r="D63" s="10" t="s">
        <v>240</v>
      </c>
      <c r="E63" s="10" t="s">
        <v>67</v>
      </c>
      <c r="F63" s="12">
        <v>10</v>
      </c>
      <c r="G63" s="12">
        <v>3020</v>
      </c>
      <c r="H63" s="12">
        <v>25.4</v>
      </c>
      <c r="I63" s="12">
        <v>22529.200000000001</v>
      </c>
      <c r="J63" s="10" t="s">
        <v>51</v>
      </c>
      <c r="K63" s="10" t="s">
        <v>52</v>
      </c>
      <c r="L63" t="str">
        <f>IFERROR(VLOOKUP(D63,Products!A:F,3,0),"")</f>
        <v>Beauty</v>
      </c>
      <c r="M63" t="str">
        <f>IFERROR(VLOOKUP(E63,Sales_Reps!A:E,3,0),"")</f>
        <v>North</v>
      </c>
      <c r="N63" t="str">
        <f>IFERROR(VLOOKUP(C63,Customers!A:F,5,0),"")</f>
        <v>Retail</v>
      </c>
      <c r="O63">
        <f>IFERROR(VLOOKUP(C63,Customers!A:F,3,0),"")</f>
        <v>44</v>
      </c>
      <c r="P63">
        <f>IFERROR(VLOOKUP(D63,Products!A:F,4,0),"")</f>
        <v>1626</v>
      </c>
      <c r="Q63" t="b">
        <f>IFERROR(VLOOKUP(D63,Products!A:F,6,0),"")</f>
        <v>1</v>
      </c>
      <c r="R63">
        <f t="shared" si="0"/>
        <v>0.46158940397350995</v>
      </c>
      <c r="S63">
        <f t="shared" si="1"/>
        <v>1</v>
      </c>
      <c r="T63">
        <f>IF(AND(S63&gt;1,COUNTIF($A$2:A63,A63)=1),1,0)</f>
        <v>0</v>
      </c>
      <c r="U63">
        <f>COUNTIF(Customers!$A$2:$A$301,C63)</f>
        <v>1</v>
      </c>
      <c r="V63">
        <f t="shared" si="2"/>
        <v>0</v>
      </c>
    </row>
    <row r="64" spans="1:22" ht="14.25" customHeight="1" x14ac:dyDescent="0.35">
      <c r="A64" s="10" t="s">
        <v>241</v>
      </c>
      <c r="B64" s="11">
        <v>45465</v>
      </c>
      <c r="C64" s="10" t="s">
        <v>242</v>
      </c>
      <c r="D64" s="10" t="s">
        <v>243</v>
      </c>
      <c r="E64" s="10" t="s">
        <v>202</v>
      </c>
      <c r="F64" s="12">
        <v>7</v>
      </c>
      <c r="G64" s="12">
        <v>2660</v>
      </c>
      <c r="H64" s="12">
        <v>5.3</v>
      </c>
      <c r="I64" s="12">
        <v>17633.14</v>
      </c>
      <c r="J64" s="10" t="s">
        <v>51</v>
      </c>
      <c r="K64" s="10" t="s">
        <v>97</v>
      </c>
      <c r="L64" t="str">
        <f>IFERROR(VLOOKUP(D64,Products!A:F,3,0),"")</f>
        <v>Electronics</v>
      </c>
      <c r="M64" t="str">
        <f>IFERROR(VLOOKUP(E64,Sales_Reps!A:E,3,0),"")</f>
        <v>East</v>
      </c>
      <c r="N64" t="str">
        <f>IFERROR(VLOOKUP(C64,Customers!A:F,5,0),"")</f>
        <v>Corporate</v>
      </c>
      <c r="O64">
        <f>IFERROR(VLOOKUP(C64,Customers!A:F,3,0),"")</f>
        <v>29</v>
      </c>
      <c r="P64">
        <f>IFERROR(VLOOKUP(D64,Products!A:F,4,0),"")</f>
        <v>1259</v>
      </c>
      <c r="Q64" t="b">
        <f>IFERROR(VLOOKUP(D64,Products!A:F,6,0),"")</f>
        <v>0</v>
      </c>
      <c r="R64">
        <f t="shared" si="0"/>
        <v>0.52669172932330832</v>
      </c>
      <c r="S64">
        <f t="shared" si="1"/>
        <v>1</v>
      </c>
      <c r="T64">
        <f>IF(AND(S64&gt;1,COUNTIF($A$2:A64,A64)=1),1,0)</f>
        <v>0</v>
      </c>
      <c r="U64">
        <f>COUNTIF(Customers!$A$2:$A$301,C64)</f>
        <v>1</v>
      </c>
      <c r="V64">
        <f t="shared" si="2"/>
        <v>0</v>
      </c>
    </row>
    <row r="65" spans="1:22" ht="14.25" customHeight="1" x14ac:dyDescent="0.35">
      <c r="A65" s="10" t="s">
        <v>244</v>
      </c>
      <c r="B65" s="11">
        <v>45599</v>
      </c>
      <c r="C65" s="10" t="s">
        <v>245</v>
      </c>
      <c r="D65" s="10" t="s">
        <v>246</v>
      </c>
      <c r="E65" s="10" t="s">
        <v>112</v>
      </c>
      <c r="F65" s="12">
        <v>9</v>
      </c>
      <c r="G65" s="12">
        <v>300</v>
      </c>
      <c r="H65" s="12">
        <v>25.3</v>
      </c>
      <c r="I65" s="12">
        <v>2016.9</v>
      </c>
      <c r="J65" s="10" t="s">
        <v>51</v>
      </c>
      <c r="K65" s="10" t="s">
        <v>52</v>
      </c>
      <c r="L65" t="str">
        <f>IFERROR(VLOOKUP(D65,Products!A:F,3,0),"")</f>
        <v>Electronics</v>
      </c>
      <c r="M65" t="str">
        <f>IFERROR(VLOOKUP(E65,Sales_Reps!A:E,3,0),"")</f>
        <v>North</v>
      </c>
      <c r="N65" t="str">
        <f>IFERROR(VLOOKUP(C65,Customers!A:F,5,0),"")</f>
        <v>Retail</v>
      </c>
      <c r="O65">
        <f>IFERROR(VLOOKUP(C65,Customers!A:F,3,0),"")</f>
        <v>25</v>
      </c>
      <c r="P65">
        <f>IFERROR(VLOOKUP(D65,Products!A:F,4,0),"")</f>
        <v>128</v>
      </c>
      <c r="Q65" t="b">
        <f>IFERROR(VLOOKUP(D65,Products!A:F,6,0),"")</f>
        <v>1</v>
      </c>
      <c r="R65">
        <f t="shared" si="0"/>
        <v>0.57333333333333336</v>
      </c>
      <c r="S65">
        <f t="shared" si="1"/>
        <v>1</v>
      </c>
      <c r="T65">
        <f>IF(AND(S65&gt;1,COUNTIF($A$2:A65,A65)=1),1,0)</f>
        <v>0</v>
      </c>
      <c r="U65">
        <f>COUNTIF(Customers!$A$2:$A$301,C65)</f>
        <v>1</v>
      </c>
      <c r="V65">
        <f t="shared" si="2"/>
        <v>0</v>
      </c>
    </row>
    <row r="66" spans="1:22" ht="14.25" customHeight="1" x14ac:dyDescent="0.35">
      <c r="A66" s="10" t="s">
        <v>247</v>
      </c>
      <c r="B66" s="11">
        <v>45317</v>
      </c>
      <c r="C66" s="10" t="s">
        <v>248</v>
      </c>
      <c r="D66" s="10" t="s">
        <v>99</v>
      </c>
      <c r="E66" s="10" t="s">
        <v>249</v>
      </c>
      <c r="F66" s="12">
        <v>10</v>
      </c>
      <c r="G66" s="12">
        <v>2640</v>
      </c>
      <c r="H66" s="12">
        <v>18.7</v>
      </c>
      <c r="I66" s="12">
        <v>21463.200000000001</v>
      </c>
      <c r="J66" s="10" t="s">
        <v>104</v>
      </c>
      <c r="K66" s="10" t="s">
        <v>58</v>
      </c>
      <c r="L66" t="str">
        <f>IFERROR(VLOOKUP(D66,Products!A:F,3,0),"")</f>
        <v>Electronics</v>
      </c>
      <c r="M66" t="str">
        <f>IFERROR(VLOOKUP(E66,Sales_Reps!A:E,3,0),"")</f>
        <v>East</v>
      </c>
      <c r="N66" t="str">
        <f>IFERROR(VLOOKUP(C66,Customers!A:F,5,0),"")</f>
        <v>Retail</v>
      </c>
      <c r="O66">
        <f>IFERROR(VLOOKUP(C66,Customers!A:F,3,0),"")</f>
        <v>28</v>
      </c>
      <c r="P66">
        <f>IFERROR(VLOOKUP(D66,Products!A:F,4,0),"")</f>
        <v>1149</v>
      </c>
      <c r="Q66" t="b">
        <f>IFERROR(VLOOKUP(D66,Products!A:F,6,0),"")</f>
        <v>1</v>
      </c>
      <c r="R66">
        <f t="shared" ref="R66:R129" si="3">IFERROR((G66-P66)/G66,"")</f>
        <v>0.56477272727272732</v>
      </c>
      <c r="S66">
        <f t="shared" ref="S66:S129" si="4">COUNTIF($A$2:$A$2001,A66)</f>
        <v>1</v>
      </c>
      <c r="T66">
        <f>IF(AND(S66&gt;1,COUNTIF($A$2:A66,A66)=1),1,0)</f>
        <v>0</v>
      </c>
      <c r="U66">
        <f>COUNTIF(Customers!$A$2:$A$301,C66)</f>
        <v>1</v>
      </c>
      <c r="V66">
        <f t="shared" ref="V66:V129" si="5">IF(AND(K66="Bengaluru",L66="Grocery"),I66,0)</f>
        <v>0</v>
      </c>
    </row>
    <row r="67" spans="1:22" ht="14.25" customHeight="1" x14ac:dyDescent="0.35">
      <c r="A67" s="10" t="s">
        <v>250</v>
      </c>
      <c r="B67" s="11">
        <v>45462</v>
      </c>
      <c r="C67" s="10" t="s">
        <v>183</v>
      </c>
      <c r="D67" s="10" t="s">
        <v>55</v>
      </c>
      <c r="E67" s="10" t="s">
        <v>156</v>
      </c>
      <c r="F67" s="12">
        <v>8</v>
      </c>
      <c r="G67" s="12">
        <v>820</v>
      </c>
      <c r="H67" s="12">
        <v>24</v>
      </c>
      <c r="I67" s="12">
        <v>4985.6000000000004</v>
      </c>
      <c r="J67" s="10" t="s">
        <v>51</v>
      </c>
      <c r="K67" s="10" t="s">
        <v>63</v>
      </c>
      <c r="L67" t="str">
        <f>IFERROR(VLOOKUP(D67,Products!A:F,3,0),"")</f>
        <v>Apparel</v>
      </c>
      <c r="M67" t="str">
        <f>IFERROR(VLOOKUP(E67,Sales_Reps!A:E,3,0),"")</f>
        <v>East</v>
      </c>
      <c r="N67" t="str">
        <f>IFERROR(VLOOKUP(C67,Customers!A:F,5,0),"")</f>
        <v>SMB</v>
      </c>
      <c r="O67">
        <f>IFERROR(VLOOKUP(C67,Customers!A:F,3,0),"")</f>
        <v>50</v>
      </c>
      <c r="P67">
        <f>IFERROR(VLOOKUP(D67,Products!A:F,4,0),"")</f>
        <v>391</v>
      </c>
      <c r="Q67" t="b">
        <f>IFERROR(VLOOKUP(D67,Products!A:F,6,0),"")</f>
        <v>1</v>
      </c>
      <c r="R67">
        <f t="shared" si="3"/>
        <v>0.52317073170731709</v>
      </c>
      <c r="S67">
        <f t="shared" si="4"/>
        <v>1</v>
      </c>
      <c r="T67">
        <f>IF(AND(S67&gt;1,COUNTIF($A$2:A67,A67)=1),1,0)</f>
        <v>0</v>
      </c>
      <c r="U67">
        <f>COUNTIF(Customers!$A$2:$A$301,C67)</f>
        <v>1</v>
      </c>
      <c r="V67">
        <f t="shared" si="5"/>
        <v>0</v>
      </c>
    </row>
    <row r="68" spans="1:22" ht="14.25" customHeight="1" x14ac:dyDescent="0.35">
      <c r="A68" s="10" t="s">
        <v>251</v>
      </c>
      <c r="B68" s="11">
        <v>45499</v>
      </c>
      <c r="C68" s="10" t="s">
        <v>54</v>
      </c>
      <c r="D68" s="10" t="s">
        <v>164</v>
      </c>
      <c r="E68" s="10" t="s">
        <v>92</v>
      </c>
      <c r="F68" s="12">
        <v>1</v>
      </c>
      <c r="G68" s="12">
        <v>2760</v>
      </c>
      <c r="H68" s="12">
        <v>4.8</v>
      </c>
      <c r="I68" s="12">
        <v>2627.52</v>
      </c>
      <c r="J68" s="10" t="s">
        <v>51</v>
      </c>
      <c r="K68" s="10" t="s">
        <v>58</v>
      </c>
      <c r="L68" t="str">
        <f>IFERROR(VLOOKUP(D68,Products!A:F,3,0),"")</f>
        <v>Grocery</v>
      </c>
      <c r="M68" t="str">
        <f>IFERROR(VLOOKUP(E68,Sales_Reps!A:E,3,0),"")</f>
        <v>West</v>
      </c>
      <c r="N68" t="str">
        <f>IFERROR(VLOOKUP(C68,Customers!A:F,5,0),"")</f>
        <v>Retail</v>
      </c>
      <c r="O68">
        <f>IFERROR(VLOOKUP(C68,Customers!A:F,3,0),"")</f>
        <v>39</v>
      </c>
      <c r="P68">
        <f>IFERROR(VLOOKUP(D68,Products!A:F,4,0),"")</f>
        <v>1435</v>
      </c>
      <c r="Q68" t="b">
        <f>IFERROR(VLOOKUP(D68,Products!A:F,6,0),"")</f>
        <v>1</v>
      </c>
      <c r="R68">
        <f t="shared" si="3"/>
        <v>0.48007246376811596</v>
      </c>
      <c r="S68">
        <f t="shared" si="4"/>
        <v>1</v>
      </c>
      <c r="T68">
        <f>IF(AND(S68&gt;1,COUNTIF($A$2:A68,A68)=1),1,0)</f>
        <v>0</v>
      </c>
      <c r="U68">
        <f>COUNTIF(Customers!$A$2:$A$301,C68)</f>
        <v>1</v>
      </c>
      <c r="V68">
        <f t="shared" si="5"/>
        <v>0</v>
      </c>
    </row>
    <row r="69" spans="1:22" ht="14.25" customHeight="1" x14ac:dyDescent="0.35">
      <c r="A69" s="10" t="s">
        <v>252</v>
      </c>
      <c r="B69" s="11">
        <v>45328</v>
      </c>
      <c r="C69" s="10" t="s">
        <v>253</v>
      </c>
      <c r="D69" s="10" t="s">
        <v>49</v>
      </c>
      <c r="E69" s="10" t="s">
        <v>202</v>
      </c>
      <c r="F69" s="12">
        <v>2</v>
      </c>
      <c r="G69" s="12">
        <v>3620</v>
      </c>
      <c r="H69" s="12">
        <v>19.100000000000001</v>
      </c>
      <c r="I69" s="12">
        <v>5857.16</v>
      </c>
      <c r="J69" s="10" t="s">
        <v>51</v>
      </c>
      <c r="K69" s="10" t="s">
        <v>58</v>
      </c>
      <c r="L69" t="str">
        <f>IFERROR(VLOOKUP(D69,Products!A:F,3,0),"")</f>
        <v>Apparel</v>
      </c>
      <c r="M69" t="str">
        <f>IFERROR(VLOOKUP(E69,Sales_Reps!A:E,3,0),"")</f>
        <v>East</v>
      </c>
      <c r="N69" t="str">
        <f>IFERROR(VLOOKUP(C69,Customers!A:F,5,0),"")</f>
        <v>Retail</v>
      </c>
      <c r="O69">
        <f>IFERROR(VLOOKUP(C69,Customers!A:F,3,0),"")</f>
        <v>38</v>
      </c>
      <c r="P69">
        <f>IFERROR(VLOOKUP(D69,Products!A:F,4,0),"")</f>
        <v>2509</v>
      </c>
      <c r="Q69" t="b">
        <f>IFERROR(VLOOKUP(D69,Products!A:F,6,0),"")</f>
        <v>1</v>
      </c>
      <c r="R69">
        <f t="shared" si="3"/>
        <v>0.3069060773480663</v>
      </c>
      <c r="S69">
        <f t="shared" si="4"/>
        <v>1</v>
      </c>
      <c r="T69">
        <f>IF(AND(S69&gt;1,COUNTIF($A$2:A69,A69)=1),1,0)</f>
        <v>0</v>
      </c>
      <c r="U69">
        <f>COUNTIF(Customers!$A$2:$A$301,C69)</f>
        <v>1</v>
      </c>
      <c r="V69">
        <f t="shared" si="5"/>
        <v>0</v>
      </c>
    </row>
    <row r="70" spans="1:22" ht="14.25" customHeight="1" x14ac:dyDescent="0.35">
      <c r="A70" s="10" t="s">
        <v>254</v>
      </c>
      <c r="B70" s="11">
        <v>45459</v>
      </c>
      <c r="C70" s="10" t="s">
        <v>255</v>
      </c>
      <c r="D70" s="10" t="s">
        <v>256</v>
      </c>
      <c r="E70" s="10" t="s">
        <v>75</v>
      </c>
      <c r="F70" s="12">
        <v>1</v>
      </c>
      <c r="G70" s="12">
        <v>620</v>
      </c>
      <c r="H70" s="12">
        <v>1</v>
      </c>
      <c r="I70" s="12">
        <v>613.79999999999995</v>
      </c>
      <c r="J70" s="10" t="s">
        <v>51</v>
      </c>
      <c r="K70" s="10" t="s">
        <v>63</v>
      </c>
      <c r="L70" t="str">
        <f>IFERROR(VLOOKUP(D70,Products!A:F,3,0),"")</f>
        <v>Apparel</v>
      </c>
      <c r="M70" t="str">
        <f>IFERROR(VLOOKUP(E70,Sales_Reps!A:E,3,0),"")</f>
        <v>West</v>
      </c>
      <c r="N70" t="str">
        <f>IFERROR(VLOOKUP(C70,Customers!A:F,5,0),"")</f>
        <v>Retail</v>
      </c>
      <c r="O70">
        <f>IFERROR(VLOOKUP(C70,Customers!A:F,3,0),"")</f>
        <v>35</v>
      </c>
      <c r="P70">
        <f>IFERROR(VLOOKUP(D70,Products!A:F,4,0),"")</f>
        <v>396</v>
      </c>
      <c r="Q70" t="b">
        <f>IFERROR(VLOOKUP(D70,Products!A:F,6,0),"")</f>
        <v>1</v>
      </c>
      <c r="R70">
        <f t="shared" si="3"/>
        <v>0.36129032258064514</v>
      </c>
      <c r="S70">
        <f t="shared" si="4"/>
        <v>1</v>
      </c>
      <c r="T70">
        <f>IF(AND(S70&gt;1,COUNTIF($A$2:A70,A70)=1),1,0)</f>
        <v>0</v>
      </c>
      <c r="U70">
        <f>COUNTIF(Customers!$A$2:$A$301,C70)</f>
        <v>1</v>
      </c>
      <c r="V70">
        <f t="shared" si="5"/>
        <v>0</v>
      </c>
    </row>
    <row r="71" spans="1:22" ht="14.25" customHeight="1" x14ac:dyDescent="0.35">
      <c r="A71" s="10" t="s">
        <v>257</v>
      </c>
      <c r="B71" s="11">
        <v>45398</v>
      </c>
      <c r="C71" s="10" t="s">
        <v>258</v>
      </c>
      <c r="D71" s="10" t="s">
        <v>259</v>
      </c>
      <c r="E71" s="10" t="s">
        <v>134</v>
      </c>
      <c r="F71" s="12">
        <v>1</v>
      </c>
      <c r="G71" s="12">
        <v>2030</v>
      </c>
      <c r="H71" s="12">
        <v>3.3</v>
      </c>
      <c r="I71" s="12">
        <v>1963.01</v>
      </c>
      <c r="J71" s="10" t="s">
        <v>51</v>
      </c>
      <c r="K71" s="10" t="s">
        <v>97</v>
      </c>
      <c r="L71" t="str">
        <f>IFERROR(VLOOKUP(D71,Products!A:F,3,0),"")</f>
        <v>Home</v>
      </c>
      <c r="M71" t="str">
        <f>IFERROR(VLOOKUP(E71,Sales_Reps!A:E,3,0),"")</f>
        <v>West</v>
      </c>
      <c r="N71" t="str">
        <f>IFERROR(VLOOKUP(C71,Customers!A:F,5,0),"")</f>
        <v>SMB</v>
      </c>
      <c r="O71">
        <f>IFERROR(VLOOKUP(C71,Customers!A:F,3,0),"")</f>
        <v>43</v>
      </c>
      <c r="P71">
        <f>IFERROR(VLOOKUP(D71,Products!A:F,4,0),"")</f>
        <v>1143</v>
      </c>
      <c r="Q71" t="b">
        <f>IFERROR(VLOOKUP(D71,Products!A:F,6,0),"")</f>
        <v>1</v>
      </c>
      <c r="R71">
        <f t="shared" si="3"/>
        <v>0.43694581280788175</v>
      </c>
      <c r="S71">
        <f t="shared" si="4"/>
        <v>1</v>
      </c>
      <c r="T71">
        <f>IF(AND(S71&gt;1,COUNTIF($A$2:A71,A71)=1),1,0)</f>
        <v>0</v>
      </c>
      <c r="U71">
        <f>COUNTIF(Customers!$A$2:$A$301,C71)</f>
        <v>1</v>
      </c>
      <c r="V71">
        <f t="shared" si="5"/>
        <v>0</v>
      </c>
    </row>
    <row r="72" spans="1:22" ht="14.25" customHeight="1" x14ac:dyDescent="0.35">
      <c r="A72" s="10" t="s">
        <v>260</v>
      </c>
      <c r="B72" s="11">
        <v>45470</v>
      </c>
      <c r="C72" s="10" t="s">
        <v>69</v>
      </c>
      <c r="D72" s="10" t="s">
        <v>70</v>
      </c>
      <c r="E72" s="10" t="s">
        <v>261</v>
      </c>
      <c r="F72" s="12">
        <v>10</v>
      </c>
      <c r="G72" s="12">
        <v>3160</v>
      </c>
      <c r="H72" s="12">
        <v>15.8</v>
      </c>
      <c r="I72" s="12">
        <v>26607.200000000001</v>
      </c>
      <c r="J72" s="10" t="s">
        <v>51</v>
      </c>
      <c r="K72" s="10" t="s">
        <v>58</v>
      </c>
      <c r="L72" t="str">
        <f>IFERROR(VLOOKUP(D72,Products!A:F,3,0),"")</f>
        <v>Apparel</v>
      </c>
      <c r="M72" t="str">
        <f>IFERROR(VLOOKUP(E72,Sales_Reps!A:E,3,0),"")</f>
        <v>North</v>
      </c>
      <c r="N72" t="str">
        <f>IFERROR(VLOOKUP(C72,Customers!A:F,5,0),"")</f>
        <v>Retail</v>
      </c>
      <c r="O72">
        <f>IFERROR(VLOOKUP(C72,Customers!A:F,3,0),"")</f>
        <v>36</v>
      </c>
      <c r="P72">
        <f>IFERROR(VLOOKUP(D72,Products!A:F,4,0),"")</f>
        <v>1886</v>
      </c>
      <c r="Q72" t="b">
        <f>IFERROR(VLOOKUP(D72,Products!A:F,6,0),"")</f>
        <v>1</v>
      </c>
      <c r="R72">
        <f t="shared" si="3"/>
        <v>0.4031645569620253</v>
      </c>
      <c r="S72">
        <f t="shared" si="4"/>
        <v>1</v>
      </c>
      <c r="T72">
        <f>IF(AND(S72&gt;1,COUNTIF($A$2:A72,A72)=1),1,0)</f>
        <v>0</v>
      </c>
      <c r="U72">
        <f>COUNTIF(Customers!$A$2:$A$301,C72)</f>
        <v>1</v>
      </c>
      <c r="V72">
        <f t="shared" si="5"/>
        <v>0</v>
      </c>
    </row>
    <row r="73" spans="1:22" ht="14.25" customHeight="1" x14ac:dyDescent="0.35">
      <c r="A73" s="10" t="s">
        <v>262</v>
      </c>
      <c r="B73" s="11">
        <v>45346</v>
      </c>
      <c r="C73" s="10" t="s">
        <v>263</v>
      </c>
      <c r="D73" s="10" t="s">
        <v>91</v>
      </c>
      <c r="E73" s="10" t="s">
        <v>179</v>
      </c>
      <c r="F73" s="12">
        <v>5</v>
      </c>
      <c r="G73" s="12">
        <v>970</v>
      </c>
      <c r="H73" s="12">
        <v>12.2</v>
      </c>
      <c r="I73" s="12">
        <v>4258.3</v>
      </c>
      <c r="J73" s="10" t="s">
        <v>51</v>
      </c>
      <c r="K73" s="10" t="s">
        <v>97</v>
      </c>
      <c r="L73" t="str">
        <f>IFERROR(VLOOKUP(D73,Products!A:F,3,0),"")</f>
        <v>Grocery</v>
      </c>
      <c r="M73" t="str">
        <f>IFERROR(VLOOKUP(E73,Sales_Reps!A:E,3,0),"")</f>
        <v>North</v>
      </c>
      <c r="N73" t="str">
        <f>IFERROR(VLOOKUP(C73,Customers!A:F,5,0),"")</f>
        <v>Retail</v>
      </c>
      <c r="O73">
        <f>IFERROR(VLOOKUP(C73,Customers!A:F,3,0),"")</f>
        <v>29</v>
      </c>
      <c r="P73">
        <f>IFERROR(VLOOKUP(D73,Products!A:F,4,0),"")</f>
        <v>434</v>
      </c>
      <c r="Q73" t="b">
        <f>IFERROR(VLOOKUP(D73,Products!A:F,6,0),"")</f>
        <v>1</v>
      </c>
      <c r="R73">
        <f t="shared" si="3"/>
        <v>0.5525773195876289</v>
      </c>
      <c r="S73">
        <f t="shared" si="4"/>
        <v>1</v>
      </c>
      <c r="T73">
        <f>IF(AND(S73&gt;1,COUNTIF($A$2:A73,A73)=1),1,0)</f>
        <v>0</v>
      </c>
      <c r="U73">
        <f>COUNTIF(Customers!$A$2:$A$301,C73)</f>
        <v>1</v>
      </c>
      <c r="V73">
        <f t="shared" si="5"/>
        <v>0</v>
      </c>
    </row>
    <row r="74" spans="1:22" ht="14.25" customHeight="1" x14ac:dyDescent="0.35">
      <c r="A74" s="10" t="s">
        <v>264</v>
      </c>
      <c r="B74" s="11">
        <v>45483</v>
      </c>
      <c r="C74" s="10" t="s">
        <v>265</v>
      </c>
      <c r="D74" s="10" t="s">
        <v>143</v>
      </c>
      <c r="E74" s="10" t="s">
        <v>112</v>
      </c>
      <c r="F74" s="12">
        <v>9</v>
      </c>
      <c r="G74" s="12">
        <v>3350</v>
      </c>
      <c r="H74" s="12">
        <v>25.8</v>
      </c>
      <c r="I74" s="12">
        <v>22371.3</v>
      </c>
      <c r="J74" s="10" t="s">
        <v>57</v>
      </c>
      <c r="K74" s="10" t="s">
        <v>58</v>
      </c>
      <c r="L74" t="str">
        <f>IFERROR(VLOOKUP(D74,Products!A:F,3,0),"")</f>
        <v>Beauty</v>
      </c>
      <c r="M74" t="str">
        <f>IFERROR(VLOOKUP(E74,Sales_Reps!A:E,3,0),"")</f>
        <v>North</v>
      </c>
      <c r="N74" t="str">
        <f>IFERROR(VLOOKUP(C74,Customers!A:F,5,0),"")</f>
        <v>Retail</v>
      </c>
      <c r="O74">
        <f>IFERROR(VLOOKUP(C74,Customers!A:F,3,0),"")</f>
        <v>41</v>
      </c>
      <c r="P74">
        <f>IFERROR(VLOOKUP(D74,Products!A:F,4,0),"")</f>
        <v>1728</v>
      </c>
      <c r="Q74" t="b">
        <f>IFERROR(VLOOKUP(D74,Products!A:F,6,0),"")</f>
        <v>1</v>
      </c>
      <c r="R74">
        <f t="shared" si="3"/>
        <v>0.48417910447761192</v>
      </c>
      <c r="S74">
        <f t="shared" si="4"/>
        <v>1</v>
      </c>
      <c r="T74">
        <f>IF(AND(S74&gt;1,COUNTIF($A$2:A74,A74)=1),1,0)</f>
        <v>0</v>
      </c>
      <c r="U74">
        <f>COUNTIF(Customers!$A$2:$A$301,C74)</f>
        <v>1</v>
      </c>
      <c r="V74">
        <f t="shared" si="5"/>
        <v>0</v>
      </c>
    </row>
    <row r="75" spans="1:22" ht="14.25" customHeight="1" x14ac:dyDescent="0.35">
      <c r="A75" s="10" t="s">
        <v>266</v>
      </c>
      <c r="B75" s="11">
        <v>45585</v>
      </c>
      <c r="C75" s="10" t="s">
        <v>222</v>
      </c>
      <c r="D75" s="10" t="s">
        <v>74</v>
      </c>
      <c r="E75" s="10" t="s">
        <v>267</v>
      </c>
      <c r="F75" s="12">
        <v>1</v>
      </c>
      <c r="G75" s="12">
        <v>370</v>
      </c>
      <c r="H75" s="12">
        <v>28.9</v>
      </c>
      <c r="I75" s="12">
        <v>263.07</v>
      </c>
      <c r="J75" s="10" t="s">
        <v>51</v>
      </c>
      <c r="K75" s="10" t="s">
        <v>63</v>
      </c>
      <c r="L75" t="str">
        <f>IFERROR(VLOOKUP(D75,Products!A:F,3,0),"")</f>
        <v>Home</v>
      </c>
      <c r="M75" t="str">
        <f>IFERROR(VLOOKUP(E75,Sales_Reps!A:E,3,0),"")</f>
        <v>East</v>
      </c>
      <c r="N75" t="str">
        <f>IFERROR(VLOOKUP(C75,Customers!A:F,5,0),"")</f>
        <v>SMB</v>
      </c>
      <c r="O75">
        <f>IFERROR(VLOOKUP(C75,Customers!A:F,3,0),"")</f>
        <v>55</v>
      </c>
      <c r="P75">
        <f>IFERROR(VLOOKUP(D75,Products!A:F,4,0),"")</f>
        <v>288</v>
      </c>
      <c r="Q75" t="b">
        <f>IFERROR(VLOOKUP(D75,Products!A:F,6,0),"")</f>
        <v>1</v>
      </c>
      <c r="R75">
        <f t="shared" si="3"/>
        <v>0.22162162162162163</v>
      </c>
      <c r="S75">
        <f t="shared" si="4"/>
        <v>1</v>
      </c>
      <c r="T75">
        <f>IF(AND(S75&gt;1,COUNTIF($A$2:A75,A75)=1),1,0)</f>
        <v>0</v>
      </c>
      <c r="U75">
        <f>COUNTIF(Customers!$A$2:$A$301,C75)</f>
        <v>1</v>
      </c>
      <c r="V75">
        <f t="shared" si="5"/>
        <v>0</v>
      </c>
    </row>
    <row r="76" spans="1:22" ht="14.25" customHeight="1" x14ac:dyDescent="0.35">
      <c r="A76" s="10" t="s">
        <v>268</v>
      </c>
      <c r="B76" s="11">
        <v>45500</v>
      </c>
      <c r="C76" s="10" t="s">
        <v>269</v>
      </c>
      <c r="D76" s="10" t="s">
        <v>91</v>
      </c>
      <c r="E76" s="10" t="s">
        <v>96</v>
      </c>
      <c r="F76" s="12">
        <v>3</v>
      </c>
      <c r="G76" s="12">
        <v>970</v>
      </c>
      <c r="H76" s="12">
        <v>4.3</v>
      </c>
      <c r="I76" s="12">
        <v>2784.87</v>
      </c>
      <c r="J76" s="10" t="s">
        <v>104</v>
      </c>
      <c r="K76" s="10" t="s">
        <v>97</v>
      </c>
      <c r="L76" t="str">
        <f>IFERROR(VLOOKUP(D76,Products!A:F,3,0),"")</f>
        <v>Grocery</v>
      </c>
      <c r="M76" t="str">
        <f>IFERROR(VLOOKUP(E76,Sales_Reps!A:E,3,0),"")</f>
        <v>South</v>
      </c>
      <c r="N76" t="str">
        <f>IFERROR(VLOOKUP(C76,Customers!A:F,5,0),"")</f>
        <v>Corporate</v>
      </c>
      <c r="O76">
        <f>IFERROR(VLOOKUP(C76,Customers!A:F,3,0),"")</f>
        <v>46</v>
      </c>
      <c r="P76">
        <f>IFERROR(VLOOKUP(D76,Products!A:F,4,0),"")</f>
        <v>434</v>
      </c>
      <c r="Q76" t="b">
        <f>IFERROR(VLOOKUP(D76,Products!A:F,6,0),"")</f>
        <v>1</v>
      </c>
      <c r="R76">
        <f t="shared" si="3"/>
        <v>0.5525773195876289</v>
      </c>
      <c r="S76">
        <f t="shared" si="4"/>
        <v>1</v>
      </c>
      <c r="T76">
        <f>IF(AND(S76&gt;1,COUNTIF($A$2:A76,A76)=1),1,0)</f>
        <v>0</v>
      </c>
      <c r="U76">
        <f>COUNTIF(Customers!$A$2:$A$301,C76)</f>
        <v>1</v>
      </c>
      <c r="V76">
        <f t="shared" si="5"/>
        <v>0</v>
      </c>
    </row>
    <row r="77" spans="1:22" ht="14.25" customHeight="1" x14ac:dyDescent="0.35">
      <c r="A77" s="10" t="s">
        <v>270</v>
      </c>
      <c r="B77" s="11">
        <v>45375</v>
      </c>
      <c r="C77" s="10" t="s">
        <v>106</v>
      </c>
      <c r="D77" s="10" t="s">
        <v>164</v>
      </c>
      <c r="E77" s="10" t="s">
        <v>249</v>
      </c>
      <c r="F77" s="12">
        <v>6</v>
      </c>
      <c r="G77" s="12">
        <v>2760</v>
      </c>
      <c r="H77" s="12">
        <v>19.899999999999999</v>
      </c>
      <c r="I77" s="12">
        <v>13264.56</v>
      </c>
      <c r="J77" s="10" t="s">
        <v>57</v>
      </c>
      <c r="K77" s="10" t="s">
        <v>52</v>
      </c>
      <c r="L77" t="str">
        <f>IFERROR(VLOOKUP(D77,Products!A:F,3,0),"")</f>
        <v>Grocery</v>
      </c>
      <c r="M77" t="str">
        <f>IFERROR(VLOOKUP(E77,Sales_Reps!A:E,3,0),"")</f>
        <v>East</v>
      </c>
      <c r="N77" t="str">
        <f>IFERROR(VLOOKUP(C77,Customers!A:F,5,0),"")</f>
        <v>SMB</v>
      </c>
      <c r="O77">
        <f>IFERROR(VLOOKUP(C77,Customers!A:F,3,0),"")</f>
        <v>39</v>
      </c>
      <c r="P77">
        <f>IFERROR(VLOOKUP(D77,Products!A:F,4,0),"")</f>
        <v>1435</v>
      </c>
      <c r="Q77" t="b">
        <f>IFERROR(VLOOKUP(D77,Products!A:F,6,0),"")</f>
        <v>1</v>
      </c>
      <c r="R77">
        <f t="shared" si="3"/>
        <v>0.48007246376811596</v>
      </c>
      <c r="S77">
        <f t="shared" si="4"/>
        <v>1</v>
      </c>
      <c r="T77">
        <f>IF(AND(S77&gt;1,COUNTIF($A$2:A77,A77)=1),1,0)</f>
        <v>0</v>
      </c>
      <c r="U77">
        <f>COUNTIF(Customers!$A$2:$A$301,C77)</f>
        <v>1</v>
      </c>
      <c r="V77">
        <f t="shared" si="5"/>
        <v>0</v>
      </c>
    </row>
    <row r="78" spans="1:22" ht="14.25" customHeight="1" x14ac:dyDescent="0.35">
      <c r="A78" s="10" t="s">
        <v>271</v>
      </c>
      <c r="B78" s="11">
        <v>45443</v>
      </c>
      <c r="C78" s="10" t="s">
        <v>272</v>
      </c>
      <c r="D78" s="10" t="s">
        <v>164</v>
      </c>
      <c r="E78" s="10" t="s">
        <v>85</v>
      </c>
      <c r="F78" s="12">
        <v>7</v>
      </c>
      <c r="G78" s="12">
        <v>2760</v>
      </c>
      <c r="H78" s="12">
        <v>25.2</v>
      </c>
      <c r="I78" s="12">
        <v>14451.36</v>
      </c>
      <c r="J78" s="10" t="s">
        <v>51</v>
      </c>
      <c r="K78" s="10" t="s">
        <v>52</v>
      </c>
      <c r="L78" t="str">
        <f>IFERROR(VLOOKUP(D78,Products!A:F,3,0),"")</f>
        <v>Grocery</v>
      </c>
      <c r="M78" t="str">
        <f>IFERROR(VLOOKUP(E78,Sales_Reps!A:E,3,0),"")</f>
        <v>East</v>
      </c>
      <c r="N78" t="str">
        <f>IFERROR(VLOOKUP(C78,Customers!A:F,5,0),"")</f>
        <v>SMB</v>
      </c>
      <c r="O78">
        <f>IFERROR(VLOOKUP(C78,Customers!A:F,3,0),"")</f>
        <v>54</v>
      </c>
      <c r="P78">
        <f>IFERROR(VLOOKUP(D78,Products!A:F,4,0),"")</f>
        <v>1435</v>
      </c>
      <c r="Q78" t="b">
        <f>IFERROR(VLOOKUP(D78,Products!A:F,6,0),"")</f>
        <v>1</v>
      </c>
      <c r="R78">
        <f t="shared" si="3"/>
        <v>0.48007246376811596</v>
      </c>
      <c r="S78">
        <f t="shared" si="4"/>
        <v>1</v>
      </c>
      <c r="T78">
        <f>IF(AND(S78&gt;1,COUNTIF($A$2:A78,A78)=1),1,0)</f>
        <v>0</v>
      </c>
      <c r="U78">
        <f>COUNTIF(Customers!$A$2:$A$301,C78)</f>
        <v>1</v>
      </c>
      <c r="V78">
        <f t="shared" si="5"/>
        <v>0</v>
      </c>
    </row>
    <row r="79" spans="1:22" ht="14.25" customHeight="1" x14ac:dyDescent="0.35">
      <c r="A79" s="10" t="s">
        <v>273</v>
      </c>
      <c r="B79" s="11">
        <v>45390</v>
      </c>
      <c r="C79" s="10" t="s">
        <v>274</v>
      </c>
      <c r="D79" s="10" t="s">
        <v>231</v>
      </c>
      <c r="E79" s="10" t="s">
        <v>249</v>
      </c>
      <c r="F79" s="12">
        <v>4</v>
      </c>
      <c r="G79" s="12">
        <v>1220</v>
      </c>
      <c r="H79" s="12">
        <v>8.4</v>
      </c>
      <c r="I79" s="12">
        <v>4470.08</v>
      </c>
      <c r="J79" s="10" t="s">
        <v>51</v>
      </c>
      <c r="K79" s="10" t="s">
        <v>81</v>
      </c>
      <c r="L79" t="str">
        <f>IFERROR(VLOOKUP(D79,Products!A:F,3,0),"")</f>
        <v>Electronics</v>
      </c>
      <c r="M79" t="str">
        <f>IFERROR(VLOOKUP(E79,Sales_Reps!A:E,3,0),"")</f>
        <v>East</v>
      </c>
      <c r="N79" t="str">
        <f>IFERROR(VLOOKUP(C79,Customers!A:F,5,0),"")</f>
        <v>Retail</v>
      </c>
      <c r="O79">
        <f>IFERROR(VLOOKUP(C79,Customers!A:F,3,0),"")</f>
        <v>42</v>
      </c>
      <c r="P79">
        <f>IFERROR(VLOOKUP(D79,Products!A:F,4,0),"")</f>
        <v>517</v>
      </c>
      <c r="Q79" t="b">
        <f>IFERROR(VLOOKUP(D79,Products!A:F,6,0),"")</f>
        <v>1</v>
      </c>
      <c r="R79">
        <f t="shared" si="3"/>
        <v>0.57622950819672136</v>
      </c>
      <c r="S79">
        <f t="shared" si="4"/>
        <v>1</v>
      </c>
      <c r="T79">
        <f>IF(AND(S79&gt;1,COUNTIF($A$2:A79,A79)=1),1,0)</f>
        <v>0</v>
      </c>
      <c r="U79">
        <f>COUNTIF(Customers!$A$2:$A$301,C79)</f>
        <v>1</v>
      </c>
      <c r="V79">
        <f t="shared" si="5"/>
        <v>0</v>
      </c>
    </row>
    <row r="80" spans="1:22" ht="14.25" customHeight="1" x14ac:dyDescent="0.35">
      <c r="A80" s="10" t="s">
        <v>275</v>
      </c>
      <c r="B80" s="11">
        <v>45615</v>
      </c>
      <c r="C80" s="10" t="s">
        <v>276</v>
      </c>
      <c r="D80" s="10" t="s">
        <v>102</v>
      </c>
      <c r="E80" s="10" t="s">
        <v>92</v>
      </c>
      <c r="F80" s="12">
        <v>2</v>
      </c>
      <c r="G80" s="12">
        <v>2600</v>
      </c>
      <c r="H80" s="12">
        <v>1.9</v>
      </c>
      <c r="I80" s="12">
        <v>5101.2</v>
      </c>
      <c r="J80" s="10" t="s">
        <v>57</v>
      </c>
      <c r="K80" s="10" t="s">
        <v>97</v>
      </c>
      <c r="L80" t="str">
        <f>IFERROR(VLOOKUP(D80,Products!A:F,3,0),"")</f>
        <v>Electronics</v>
      </c>
      <c r="M80" t="str">
        <f>IFERROR(VLOOKUP(E80,Sales_Reps!A:E,3,0),"")</f>
        <v>West</v>
      </c>
      <c r="N80" t="str">
        <f>IFERROR(VLOOKUP(C80,Customers!A:F,5,0),"")</f>
        <v>Retail</v>
      </c>
      <c r="O80">
        <f>IFERROR(VLOOKUP(C80,Customers!A:F,3,0),"")</f>
        <v>46</v>
      </c>
      <c r="P80">
        <f>IFERROR(VLOOKUP(D80,Products!A:F,4,0),"")</f>
        <v>1052</v>
      </c>
      <c r="Q80" t="b">
        <f>IFERROR(VLOOKUP(D80,Products!A:F,6,0),"")</f>
        <v>1</v>
      </c>
      <c r="R80">
        <f t="shared" si="3"/>
        <v>0.5953846153846154</v>
      </c>
      <c r="S80">
        <f t="shared" si="4"/>
        <v>1</v>
      </c>
      <c r="T80">
        <f>IF(AND(S80&gt;1,COUNTIF($A$2:A80,A80)=1),1,0)</f>
        <v>0</v>
      </c>
      <c r="U80">
        <f>COUNTIF(Customers!$A$2:$A$301,C80)</f>
        <v>1</v>
      </c>
      <c r="V80">
        <f t="shared" si="5"/>
        <v>0</v>
      </c>
    </row>
    <row r="81" spans="1:22" ht="14.25" customHeight="1" x14ac:dyDescent="0.35">
      <c r="A81" s="10" t="s">
        <v>277</v>
      </c>
      <c r="B81" s="11">
        <v>45498</v>
      </c>
      <c r="C81" s="10" t="s">
        <v>278</v>
      </c>
      <c r="D81" s="10" t="s">
        <v>228</v>
      </c>
      <c r="E81" s="10" t="s">
        <v>134</v>
      </c>
      <c r="F81" s="12">
        <v>9</v>
      </c>
      <c r="G81" s="12">
        <v>4070</v>
      </c>
      <c r="H81" s="12">
        <v>28.8</v>
      </c>
      <c r="I81" s="12">
        <v>26080.560000000001</v>
      </c>
      <c r="J81" s="10" t="s">
        <v>51</v>
      </c>
      <c r="K81" s="10" t="s">
        <v>52</v>
      </c>
      <c r="L81" t="str">
        <f>IFERROR(VLOOKUP(D81,Products!A:F,3,0),"")</f>
        <v>Grocery</v>
      </c>
      <c r="M81" t="str">
        <f>IFERROR(VLOOKUP(E81,Sales_Reps!A:E,3,0),"")</f>
        <v>West</v>
      </c>
      <c r="N81" t="str">
        <f>IFERROR(VLOOKUP(C81,Customers!A:F,5,0),"")</f>
        <v>Corporate</v>
      </c>
      <c r="O81">
        <f>IFERROR(VLOOKUP(C81,Customers!A:F,3,0),"")</f>
        <v>33</v>
      </c>
      <c r="P81">
        <f>IFERROR(VLOOKUP(D81,Products!A:F,4,0),"")</f>
        <v>2027</v>
      </c>
      <c r="Q81" t="b">
        <f>IFERROR(VLOOKUP(D81,Products!A:F,6,0),"")</f>
        <v>1</v>
      </c>
      <c r="R81">
        <f t="shared" si="3"/>
        <v>0.50196560196560192</v>
      </c>
      <c r="S81">
        <f t="shared" si="4"/>
        <v>1</v>
      </c>
      <c r="T81">
        <f>IF(AND(S81&gt;1,COUNTIF($A$2:A81,A81)=1),1,0)</f>
        <v>0</v>
      </c>
      <c r="U81">
        <f>COUNTIF(Customers!$A$2:$A$301,C81)</f>
        <v>1</v>
      </c>
      <c r="V81">
        <f t="shared" si="5"/>
        <v>0</v>
      </c>
    </row>
    <row r="82" spans="1:22" ht="14.25" customHeight="1" x14ac:dyDescent="0.35">
      <c r="A82" s="10" t="s">
        <v>279</v>
      </c>
      <c r="B82" s="11">
        <v>45515</v>
      </c>
      <c r="C82" s="10" t="s">
        <v>280</v>
      </c>
      <c r="D82" s="10" t="s">
        <v>95</v>
      </c>
      <c r="E82" s="10" t="s">
        <v>56</v>
      </c>
      <c r="F82" s="12">
        <v>2</v>
      </c>
      <c r="G82" s="12">
        <v>2270</v>
      </c>
      <c r="H82" s="12">
        <v>18</v>
      </c>
      <c r="I82" s="12">
        <v>3722.8</v>
      </c>
      <c r="J82" s="10" t="s">
        <v>108</v>
      </c>
      <c r="K82" s="10" t="s">
        <v>52</v>
      </c>
      <c r="L82" t="str">
        <f>IFERROR(VLOOKUP(D82,Products!A:F,3,0),"")</f>
        <v>Grocery</v>
      </c>
      <c r="M82" t="str">
        <f>IFERROR(VLOOKUP(E82,Sales_Reps!A:E,3,0),"")</f>
        <v>North</v>
      </c>
      <c r="N82" t="str">
        <f>IFERROR(VLOOKUP(C82,Customers!A:F,5,0),"")</f>
        <v>SMB</v>
      </c>
      <c r="O82">
        <f>IFERROR(VLOOKUP(C82,Customers!A:F,3,0),"")</f>
        <v>60</v>
      </c>
      <c r="P82">
        <f>IFERROR(VLOOKUP(D82,Products!A:F,4,0),"")</f>
        <v>1203</v>
      </c>
      <c r="Q82" t="b">
        <f>IFERROR(VLOOKUP(D82,Products!A:F,6,0),"")</f>
        <v>1</v>
      </c>
      <c r="R82">
        <f t="shared" si="3"/>
        <v>0.47004405286343615</v>
      </c>
      <c r="S82">
        <f t="shared" si="4"/>
        <v>1</v>
      </c>
      <c r="T82">
        <f>IF(AND(S82&gt;1,COUNTIF($A$2:A82,A82)=1),1,0)</f>
        <v>0</v>
      </c>
      <c r="U82">
        <f>COUNTIF(Customers!$A$2:$A$301,C82)</f>
        <v>1</v>
      </c>
      <c r="V82">
        <f t="shared" si="5"/>
        <v>0</v>
      </c>
    </row>
    <row r="83" spans="1:22" ht="14.25" customHeight="1" x14ac:dyDescent="0.35">
      <c r="A83" s="10" t="s">
        <v>281</v>
      </c>
      <c r="B83" s="11">
        <v>45528</v>
      </c>
      <c r="C83" s="10" t="s">
        <v>282</v>
      </c>
      <c r="D83" s="10" t="s">
        <v>70</v>
      </c>
      <c r="E83" s="10" t="s">
        <v>202</v>
      </c>
      <c r="F83" s="12">
        <v>2</v>
      </c>
      <c r="G83" s="12">
        <v>3160</v>
      </c>
      <c r="H83" s="12">
        <v>18.3</v>
      </c>
      <c r="I83" s="12">
        <v>5163.4399999999996</v>
      </c>
      <c r="J83" s="10" t="s">
        <v>51</v>
      </c>
      <c r="K83" s="10" t="s">
        <v>58</v>
      </c>
      <c r="L83" t="str">
        <f>IFERROR(VLOOKUP(D83,Products!A:F,3,0),"")</f>
        <v>Apparel</v>
      </c>
      <c r="M83" t="str">
        <f>IFERROR(VLOOKUP(E83,Sales_Reps!A:E,3,0),"")</f>
        <v>East</v>
      </c>
      <c r="N83" t="str">
        <f>IFERROR(VLOOKUP(C83,Customers!A:F,5,0),"")</f>
        <v>SMB</v>
      </c>
      <c r="O83">
        <f>IFERROR(VLOOKUP(C83,Customers!A:F,3,0),"")</f>
        <v>57</v>
      </c>
      <c r="P83">
        <f>IFERROR(VLOOKUP(D83,Products!A:F,4,0),"")</f>
        <v>1886</v>
      </c>
      <c r="Q83" t="b">
        <f>IFERROR(VLOOKUP(D83,Products!A:F,6,0),"")</f>
        <v>1</v>
      </c>
      <c r="R83">
        <f t="shared" si="3"/>
        <v>0.4031645569620253</v>
      </c>
      <c r="S83">
        <f t="shared" si="4"/>
        <v>1</v>
      </c>
      <c r="T83">
        <f>IF(AND(S83&gt;1,COUNTIF($A$2:A83,A83)=1),1,0)</f>
        <v>0</v>
      </c>
      <c r="U83">
        <f>COUNTIF(Customers!$A$2:$A$301,C83)</f>
        <v>1</v>
      </c>
      <c r="V83">
        <f t="shared" si="5"/>
        <v>0</v>
      </c>
    </row>
    <row r="84" spans="1:22" ht="14.25" customHeight="1" x14ac:dyDescent="0.35">
      <c r="A84" s="10" t="s">
        <v>283</v>
      </c>
      <c r="B84" s="11">
        <v>45402</v>
      </c>
      <c r="C84" s="10" t="s">
        <v>284</v>
      </c>
      <c r="D84" s="10" t="s">
        <v>131</v>
      </c>
      <c r="E84" s="10" t="s">
        <v>50</v>
      </c>
      <c r="F84" s="12">
        <v>4</v>
      </c>
      <c r="G84" s="12">
        <v>2480</v>
      </c>
      <c r="H84" s="12">
        <v>1.1000000000000001</v>
      </c>
      <c r="I84" s="12">
        <v>9810.8799999999992</v>
      </c>
      <c r="J84" s="10" t="s">
        <v>57</v>
      </c>
      <c r="K84" s="10" t="s">
        <v>97</v>
      </c>
      <c r="L84" t="str">
        <f>IFERROR(VLOOKUP(D84,Products!A:F,3,0),"")</f>
        <v>Apparel</v>
      </c>
      <c r="M84" t="str">
        <f>IFERROR(VLOOKUP(E84,Sales_Reps!A:E,3,0),"")</f>
        <v>North</v>
      </c>
      <c r="N84" t="str">
        <f>IFERROR(VLOOKUP(C84,Customers!A:F,5,0),"")</f>
        <v>SMB</v>
      </c>
      <c r="O84">
        <f>IFERROR(VLOOKUP(C84,Customers!A:F,3,0),"")</f>
        <v>36</v>
      </c>
      <c r="P84">
        <f>IFERROR(VLOOKUP(D84,Products!A:F,4,0),"")</f>
        <v>1173</v>
      </c>
      <c r="Q84" t="b">
        <f>IFERROR(VLOOKUP(D84,Products!A:F,6,0),"")</f>
        <v>1</v>
      </c>
      <c r="R84">
        <f t="shared" si="3"/>
        <v>0.52701612903225803</v>
      </c>
      <c r="S84">
        <f t="shared" si="4"/>
        <v>1</v>
      </c>
      <c r="T84">
        <f>IF(AND(S84&gt;1,COUNTIF($A$2:A84,A84)=1),1,0)</f>
        <v>0</v>
      </c>
      <c r="U84">
        <f>COUNTIF(Customers!$A$2:$A$301,C84)</f>
        <v>1</v>
      </c>
      <c r="V84">
        <f t="shared" si="5"/>
        <v>0</v>
      </c>
    </row>
    <row r="85" spans="1:22" ht="14.25" customHeight="1" x14ac:dyDescent="0.35">
      <c r="A85" s="10" t="s">
        <v>285</v>
      </c>
      <c r="B85" s="11">
        <v>45547</v>
      </c>
      <c r="C85" s="10" t="s">
        <v>286</v>
      </c>
      <c r="D85" s="10" t="s">
        <v>243</v>
      </c>
      <c r="E85" s="10" t="s">
        <v>165</v>
      </c>
      <c r="F85" s="12">
        <v>1</v>
      </c>
      <c r="G85" s="12">
        <v>2660</v>
      </c>
      <c r="H85" s="12">
        <v>21</v>
      </c>
      <c r="I85" s="12">
        <v>2101.4</v>
      </c>
      <c r="J85" s="10" t="s">
        <v>51</v>
      </c>
      <c r="K85" s="10" t="s">
        <v>63</v>
      </c>
      <c r="L85" t="str">
        <f>IFERROR(VLOOKUP(D85,Products!A:F,3,0),"")</f>
        <v>Electronics</v>
      </c>
      <c r="M85" t="str">
        <f>IFERROR(VLOOKUP(E85,Sales_Reps!A:E,3,0),"")</f>
        <v>West</v>
      </c>
      <c r="N85" t="str">
        <f>IFERROR(VLOOKUP(C85,Customers!A:F,5,0),"")</f>
        <v>Retail</v>
      </c>
      <c r="O85">
        <f>IFERROR(VLOOKUP(C85,Customers!A:F,3,0),"")</f>
        <v>31</v>
      </c>
      <c r="P85">
        <f>IFERROR(VLOOKUP(D85,Products!A:F,4,0),"")</f>
        <v>1259</v>
      </c>
      <c r="Q85" t="b">
        <f>IFERROR(VLOOKUP(D85,Products!A:F,6,0),"")</f>
        <v>0</v>
      </c>
      <c r="R85">
        <f t="shared" si="3"/>
        <v>0.52669172932330832</v>
      </c>
      <c r="S85">
        <f t="shared" si="4"/>
        <v>1</v>
      </c>
      <c r="T85">
        <f>IF(AND(S85&gt;1,COUNTIF($A$2:A85,A85)=1),1,0)</f>
        <v>0</v>
      </c>
      <c r="U85">
        <f>COUNTIF(Customers!$A$2:$A$301,C85)</f>
        <v>1</v>
      </c>
      <c r="V85">
        <f t="shared" si="5"/>
        <v>0</v>
      </c>
    </row>
    <row r="86" spans="1:22" ht="14.25" customHeight="1" x14ac:dyDescent="0.35">
      <c r="A86" s="10" t="s">
        <v>287</v>
      </c>
      <c r="B86" s="11">
        <v>45424</v>
      </c>
      <c r="C86" s="10" t="s">
        <v>288</v>
      </c>
      <c r="D86" s="10" t="s">
        <v>240</v>
      </c>
      <c r="E86" s="10" t="s">
        <v>289</v>
      </c>
      <c r="F86" s="12">
        <v>5</v>
      </c>
      <c r="G86" s="12">
        <v>3020</v>
      </c>
      <c r="H86" s="12">
        <v>22.2</v>
      </c>
      <c r="I86" s="12">
        <v>11747.8</v>
      </c>
      <c r="J86" s="10" t="s">
        <v>51</v>
      </c>
      <c r="K86" s="10" t="s">
        <v>97</v>
      </c>
      <c r="L86" t="str">
        <f>IFERROR(VLOOKUP(D86,Products!A:F,3,0),"")</f>
        <v>Beauty</v>
      </c>
      <c r="M86" t="str">
        <f>IFERROR(VLOOKUP(E86,Sales_Reps!A:E,3,0),"")</f>
        <v>South</v>
      </c>
      <c r="N86" t="str">
        <f>IFERROR(VLOOKUP(C86,Customers!A:F,5,0),"")</f>
        <v>Retail</v>
      </c>
      <c r="O86">
        <f>IFERROR(VLOOKUP(C86,Customers!A:F,3,0),"")</f>
        <v>28</v>
      </c>
      <c r="P86">
        <f>IFERROR(VLOOKUP(D86,Products!A:F,4,0),"")</f>
        <v>1626</v>
      </c>
      <c r="Q86" t="b">
        <f>IFERROR(VLOOKUP(D86,Products!A:F,6,0),"")</f>
        <v>1</v>
      </c>
      <c r="R86">
        <f t="shared" si="3"/>
        <v>0.46158940397350995</v>
      </c>
      <c r="S86">
        <f t="shared" si="4"/>
        <v>1</v>
      </c>
      <c r="T86">
        <f>IF(AND(S86&gt;1,COUNTIF($A$2:A86,A86)=1),1,0)</f>
        <v>0</v>
      </c>
      <c r="U86">
        <f>COUNTIF(Customers!$A$2:$A$301,C86)</f>
        <v>1</v>
      </c>
      <c r="V86">
        <f t="shared" si="5"/>
        <v>0</v>
      </c>
    </row>
    <row r="87" spans="1:22" ht="14.25" customHeight="1" x14ac:dyDescent="0.35">
      <c r="A87" s="10" t="s">
        <v>290</v>
      </c>
      <c r="B87" s="11">
        <v>45461</v>
      </c>
      <c r="C87" s="10" t="s">
        <v>158</v>
      </c>
      <c r="D87" s="10" t="s">
        <v>256</v>
      </c>
      <c r="E87" s="10" t="s">
        <v>134</v>
      </c>
      <c r="F87" s="12">
        <v>9</v>
      </c>
      <c r="G87" s="12">
        <v>620</v>
      </c>
      <c r="H87" s="12">
        <v>23.3</v>
      </c>
      <c r="I87" s="12">
        <v>4279.8599999999997</v>
      </c>
      <c r="J87" s="10" t="s">
        <v>51</v>
      </c>
      <c r="K87" s="10" t="s">
        <v>52</v>
      </c>
      <c r="L87" t="str">
        <f>IFERROR(VLOOKUP(D87,Products!A:F,3,0),"")</f>
        <v>Apparel</v>
      </c>
      <c r="M87" t="str">
        <f>IFERROR(VLOOKUP(E87,Sales_Reps!A:E,3,0),"")</f>
        <v>West</v>
      </c>
      <c r="N87" t="str">
        <f>IFERROR(VLOOKUP(C87,Customers!A:F,5,0),"")</f>
        <v>SMB</v>
      </c>
      <c r="O87">
        <f>IFERROR(VLOOKUP(C87,Customers!A:F,3,0),"")</f>
        <v>44</v>
      </c>
      <c r="P87">
        <f>IFERROR(VLOOKUP(D87,Products!A:F,4,0),"")</f>
        <v>396</v>
      </c>
      <c r="Q87" t="b">
        <f>IFERROR(VLOOKUP(D87,Products!A:F,6,0),"")</f>
        <v>1</v>
      </c>
      <c r="R87">
        <f t="shared" si="3"/>
        <v>0.36129032258064514</v>
      </c>
      <c r="S87">
        <f t="shared" si="4"/>
        <v>1</v>
      </c>
      <c r="T87">
        <f>IF(AND(S87&gt;1,COUNTIF($A$2:A87,A87)=1),1,0)</f>
        <v>0</v>
      </c>
      <c r="U87">
        <f>COUNTIF(Customers!$A$2:$A$301,C87)</f>
        <v>1</v>
      </c>
      <c r="V87">
        <f t="shared" si="5"/>
        <v>0</v>
      </c>
    </row>
    <row r="88" spans="1:22" ht="14.25" customHeight="1" x14ac:dyDescent="0.35">
      <c r="A88" s="10" t="s">
        <v>291</v>
      </c>
      <c r="B88" s="11">
        <v>45600</v>
      </c>
      <c r="C88" s="10" t="s">
        <v>292</v>
      </c>
      <c r="D88" s="10" t="s">
        <v>61</v>
      </c>
      <c r="E88" s="10" t="s">
        <v>165</v>
      </c>
      <c r="F88" s="12">
        <v>2</v>
      </c>
      <c r="G88" s="12">
        <v>470</v>
      </c>
      <c r="H88" s="12">
        <v>5.4</v>
      </c>
      <c r="I88" s="12">
        <v>889.24</v>
      </c>
      <c r="J88" s="10" t="s">
        <v>51</v>
      </c>
      <c r="K88" s="10" t="s">
        <v>58</v>
      </c>
      <c r="L88" t="str">
        <f>IFERROR(VLOOKUP(D88,Products!A:F,3,0),"")</f>
        <v>Sports</v>
      </c>
      <c r="M88" t="str">
        <f>IFERROR(VLOOKUP(E88,Sales_Reps!A:E,3,0),"")</f>
        <v>West</v>
      </c>
      <c r="N88" t="str">
        <f>IFERROR(VLOOKUP(C88,Customers!A:F,5,0),"")</f>
        <v>Retail</v>
      </c>
      <c r="O88">
        <f>IFERROR(VLOOKUP(C88,Customers!A:F,3,0),"")</f>
        <v>28</v>
      </c>
      <c r="P88">
        <f>IFERROR(VLOOKUP(D88,Products!A:F,4,0),"")</f>
        <v>302</v>
      </c>
      <c r="Q88" t="b">
        <f>IFERROR(VLOOKUP(D88,Products!A:F,6,0),"")</f>
        <v>0</v>
      </c>
      <c r="R88">
        <f t="shared" si="3"/>
        <v>0.35744680851063831</v>
      </c>
      <c r="S88">
        <f t="shared" si="4"/>
        <v>1</v>
      </c>
      <c r="T88">
        <f>IF(AND(S88&gt;1,COUNTIF($A$2:A88,A88)=1),1,0)</f>
        <v>0</v>
      </c>
      <c r="U88">
        <f>COUNTIF(Customers!$A$2:$A$301,C88)</f>
        <v>1</v>
      </c>
      <c r="V88">
        <f t="shared" si="5"/>
        <v>0</v>
      </c>
    </row>
    <row r="89" spans="1:22" ht="14.25" customHeight="1" x14ac:dyDescent="0.35">
      <c r="A89" s="10" t="s">
        <v>293</v>
      </c>
      <c r="B89" s="11">
        <v>45587</v>
      </c>
      <c r="C89" s="10" t="s">
        <v>136</v>
      </c>
      <c r="D89" s="10" t="s">
        <v>84</v>
      </c>
      <c r="E89" s="10" t="s">
        <v>96</v>
      </c>
      <c r="F89" s="12">
        <v>3</v>
      </c>
      <c r="G89" s="12">
        <v>1430</v>
      </c>
      <c r="H89" s="12">
        <v>6.5</v>
      </c>
      <c r="I89" s="12">
        <v>4011.15</v>
      </c>
      <c r="J89" s="10" t="s">
        <v>51</v>
      </c>
      <c r="K89" s="10" t="s">
        <v>52</v>
      </c>
      <c r="L89" t="str">
        <f>IFERROR(VLOOKUP(D89,Products!A:F,3,0),"")</f>
        <v>Electronics</v>
      </c>
      <c r="M89" t="str">
        <f>IFERROR(VLOOKUP(E89,Sales_Reps!A:E,3,0),"")</f>
        <v>South</v>
      </c>
      <c r="N89" t="str">
        <f>IFERROR(VLOOKUP(C89,Customers!A:F,5,0),"")</f>
        <v>Retail</v>
      </c>
      <c r="O89">
        <f>IFERROR(VLOOKUP(C89,Customers!A:F,3,0),"")</f>
        <v>50</v>
      </c>
      <c r="P89">
        <f>IFERROR(VLOOKUP(D89,Products!A:F,4,0),"")</f>
        <v>861</v>
      </c>
      <c r="Q89" t="b">
        <f>IFERROR(VLOOKUP(D89,Products!A:F,6,0),"")</f>
        <v>1</v>
      </c>
      <c r="R89">
        <f t="shared" si="3"/>
        <v>0.39790209790209791</v>
      </c>
      <c r="S89">
        <f t="shared" si="4"/>
        <v>1</v>
      </c>
      <c r="T89">
        <f>IF(AND(S89&gt;1,COUNTIF($A$2:A89,A89)=1),1,0)</f>
        <v>0</v>
      </c>
      <c r="U89">
        <f>COUNTIF(Customers!$A$2:$A$301,C89)</f>
        <v>1</v>
      </c>
      <c r="V89">
        <f t="shared" si="5"/>
        <v>0</v>
      </c>
    </row>
    <row r="90" spans="1:22" ht="14.25" customHeight="1" x14ac:dyDescent="0.35">
      <c r="A90" s="10" t="s">
        <v>294</v>
      </c>
      <c r="B90" s="11">
        <v>45518</v>
      </c>
      <c r="C90" s="10" t="s">
        <v>295</v>
      </c>
      <c r="D90" s="10" t="s">
        <v>256</v>
      </c>
      <c r="E90" s="10" t="s">
        <v>103</v>
      </c>
      <c r="F90" s="12">
        <v>6</v>
      </c>
      <c r="G90" s="12">
        <v>620</v>
      </c>
      <c r="H90" s="12">
        <v>2.6</v>
      </c>
      <c r="I90" s="12">
        <v>3623.28</v>
      </c>
      <c r="J90" s="10" t="s">
        <v>51</v>
      </c>
      <c r="K90" s="10" t="s">
        <v>81</v>
      </c>
      <c r="L90" t="str">
        <f>IFERROR(VLOOKUP(D90,Products!A:F,3,0),"")</f>
        <v>Apparel</v>
      </c>
      <c r="M90" t="str">
        <f>IFERROR(VLOOKUP(E90,Sales_Reps!A:E,3,0),"")</f>
        <v>North</v>
      </c>
      <c r="N90" t="str">
        <f>IFERROR(VLOOKUP(C90,Customers!A:F,5,0),"")</f>
        <v>Corporate</v>
      </c>
      <c r="O90">
        <f>IFERROR(VLOOKUP(C90,Customers!A:F,3,0),"")</f>
        <v>59</v>
      </c>
      <c r="P90">
        <f>IFERROR(VLOOKUP(D90,Products!A:F,4,0),"")</f>
        <v>396</v>
      </c>
      <c r="Q90" t="b">
        <f>IFERROR(VLOOKUP(D90,Products!A:F,6,0),"")</f>
        <v>1</v>
      </c>
      <c r="R90">
        <f t="shared" si="3"/>
        <v>0.36129032258064514</v>
      </c>
      <c r="S90">
        <f t="shared" si="4"/>
        <v>1</v>
      </c>
      <c r="T90">
        <f>IF(AND(S90&gt;1,COUNTIF($A$2:A90,A90)=1),1,0)</f>
        <v>0</v>
      </c>
      <c r="U90">
        <f>COUNTIF(Customers!$A$2:$A$301,C90)</f>
        <v>1</v>
      </c>
      <c r="V90">
        <f t="shared" si="5"/>
        <v>0</v>
      </c>
    </row>
    <row r="91" spans="1:22" ht="14.25" customHeight="1" x14ac:dyDescent="0.35">
      <c r="A91" s="10" t="s">
        <v>296</v>
      </c>
      <c r="B91" s="11">
        <v>45533</v>
      </c>
      <c r="C91" s="10" t="s">
        <v>297</v>
      </c>
      <c r="D91" s="10" t="s">
        <v>151</v>
      </c>
      <c r="E91" s="10" t="s">
        <v>289</v>
      </c>
      <c r="F91" s="12">
        <v>4</v>
      </c>
      <c r="G91" s="12">
        <v>3570</v>
      </c>
      <c r="H91" s="12">
        <v>4.5</v>
      </c>
      <c r="I91" s="12">
        <v>13637.4</v>
      </c>
      <c r="J91" s="10" t="s">
        <v>57</v>
      </c>
      <c r="K91" s="10" t="s">
        <v>97</v>
      </c>
      <c r="L91" t="str">
        <f>IFERROR(VLOOKUP(D91,Products!A:F,3,0),"")</f>
        <v>Electronics</v>
      </c>
      <c r="M91" t="str">
        <f>IFERROR(VLOOKUP(E91,Sales_Reps!A:E,3,0),"")</f>
        <v>South</v>
      </c>
      <c r="N91" t="str">
        <f>IFERROR(VLOOKUP(C91,Customers!A:F,5,0),"")</f>
        <v>SMB</v>
      </c>
      <c r="O91">
        <f>IFERROR(VLOOKUP(C91,Customers!A:F,3,0),"")</f>
        <v>65</v>
      </c>
      <c r="P91">
        <f>IFERROR(VLOOKUP(D91,Products!A:F,4,0),"")</f>
        <v>1665</v>
      </c>
      <c r="Q91" t="b">
        <f>IFERROR(VLOOKUP(D91,Products!A:F,6,0),"")</f>
        <v>1</v>
      </c>
      <c r="R91">
        <f t="shared" si="3"/>
        <v>0.53361344537815125</v>
      </c>
      <c r="S91">
        <f t="shared" si="4"/>
        <v>1</v>
      </c>
      <c r="T91">
        <f>IF(AND(S91&gt;1,COUNTIF($A$2:A91,A91)=1),1,0)</f>
        <v>0</v>
      </c>
      <c r="U91">
        <f>COUNTIF(Customers!$A$2:$A$301,C91)</f>
        <v>1</v>
      </c>
      <c r="V91">
        <f t="shared" si="5"/>
        <v>0</v>
      </c>
    </row>
    <row r="92" spans="1:22" ht="14.25" customHeight="1" x14ac:dyDescent="0.35">
      <c r="A92" s="10" t="s">
        <v>298</v>
      </c>
      <c r="B92" s="11">
        <v>45622</v>
      </c>
      <c r="C92" s="10" t="s">
        <v>269</v>
      </c>
      <c r="D92" s="10" t="s">
        <v>209</v>
      </c>
      <c r="E92" s="10" t="s">
        <v>96</v>
      </c>
      <c r="F92" s="12">
        <v>6</v>
      </c>
      <c r="G92" s="12">
        <v>2270</v>
      </c>
      <c r="H92" s="12">
        <v>2</v>
      </c>
      <c r="I92" s="12">
        <v>13347.6</v>
      </c>
      <c r="J92" s="10" t="s">
        <v>51</v>
      </c>
      <c r="K92" s="10" t="s">
        <v>97</v>
      </c>
      <c r="L92" t="str">
        <f>IFERROR(VLOOKUP(D92,Products!A:F,3,0),"")</f>
        <v>Grocery</v>
      </c>
      <c r="M92" t="str">
        <f>IFERROR(VLOOKUP(E92,Sales_Reps!A:E,3,0),"")</f>
        <v>South</v>
      </c>
      <c r="N92" t="str">
        <f>IFERROR(VLOOKUP(C92,Customers!A:F,5,0),"")</f>
        <v>Corporate</v>
      </c>
      <c r="O92">
        <f>IFERROR(VLOOKUP(C92,Customers!A:F,3,0),"")</f>
        <v>46</v>
      </c>
      <c r="P92">
        <f>IFERROR(VLOOKUP(D92,Products!A:F,4,0),"")</f>
        <v>1412</v>
      </c>
      <c r="Q92" t="b">
        <f>IFERROR(VLOOKUP(D92,Products!A:F,6,0),"")</f>
        <v>1</v>
      </c>
      <c r="R92">
        <f t="shared" si="3"/>
        <v>0.37797356828193834</v>
      </c>
      <c r="S92">
        <f t="shared" si="4"/>
        <v>1</v>
      </c>
      <c r="T92">
        <f>IF(AND(S92&gt;1,COUNTIF($A$2:A92,A92)=1),1,0)</f>
        <v>0</v>
      </c>
      <c r="U92">
        <f>COUNTIF(Customers!$A$2:$A$301,C92)</f>
        <v>1</v>
      </c>
      <c r="V92">
        <f t="shared" si="5"/>
        <v>0</v>
      </c>
    </row>
    <row r="93" spans="1:22" ht="14.25" customHeight="1" x14ac:dyDescent="0.35">
      <c r="A93" s="10" t="s">
        <v>299</v>
      </c>
      <c r="B93" s="11">
        <v>45328</v>
      </c>
      <c r="C93" s="10" t="s">
        <v>300</v>
      </c>
      <c r="D93" s="10" t="s">
        <v>137</v>
      </c>
      <c r="E93" s="10" t="s">
        <v>62</v>
      </c>
      <c r="F93" s="12">
        <v>7</v>
      </c>
      <c r="G93" s="12">
        <v>2720</v>
      </c>
      <c r="H93" s="12">
        <v>15.4</v>
      </c>
      <c r="I93" s="12">
        <v>16107.84</v>
      </c>
      <c r="J93" s="10" t="s">
        <v>51</v>
      </c>
      <c r="K93" s="10" t="s">
        <v>76</v>
      </c>
      <c r="L93" t="str">
        <f>IFERROR(VLOOKUP(D93,Products!A:F,3,0),"")</f>
        <v>Apparel</v>
      </c>
      <c r="M93" t="str">
        <f>IFERROR(VLOOKUP(E93,Sales_Reps!A:E,3,0),"")</f>
        <v>South</v>
      </c>
      <c r="N93" t="str">
        <f>IFERROR(VLOOKUP(C93,Customers!A:F,5,0),"")</f>
        <v>Retail</v>
      </c>
      <c r="O93">
        <f>IFERROR(VLOOKUP(C93,Customers!A:F,3,0),"")</f>
        <v>49</v>
      </c>
      <c r="P93">
        <f>IFERROR(VLOOKUP(D93,Products!A:F,4,0),"")</f>
        <v>1962</v>
      </c>
      <c r="Q93" t="b">
        <f>IFERROR(VLOOKUP(D93,Products!A:F,6,0),"")</f>
        <v>1</v>
      </c>
      <c r="R93">
        <f t="shared" si="3"/>
        <v>0.2786764705882353</v>
      </c>
      <c r="S93">
        <f t="shared" si="4"/>
        <v>1</v>
      </c>
      <c r="T93">
        <f>IF(AND(S93&gt;1,COUNTIF($A$2:A93,A93)=1),1,0)</f>
        <v>0</v>
      </c>
      <c r="U93">
        <f>COUNTIF(Customers!$A$2:$A$301,C93)</f>
        <v>1</v>
      </c>
      <c r="V93">
        <f t="shared" si="5"/>
        <v>0</v>
      </c>
    </row>
    <row r="94" spans="1:22" ht="14.25" customHeight="1" x14ac:dyDescent="0.35">
      <c r="A94" s="10" t="s">
        <v>301</v>
      </c>
      <c r="B94" s="11">
        <v>45380</v>
      </c>
      <c r="C94" s="10" t="s">
        <v>253</v>
      </c>
      <c r="D94" s="10" t="s">
        <v>302</v>
      </c>
      <c r="E94" s="10" t="s">
        <v>179</v>
      </c>
      <c r="F94" s="12">
        <v>9</v>
      </c>
      <c r="G94" s="12">
        <v>2210</v>
      </c>
      <c r="H94" s="12">
        <v>12.4</v>
      </c>
      <c r="I94" s="12">
        <v>17423.64</v>
      </c>
      <c r="J94" s="10" t="s">
        <v>51</v>
      </c>
      <c r="K94" s="10" t="s">
        <v>58</v>
      </c>
      <c r="L94" t="str">
        <f>IFERROR(VLOOKUP(D94,Products!A:F,3,0),"")</f>
        <v>Grocery</v>
      </c>
      <c r="M94" t="str">
        <f>IFERROR(VLOOKUP(E94,Sales_Reps!A:E,3,0),"")</f>
        <v>North</v>
      </c>
      <c r="N94" t="str">
        <f>IFERROR(VLOOKUP(C94,Customers!A:F,5,0),"")</f>
        <v>Retail</v>
      </c>
      <c r="O94">
        <f>IFERROR(VLOOKUP(C94,Customers!A:F,3,0),"")</f>
        <v>38</v>
      </c>
      <c r="P94">
        <f>IFERROR(VLOOKUP(D94,Products!A:F,4,0),"")</f>
        <v>1010</v>
      </c>
      <c r="Q94" t="b">
        <f>IFERROR(VLOOKUP(D94,Products!A:F,6,0),"")</f>
        <v>1</v>
      </c>
      <c r="R94">
        <f t="shared" si="3"/>
        <v>0.54298642533936647</v>
      </c>
      <c r="S94">
        <f t="shared" si="4"/>
        <v>1</v>
      </c>
      <c r="T94">
        <f>IF(AND(S94&gt;1,COUNTIF($A$2:A94,A94)=1),1,0)</f>
        <v>0</v>
      </c>
      <c r="U94">
        <f>COUNTIF(Customers!$A$2:$A$301,C94)</f>
        <v>1</v>
      </c>
      <c r="V94">
        <f t="shared" si="5"/>
        <v>0</v>
      </c>
    </row>
    <row r="95" spans="1:22" ht="14.25" customHeight="1" x14ac:dyDescent="0.35">
      <c r="A95" s="10" t="s">
        <v>303</v>
      </c>
      <c r="B95" s="11">
        <v>45648</v>
      </c>
      <c r="C95" s="10" t="s">
        <v>304</v>
      </c>
      <c r="D95" s="10" t="s">
        <v>111</v>
      </c>
      <c r="E95" s="10" t="s">
        <v>165</v>
      </c>
      <c r="F95" s="12">
        <v>6</v>
      </c>
      <c r="G95" s="12">
        <v>190</v>
      </c>
      <c r="H95" s="12">
        <v>19.2</v>
      </c>
      <c r="I95" s="12">
        <v>921.12</v>
      </c>
      <c r="J95" s="10" t="s">
        <v>51</v>
      </c>
      <c r="K95" s="10" t="s">
        <v>52</v>
      </c>
      <c r="L95" t="str">
        <f>IFERROR(VLOOKUP(D95,Products!A:F,3,0),"")</f>
        <v>Sports</v>
      </c>
      <c r="M95" t="str">
        <f>IFERROR(VLOOKUP(E95,Sales_Reps!A:E,3,0),"")</f>
        <v>West</v>
      </c>
      <c r="N95" t="str">
        <f>IFERROR(VLOOKUP(C95,Customers!A:F,5,0),"")</f>
        <v>Retail</v>
      </c>
      <c r="O95">
        <f>IFERROR(VLOOKUP(C95,Customers!A:F,3,0),"")</f>
        <v>25</v>
      </c>
      <c r="P95">
        <f>IFERROR(VLOOKUP(D95,Products!A:F,4,0),"")</f>
        <v>147</v>
      </c>
      <c r="Q95" t="b">
        <f>IFERROR(VLOOKUP(D95,Products!A:F,6,0),"")</f>
        <v>1</v>
      </c>
      <c r="R95">
        <f t="shared" si="3"/>
        <v>0.22631578947368422</v>
      </c>
      <c r="S95">
        <f t="shared" si="4"/>
        <v>1</v>
      </c>
      <c r="T95">
        <f>IF(AND(S95&gt;1,COUNTIF($A$2:A95,A95)=1),1,0)</f>
        <v>0</v>
      </c>
      <c r="U95">
        <f>COUNTIF(Customers!$A$2:$A$301,C95)</f>
        <v>1</v>
      </c>
      <c r="V95">
        <f t="shared" si="5"/>
        <v>0</v>
      </c>
    </row>
    <row r="96" spans="1:22" ht="14.25" customHeight="1" x14ac:dyDescent="0.35">
      <c r="A96" s="10" t="s">
        <v>305</v>
      </c>
      <c r="B96" s="11">
        <v>45607</v>
      </c>
      <c r="C96" s="10" t="s">
        <v>306</v>
      </c>
      <c r="D96" s="10" t="s">
        <v>155</v>
      </c>
      <c r="E96" s="10" t="s">
        <v>307</v>
      </c>
      <c r="F96" s="12">
        <v>10</v>
      </c>
      <c r="G96" s="12">
        <v>5100</v>
      </c>
      <c r="H96" s="12">
        <v>25.4</v>
      </c>
      <c r="I96" s="12">
        <v>38046</v>
      </c>
      <c r="J96" s="10" t="s">
        <v>108</v>
      </c>
      <c r="K96" s="10" t="s">
        <v>58</v>
      </c>
      <c r="L96" t="str">
        <f>IFERROR(VLOOKUP(D96,Products!A:F,3,0),"")</f>
        <v>Beauty</v>
      </c>
      <c r="M96" t="str">
        <f>IFERROR(VLOOKUP(E96,Sales_Reps!A:E,3,0),"")</f>
        <v>West</v>
      </c>
      <c r="N96" t="str">
        <f>IFERROR(VLOOKUP(C96,Customers!A:F,5,0),"")</f>
        <v>Retail</v>
      </c>
      <c r="O96">
        <f>IFERROR(VLOOKUP(C96,Customers!A:F,3,0),"")</f>
        <v>26</v>
      </c>
      <c r="P96">
        <f>IFERROR(VLOOKUP(D96,Products!A:F,4,0),"")</f>
        <v>2237</v>
      </c>
      <c r="Q96" t="b">
        <f>IFERROR(VLOOKUP(D96,Products!A:F,6,0),"")</f>
        <v>1</v>
      </c>
      <c r="R96">
        <f t="shared" si="3"/>
        <v>0.56137254901960787</v>
      </c>
      <c r="S96">
        <f t="shared" si="4"/>
        <v>1</v>
      </c>
      <c r="T96">
        <f>IF(AND(S96&gt;1,COUNTIF($A$2:A96,A96)=1),1,0)</f>
        <v>0</v>
      </c>
      <c r="U96">
        <f>COUNTIF(Customers!$A$2:$A$301,C96)</f>
        <v>1</v>
      </c>
      <c r="V96">
        <f t="shared" si="5"/>
        <v>0</v>
      </c>
    </row>
    <row r="97" spans="1:22" ht="14.25" customHeight="1" x14ac:dyDescent="0.35">
      <c r="A97" s="10" t="s">
        <v>308</v>
      </c>
      <c r="B97" s="11">
        <v>45414</v>
      </c>
      <c r="C97" s="10" t="s">
        <v>309</v>
      </c>
      <c r="D97" s="10" t="s">
        <v>146</v>
      </c>
      <c r="E97" s="10" t="s">
        <v>310</v>
      </c>
      <c r="F97" s="12">
        <v>5</v>
      </c>
      <c r="G97" s="12">
        <v>1010</v>
      </c>
      <c r="H97" s="12">
        <v>1.6</v>
      </c>
      <c r="I97" s="12">
        <v>4969.2</v>
      </c>
      <c r="J97" s="10" t="s">
        <v>51</v>
      </c>
      <c r="K97" s="10" t="s">
        <v>58</v>
      </c>
      <c r="L97" t="str">
        <f>IFERROR(VLOOKUP(D97,Products!A:F,3,0),"")</f>
        <v>Sports</v>
      </c>
      <c r="M97" t="str">
        <f>IFERROR(VLOOKUP(E97,Sales_Reps!A:E,3,0),"")</f>
        <v>South</v>
      </c>
      <c r="N97" t="str">
        <f>IFERROR(VLOOKUP(C97,Customers!A:F,5,0),"")</f>
        <v>Corporate</v>
      </c>
      <c r="O97">
        <f>IFERROR(VLOOKUP(C97,Customers!A:F,3,0),"")</f>
        <v>38</v>
      </c>
      <c r="P97">
        <f>IFERROR(VLOOKUP(D97,Products!A:F,4,0),"")</f>
        <v>516</v>
      </c>
      <c r="Q97" t="b">
        <f>IFERROR(VLOOKUP(D97,Products!A:F,6,0),"")</f>
        <v>1</v>
      </c>
      <c r="R97">
        <f t="shared" si="3"/>
        <v>0.4891089108910891</v>
      </c>
      <c r="S97">
        <f t="shared" si="4"/>
        <v>1</v>
      </c>
      <c r="T97">
        <f>IF(AND(S97&gt;1,COUNTIF($A$2:A97,A97)=1),1,0)</f>
        <v>0</v>
      </c>
      <c r="U97">
        <f>COUNTIF(Customers!$A$2:$A$301,C97)</f>
        <v>1</v>
      </c>
      <c r="V97">
        <f t="shared" si="5"/>
        <v>0</v>
      </c>
    </row>
    <row r="98" spans="1:22" ht="14.25" customHeight="1" x14ac:dyDescent="0.35">
      <c r="A98" s="10" t="s">
        <v>311</v>
      </c>
      <c r="B98" s="11">
        <v>45328</v>
      </c>
      <c r="C98" s="10" t="s">
        <v>227</v>
      </c>
      <c r="D98" s="10" t="s">
        <v>190</v>
      </c>
      <c r="E98" s="10" t="s">
        <v>75</v>
      </c>
      <c r="F98" s="12">
        <v>1</v>
      </c>
      <c r="G98" s="12">
        <v>3730</v>
      </c>
      <c r="H98" s="12">
        <v>22.7</v>
      </c>
      <c r="I98" s="12">
        <v>2883.29</v>
      </c>
      <c r="J98" s="10" t="s">
        <v>51</v>
      </c>
      <c r="K98" s="10" t="s">
        <v>97</v>
      </c>
      <c r="L98" t="str">
        <f>IFERROR(VLOOKUP(D98,Products!A:F,3,0),"")</f>
        <v>Home</v>
      </c>
      <c r="M98" t="str">
        <f>IFERROR(VLOOKUP(E98,Sales_Reps!A:E,3,0),"")</f>
        <v>West</v>
      </c>
      <c r="N98" t="str">
        <f>IFERROR(VLOOKUP(C98,Customers!A:F,5,0),"")</f>
        <v>Retail</v>
      </c>
      <c r="O98">
        <f>IFERROR(VLOOKUP(C98,Customers!A:F,3,0),"")</f>
        <v>53</v>
      </c>
      <c r="P98">
        <f>IFERROR(VLOOKUP(D98,Products!A:F,4,0),"")</f>
        <v>2135</v>
      </c>
      <c r="Q98" t="b">
        <f>IFERROR(VLOOKUP(D98,Products!A:F,6,0),"")</f>
        <v>1</v>
      </c>
      <c r="R98">
        <f t="shared" si="3"/>
        <v>0.42761394101876676</v>
      </c>
      <c r="S98">
        <f t="shared" si="4"/>
        <v>1</v>
      </c>
      <c r="T98">
        <f>IF(AND(S98&gt;1,COUNTIF($A$2:A98,A98)=1),1,0)</f>
        <v>0</v>
      </c>
      <c r="U98">
        <f>COUNTIF(Customers!$A$2:$A$301,C98)</f>
        <v>1</v>
      </c>
      <c r="V98">
        <f t="shared" si="5"/>
        <v>0</v>
      </c>
    </row>
    <row r="99" spans="1:22" ht="14.25" customHeight="1" x14ac:dyDescent="0.35">
      <c r="A99" s="10" t="s">
        <v>312</v>
      </c>
      <c r="B99" s="11">
        <v>45373</v>
      </c>
      <c r="C99" s="10" t="s">
        <v>265</v>
      </c>
      <c r="D99" s="10" t="s">
        <v>102</v>
      </c>
      <c r="E99" s="10" t="s">
        <v>92</v>
      </c>
      <c r="F99" s="12">
        <v>10</v>
      </c>
      <c r="G99" s="12">
        <v>2600</v>
      </c>
      <c r="H99" s="12">
        <v>20.7</v>
      </c>
      <c r="I99" s="12">
        <v>20618</v>
      </c>
      <c r="J99" s="10" t="s">
        <v>51</v>
      </c>
      <c r="K99" s="10" t="s">
        <v>58</v>
      </c>
      <c r="L99" t="str">
        <f>IFERROR(VLOOKUP(D99,Products!A:F,3,0),"")</f>
        <v>Electronics</v>
      </c>
      <c r="M99" t="str">
        <f>IFERROR(VLOOKUP(E99,Sales_Reps!A:E,3,0),"")</f>
        <v>West</v>
      </c>
      <c r="N99" t="str">
        <f>IFERROR(VLOOKUP(C99,Customers!A:F,5,0),"")</f>
        <v>Retail</v>
      </c>
      <c r="O99">
        <f>IFERROR(VLOOKUP(C99,Customers!A:F,3,0),"")</f>
        <v>41</v>
      </c>
      <c r="P99">
        <f>IFERROR(VLOOKUP(D99,Products!A:F,4,0),"")</f>
        <v>1052</v>
      </c>
      <c r="Q99" t="b">
        <f>IFERROR(VLOOKUP(D99,Products!A:F,6,0),"")</f>
        <v>1</v>
      </c>
      <c r="R99">
        <f t="shared" si="3"/>
        <v>0.5953846153846154</v>
      </c>
      <c r="S99">
        <f t="shared" si="4"/>
        <v>1</v>
      </c>
      <c r="T99">
        <f>IF(AND(S99&gt;1,COUNTIF($A$2:A99,A99)=1),1,0)</f>
        <v>0</v>
      </c>
      <c r="U99">
        <f>COUNTIF(Customers!$A$2:$A$301,C99)</f>
        <v>1</v>
      </c>
      <c r="V99">
        <f t="shared" si="5"/>
        <v>0</v>
      </c>
    </row>
    <row r="100" spans="1:22" ht="14.25" customHeight="1" x14ac:dyDescent="0.35">
      <c r="A100" s="10" t="s">
        <v>313</v>
      </c>
      <c r="B100" s="11">
        <v>45458</v>
      </c>
      <c r="C100" s="10" t="s">
        <v>314</v>
      </c>
      <c r="D100" s="10" t="s">
        <v>315</v>
      </c>
      <c r="E100" s="10" t="s">
        <v>67</v>
      </c>
      <c r="F100" s="12">
        <v>4</v>
      </c>
      <c r="G100" s="12">
        <v>4060</v>
      </c>
      <c r="H100" s="12">
        <v>13.9</v>
      </c>
      <c r="I100" s="12">
        <v>13982.64</v>
      </c>
      <c r="J100" s="10" t="s">
        <v>51</v>
      </c>
      <c r="K100" s="10" t="s">
        <v>76</v>
      </c>
      <c r="L100" t="str">
        <f>IFERROR(VLOOKUP(D100,Products!A:F,3,0),"")</f>
        <v>Grocery</v>
      </c>
      <c r="M100" t="str">
        <f>IFERROR(VLOOKUP(E100,Sales_Reps!A:E,3,0),"")</f>
        <v>North</v>
      </c>
      <c r="N100" t="str">
        <f>IFERROR(VLOOKUP(C100,Customers!A:F,5,0),"")</f>
        <v>SMB</v>
      </c>
      <c r="O100">
        <f>IFERROR(VLOOKUP(C100,Customers!A:F,3,0),"")</f>
        <v>22</v>
      </c>
      <c r="P100">
        <f>IFERROR(VLOOKUP(D100,Products!A:F,4,0),"")</f>
        <v>2911</v>
      </c>
      <c r="Q100" t="b">
        <f>IFERROR(VLOOKUP(D100,Products!A:F,6,0),"")</f>
        <v>1</v>
      </c>
      <c r="R100">
        <f t="shared" si="3"/>
        <v>0.28300492610837441</v>
      </c>
      <c r="S100">
        <f t="shared" si="4"/>
        <v>1</v>
      </c>
      <c r="T100">
        <f>IF(AND(S100&gt;1,COUNTIF($A$2:A100,A100)=1),1,0)</f>
        <v>0</v>
      </c>
      <c r="U100">
        <f>COUNTIF(Customers!$A$2:$A$301,C100)</f>
        <v>1</v>
      </c>
      <c r="V100">
        <f t="shared" si="5"/>
        <v>0</v>
      </c>
    </row>
    <row r="101" spans="1:22" ht="14.25" customHeight="1" x14ac:dyDescent="0.35">
      <c r="A101" s="10" t="s">
        <v>316</v>
      </c>
      <c r="B101" s="11">
        <v>45426</v>
      </c>
      <c r="C101" s="10" t="s">
        <v>317</v>
      </c>
      <c r="D101" s="10" t="s">
        <v>205</v>
      </c>
      <c r="E101" s="10" t="s">
        <v>307</v>
      </c>
      <c r="F101" s="12">
        <v>6</v>
      </c>
      <c r="G101" s="12">
        <v>6080</v>
      </c>
      <c r="H101" s="12">
        <v>16.5</v>
      </c>
      <c r="I101" s="12">
        <v>30460.799999999999</v>
      </c>
      <c r="J101" s="10" t="s">
        <v>51</v>
      </c>
      <c r="K101" s="10" t="s">
        <v>58</v>
      </c>
      <c r="L101" t="str">
        <f>IFERROR(VLOOKUP(D101,Products!A:F,3,0),"")</f>
        <v>Beauty</v>
      </c>
      <c r="M101" t="str">
        <f>IFERROR(VLOOKUP(E101,Sales_Reps!A:E,3,0),"")</f>
        <v>West</v>
      </c>
      <c r="N101" t="str">
        <f>IFERROR(VLOOKUP(C101,Customers!A:F,5,0),"")</f>
        <v>Retail</v>
      </c>
      <c r="O101">
        <f>IFERROR(VLOOKUP(C101,Customers!A:F,3,0),"")</f>
        <v>60</v>
      </c>
      <c r="P101">
        <f>IFERROR(VLOOKUP(D101,Products!A:F,4,0),"")</f>
        <v>2617</v>
      </c>
      <c r="Q101" t="b">
        <f>IFERROR(VLOOKUP(D101,Products!A:F,6,0),"")</f>
        <v>1</v>
      </c>
      <c r="R101">
        <f t="shared" si="3"/>
        <v>0.56957236842105263</v>
      </c>
      <c r="S101">
        <f t="shared" si="4"/>
        <v>1</v>
      </c>
      <c r="T101">
        <f>IF(AND(S101&gt;1,COUNTIF($A$2:A101,A101)=1),1,0)</f>
        <v>0</v>
      </c>
      <c r="U101">
        <f>COUNTIF(Customers!$A$2:$A$301,C101)</f>
        <v>1</v>
      </c>
      <c r="V101">
        <f t="shared" si="5"/>
        <v>0</v>
      </c>
    </row>
    <row r="102" spans="1:22" ht="14.25" customHeight="1" x14ac:dyDescent="0.35">
      <c r="A102" s="10" t="s">
        <v>318</v>
      </c>
      <c r="B102" s="11">
        <v>45557</v>
      </c>
      <c r="C102" s="10" t="s">
        <v>158</v>
      </c>
      <c r="D102" s="10" t="s">
        <v>319</v>
      </c>
      <c r="E102" s="10" t="s">
        <v>92</v>
      </c>
      <c r="F102" s="12">
        <v>6</v>
      </c>
      <c r="G102" s="12">
        <v>2510</v>
      </c>
      <c r="H102" s="12">
        <v>11.7</v>
      </c>
      <c r="I102" s="12">
        <v>13297.98</v>
      </c>
      <c r="J102" s="10" t="s">
        <v>51</v>
      </c>
      <c r="K102" s="10" t="s">
        <v>52</v>
      </c>
      <c r="L102" t="str">
        <f>IFERROR(VLOOKUP(D102,Products!A:F,3,0),"")</f>
        <v>Apparel</v>
      </c>
      <c r="M102" t="str">
        <f>IFERROR(VLOOKUP(E102,Sales_Reps!A:E,3,0),"")</f>
        <v>West</v>
      </c>
      <c r="N102" t="str">
        <f>IFERROR(VLOOKUP(C102,Customers!A:F,5,0),"")</f>
        <v>SMB</v>
      </c>
      <c r="O102">
        <f>IFERROR(VLOOKUP(C102,Customers!A:F,3,0),"")</f>
        <v>44</v>
      </c>
      <c r="P102">
        <f>IFERROR(VLOOKUP(D102,Products!A:F,4,0),"")</f>
        <v>1075</v>
      </c>
      <c r="Q102" t="b">
        <f>IFERROR(VLOOKUP(D102,Products!A:F,6,0),"")</f>
        <v>0</v>
      </c>
      <c r="R102">
        <f t="shared" si="3"/>
        <v>0.57171314741035861</v>
      </c>
      <c r="S102">
        <f t="shared" si="4"/>
        <v>1</v>
      </c>
      <c r="T102">
        <f>IF(AND(S102&gt;1,COUNTIF($A$2:A102,A102)=1),1,0)</f>
        <v>0</v>
      </c>
      <c r="U102">
        <f>COUNTIF(Customers!$A$2:$A$301,C102)</f>
        <v>1</v>
      </c>
      <c r="V102">
        <f t="shared" si="5"/>
        <v>0</v>
      </c>
    </row>
    <row r="103" spans="1:22" ht="14.25" customHeight="1" x14ac:dyDescent="0.35">
      <c r="A103" s="10" t="s">
        <v>320</v>
      </c>
      <c r="B103" s="11">
        <v>45509</v>
      </c>
      <c r="C103" s="10" t="s">
        <v>321</v>
      </c>
      <c r="D103" s="10" t="s">
        <v>107</v>
      </c>
      <c r="E103" s="10" t="s">
        <v>165</v>
      </c>
      <c r="F103" s="12">
        <v>5</v>
      </c>
      <c r="G103" s="12">
        <v>3250</v>
      </c>
      <c r="H103" s="12">
        <v>18.399999999999999</v>
      </c>
      <c r="I103" s="12">
        <v>13260</v>
      </c>
      <c r="J103" s="10" t="s">
        <v>51</v>
      </c>
      <c r="K103" s="10" t="s">
        <v>63</v>
      </c>
      <c r="L103" t="str">
        <f>IFERROR(VLOOKUP(D103,Products!A:F,3,0),"")</f>
        <v>Home</v>
      </c>
      <c r="M103" t="str">
        <f>IFERROR(VLOOKUP(E103,Sales_Reps!A:E,3,0),"")</f>
        <v>West</v>
      </c>
      <c r="N103" t="str">
        <f>IFERROR(VLOOKUP(C103,Customers!A:F,5,0),"")</f>
        <v>SMB</v>
      </c>
      <c r="O103">
        <f>IFERROR(VLOOKUP(C103,Customers!A:F,3,0),"")</f>
        <v>38</v>
      </c>
      <c r="P103">
        <f>IFERROR(VLOOKUP(D103,Products!A:F,4,0),"")</f>
        <v>1556</v>
      </c>
      <c r="Q103" t="b">
        <f>IFERROR(VLOOKUP(D103,Products!A:F,6,0),"")</f>
        <v>1</v>
      </c>
      <c r="R103">
        <f t="shared" si="3"/>
        <v>0.52123076923076928</v>
      </c>
      <c r="S103">
        <f t="shared" si="4"/>
        <v>1</v>
      </c>
      <c r="T103">
        <f>IF(AND(S103&gt;1,COUNTIF($A$2:A103,A103)=1),1,0)</f>
        <v>0</v>
      </c>
      <c r="U103">
        <f>COUNTIF(Customers!$A$2:$A$301,C103)</f>
        <v>1</v>
      </c>
      <c r="V103">
        <f t="shared" si="5"/>
        <v>0</v>
      </c>
    </row>
    <row r="104" spans="1:22" ht="14.25" customHeight="1" x14ac:dyDescent="0.35">
      <c r="A104" s="10" t="s">
        <v>322</v>
      </c>
      <c r="B104" s="11">
        <v>45329</v>
      </c>
      <c r="C104" s="10" t="s">
        <v>323</v>
      </c>
      <c r="D104" s="10" t="s">
        <v>324</v>
      </c>
      <c r="E104" s="10" t="s">
        <v>56</v>
      </c>
      <c r="F104" s="12">
        <v>4</v>
      </c>
      <c r="G104" s="12">
        <v>5410</v>
      </c>
      <c r="H104" s="12">
        <v>9.8000000000000007</v>
      </c>
      <c r="I104" s="12">
        <v>19519.28</v>
      </c>
      <c r="J104" s="10" t="s">
        <v>104</v>
      </c>
      <c r="K104" s="10" t="s">
        <v>63</v>
      </c>
      <c r="L104" t="str">
        <f>IFERROR(VLOOKUP(D104,Products!A:F,3,0),"")</f>
        <v>Sports</v>
      </c>
      <c r="M104" t="str">
        <f>IFERROR(VLOOKUP(E104,Sales_Reps!A:E,3,0),"")</f>
        <v>North</v>
      </c>
      <c r="N104" t="str">
        <f>IFERROR(VLOOKUP(C104,Customers!A:F,5,0),"")</f>
        <v>SMB</v>
      </c>
      <c r="O104">
        <f>IFERROR(VLOOKUP(C104,Customers!A:F,3,0),"")</f>
        <v>28</v>
      </c>
      <c r="P104">
        <f>IFERROR(VLOOKUP(D104,Products!A:F,4,0),"")</f>
        <v>2265</v>
      </c>
      <c r="Q104" t="b">
        <f>IFERROR(VLOOKUP(D104,Products!A:F,6,0),"")</f>
        <v>1</v>
      </c>
      <c r="R104">
        <f t="shared" si="3"/>
        <v>0.58133086876155271</v>
      </c>
      <c r="S104">
        <f t="shared" si="4"/>
        <v>1</v>
      </c>
      <c r="T104">
        <f>IF(AND(S104&gt;1,COUNTIF($A$2:A104,A104)=1),1,0)</f>
        <v>0</v>
      </c>
      <c r="U104">
        <f>COUNTIF(Customers!$A$2:$A$301,C104)</f>
        <v>1</v>
      </c>
      <c r="V104">
        <f t="shared" si="5"/>
        <v>0</v>
      </c>
    </row>
    <row r="105" spans="1:22" ht="14.25" customHeight="1" x14ac:dyDescent="0.35">
      <c r="A105" s="10" t="s">
        <v>325</v>
      </c>
      <c r="B105" s="11">
        <v>45411</v>
      </c>
      <c r="C105" s="10" t="s">
        <v>326</v>
      </c>
      <c r="D105" s="10" t="s">
        <v>151</v>
      </c>
      <c r="E105" s="10" t="s">
        <v>267</v>
      </c>
      <c r="F105" s="12">
        <v>8</v>
      </c>
      <c r="G105" s="12">
        <v>3570</v>
      </c>
      <c r="H105" s="12">
        <v>11.1</v>
      </c>
      <c r="I105" s="12">
        <v>25389.84</v>
      </c>
      <c r="J105" s="10" t="s">
        <v>51</v>
      </c>
      <c r="K105" s="10" t="s">
        <v>58</v>
      </c>
      <c r="L105" t="str">
        <f>IFERROR(VLOOKUP(D105,Products!A:F,3,0),"")</f>
        <v>Electronics</v>
      </c>
      <c r="M105" t="str">
        <f>IFERROR(VLOOKUP(E105,Sales_Reps!A:E,3,0),"")</f>
        <v>East</v>
      </c>
      <c r="N105" t="str">
        <f>IFERROR(VLOOKUP(C105,Customers!A:F,5,0),"")</f>
        <v>Corporate</v>
      </c>
      <c r="O105">
        <f>IFERROR(VLOOKUP(C105,Customers!A:F,3,0),"")</f>
        <v>51</v>
      </c>
      <c r="P105">
        <f>IFERROR(VLOOKUP(D105,Products!A:F,4,0),"")</f>
        <v>1665</v>
      </c>
      <c r="Q105" t="b">
        <f>IFERROR(VLOOKUP(D105,Products!A:F,6,0),"")</f>
        <v>1</v>
      </c>
      <c r="R105">
        <f t="shared" si="3"/>
        <v>0.53361344537815125</v>
      </c>
      <c r="S105">
        <f t="shared" si="4"/>
        <v>1</v>
      </c>
      <c r="T105">
        <f>IF(AND(S105&gt;1,COUNTIF($A$2:A105,A105)=1),1,0)</f>
        <v>0</v>
      </c>
      <c r="U105">
        <f>COUNTIF(Customers!$A$2:$A$301,C105)</f>
        <v>1</v>
      </c>
      <c r="V105">
        <f t="shared" si="5"/>
        <v>0</v>
      </c>
    </row>
    <row r="106" spans="1:22" ht="14.25" customHeight="1" x14ac:dyDescent="0.35">
      <c r="A106" s="10" t="s">
        <v>327</v>
      </c>
      <c r="B106" s="11">
        <v>45297</v>
      </c>
      <c r="C106" s="10" t="s">
        <v>314</v>
      </c>
      <c r="D106" s="10" t="s">
        <v>328</v>
      </c>
      <c r="E106" s="10" t="s">
        <v>112</v>
      </c>
      <c r="F106" s="12">
        <v>10</v>
      </c>
      <c r="G106" s="12">
        <v>5330</v>
      </c>
      <c r="H106" s="12">
        <v>21.2</v>
      </c>
      <c r="I106" s="12">
        <v>42000.4</v>
      </c>
      <c r="J106" s="10" t="s">
        <v>51</v>
      </c>
      <c r="K106" s="10" t="s">
        <v>76</v>
      </c>
      <c r="L106" t="str">
        <f>IFERROR(VLOOKUP(D106,Products!A:F,3,0),"")</f>
        <v>Electronics</v>
      </c>
      <c r="M106" t="str">
        <f>IFERROR(VLOOKUP(E106,Sales_Reps!A:E,3,0),"")</f>
        <v>North</v>
      </c>
      <c r="N106" t="str">
        <f>IFERROR(VLOOKUP(C106,Customers!A:F,5,0),"")</f>
        <v>SMB</v>
      </c>
      <c r="O106">
        <f>IFERROR(VLOOKUP(C106,Customers!A:F,3,0),"")</f>
        <v>22</v>
      </c>
      <c r="P106">
        <f>IFERROR(VLOOKUP(D106,Products!A:F,4,0),"")</f>
        <v>2405</v>
      </c>
      <c r="Q106" t="b">
        <f>IFERROR(VLOOKUP(D106,Products!A:F,6,0),"")</f>
        <v>1</v>
      </c>
      <c r="R106">
        <f t="shared" si="3"/>
        <v>0.54878048780487809</v>
      </c>
      <c r="S106">
        <f t="shared" si="4"/>
        <v>1</v>
      </c>
      <c r="T106">
        <f>IF(AND(S106&gt;1,COUNTIF($A$2:A106,A106)=1),1,0)</f>
        <v>0</v>
      </c>
      <c r="U106">
        <f>COUNTIF(Customers!$A$2:$A$301,C106)</f>
        <v>1</v>
      </c>
      <c r="V106">
        <f t="shared" si="5"/>
        <v>0</v>
      </c>
    </row>
    <row r="107" spans="1:22" ht="14.25" customHeight="1" x14ac:dyDescent="0.35">
      <c r="A107" s="10" t="s">
        <v>329</v>
      </c>
      <c r="B107" s="11">
        <v>45640</v>
      </c>
      <c r="C107" s="10" t="s">
        <v>330</v>
      </c>
      <c r="D107" s="10" t="s">
        <v>331</v>
      </c>
      <c r="E107" s="10" t="s">
        <v>202</v>
      </c>
      <c r="F107" s="12">
        <v>4</v>
      </c>
      <c r="G107" s="12">
        <v>2380</v>
      </c>
      <c r="H107" s="12">
        <v>26.2</v>
      </c>
      <c r="I107" s="12">
        <v>7025.76</v>
      </c>
      <c r="J107" s="10" t="s">
        <v>51</v>
      </c>
      <c r="K107" s="10" t="s">
        <v>76</v>
      </c>
      <c r="L107" t="str">
        <f>IFERROR(VLOOKUP(D107,Products!A:F,3,0),"")</f>
        <v>Grocery</v>
      </c>
      <c r="M107" t="str">
        <f>IFERROR(VLOOKUP(E107,Sales_Reps!A:E,3,0),"")</f>
        <v>East</v>
      </c>
      <c r="N107" t="str">
        <f>IFERROR(VLOOKUP(C107,Customers!A:F,5,0),"")</f>
        <v>Retail</v>
      </c>
      <c r="O107">
        <f>IFERROR(VLOOKUP(C107,Customers!A:F,3,0),"")</f>
        <v>25</v>
      </c>
      <c r="P107">
        <f>IFERROR(VLOOKUP(D107,Products!A:F,4,0),"")</f>
        <v>1182</v>
      </c>
      <c r="Q107" t="b">
        <f>IFERROR(VLOOKUP(D107,Products!A:F,6,0),"")</f>
        <v>1</v>
      </c>
      <c r="R107">
        <f t="shared" si="3"/>
        <v>0.50336134453781511</v>
      </c>
      <c r="S107">
        <f t="shared" si="4"/>
        <v>1</v>
      </c>
      <c r="T107">
        <f>IF(AND(S107&gt;1,COUNTIF($A$2:A107,A107)=1),1,0)</f>
        <v>0</v>
      </c>
      <c r="U107">
        <f>COUNTIF(Customers!$A$2:$A$301,C107)</f>
        <v>1</v>
      </c>
      <c r="V107">
        <f t="shared" si="5"/>
        <v>0</v>
      </c>
    </row>
    <row r="108" spans="1:22" ht="14.25" customHeight="1" x14ac:dyDescent="0.35">
      <c r="A108" s="10" t="s">
        <v>332</v>
      </c>
      <c r="B108" s="11">
        <v>45322</v>
      </c>
      <c r="C108" s="10" t="s">
        <v>333</v>
      </c>
      <c r="D108" s="10" t="s">
        <v>146</v>
      </c>
      <c r="E108" s="10" t="s">
        <v>307</v>
      </c>
      <c r="F108" s="12">
        <v>1</v>
      </c>
      <c r="G108" s="12">
        <v>1010</v>
      </c>
      <c r="H108" s="12">
        <v>19.5</v>
      </c>
      <c r="I108" s="12">
        <v>813.05</v>
      </c>
      <c r="J108" s="10" t="s">
        <v>104</v>
      </c>
      <c r="K108" s="10" t="s">
        <v>58</v>
      </c>
      <c r="L108" t="str">
        <f>IFERROR(VLOOKUP(D108,Products!A:F,3,0),"")</f>
        <v>Sports</v>
      </c>
      <c r="M108" t="str">
        <f>IFERROR(VLOOKUP(E108,Sales_Reps!A:E,3,0),"")</f>
        <v>West</v>
      </c>
      <c r="N108" t="str">
        <f>IFERROR(VLOOKUP(C108,Customers!A:F,5,0),"")</f>
        <v>SMB</v>
      </c>
      <c r="O108">
        <f>IFERROR(VLOOKUP(C108,Customers!A:F,3,0),"")</f>
        <v>62</v>
      </c>
      <c r="P108">
        <f>IFERROR(VLOOKUP(D108,Products!A:F,4,0),"")</f>
        <v>516</v>
      </c>
      <c r="Q108" t="b">
        <f>IFERROR(VLOOKUP(D108,Products!A:F,6,0),"")</f>
        <v>1</v>
      </c>
      <c r="R108">
        <f t="shared" si="3"/>
        <v>0.4891089108910891</v>
      </c>
      <c r="S108">
        <f t="shared" si="4"/>
        <v>1</v>
      </c>
      <c r="T108">
        <f>IF(AND(S108&gt;1,COUNTIF($A$2:A108,A108)=1),1,0)</f>
        <v>0</v>
      </c>
      <c r="U108">
        <f>COUNTIF(Customers!$A$2:$A$301,C108)</f>
        <v>1</v>
      </c>
      <c r="V108">
        <f t="shared" si="5"/>
        <v>0</v>
      </c>
    </row>
    <row r="109" spans="1:22" ht="14.25" customHeight="1" x14ac:dyDescent="0.35">
      <c r="A109" s="10" t="s">
        <v>334</v>
      </c>
      <c r="B109" s="11">
        <v>45414</v>
      </c>
      <c r="C109" s="10" t="s">
        <v>335</v>
      </c>
      <c r="D109" s="10" t="s">
        <v>66</v>
      </c>
      <c r="E109" s="10" t="s">
        <v>75</v>
      </c>
      <c r="F109" s="12">
        <v>1</v>
      </c>
      <c r="G109" s="12">
        <v>3660</v>
      </c>
      <c r="H109" s="12">
        <v>1.3</v>
      </c>
      <c r="I109" s="12">
        <v>3612.42</v>
      </c>
      <c r="J109" s="10" t="s">
        <v>51</v>
      </c>
      <c r="K109" s="10" t="s">
        <v>76</v>
      </c>
      <c r="L109" t="str">
        <f>IFERROR(VLOOKUP(D109,Products!A:F,3,0),"")</f>
        <v>Grocery</v>
      </c>
      <c r="M109" t="str">
        <f>IFERROR(VLOOKUP(E109,Sales_Reps!A:E,3,0),"")</f>
        <v>West</v>
      </c>
      <c r="N109" t="str">
        <f>IFERROR(VLOOKUP(C109,Customers!A:F,5,0),"")</f>
        <v>Retail</v>
      </c>
      <c r="O109">
        <f>IFERROR(VLOOKUP(C109,Customers!A:F,3,0),"")</f>
        <v>42</v>
      </c>
      <c r="P109">
        <f>IFERROR(VLOOKUP(D109,Products!A:F,4,0),"")</f>
        <v>2214</v>
      </c>
      <c r="Q109" t="b">
        <f>IFERROR(VLOOKUP(D109,Products!A:F,6,0),"")</f>
        <v>0</v>
      </c>
      <c r="R109">
        <f t="shared" si="3"/>
        <v>0.39508196721311473</v>
      </c>
      <c r="S109">
        <f t="shared" si="4"/>
        <v>1</v>
      </c>
      <c r="T109">
        <f>IF(AND(S109&gt;1,COUNTIF($A$2:A109,A109)=1),1,0)</f>
        <v>0</v>
      </c>
      <c r="U109">
        <f>COUNTIF(Customers!$A$2:$A$301,C109)</f>
        <v>1</v>
      </c>
      <c r="V109">
        <f t="shared" si="5"/>
        <v>0</v>
      </c>
    </row>
    <row r="110" spans="1:22" ht="14.25" customHeight="1" x14ac:dyDescent="0.35">
      <c r="A110" s="10" t="s">
        <v>336</v>
      </c>
      <c r="B110" s="11">
        <v>45592</v>
      </c>
      <c r="C110" s="10" t="s">
        <v>337</v>
      </c>
      <c r="D110" s="10" t="s">
        <v>228</v>
      </c>
      <c r="E110" s="10" t="s">
        <v>216</v>
      </c>
      <c r="F110" s="12">
        <v>2</v>
      </c>
      <c r="G110" s="12">
        <v>4070</v>
      </c>
      <c r="H110" s="12">
        <v>29</v>
      </c>
      <c r="I110" s="12">
        <v>5779.4</v>
      </c>
      <c r="J110" s="10" t="s">
        <v>104</v>
      </c>
      <c r="K110" s="10" t="s">
        <v>52</v>
      </c>
      <c r="L110" t="str">
        <f>IFERROR(VLOOKUP(D110,Products!A:F,3,0),"")</f>
        <v>Grocery</v>
      </c>
      <c r="M110" t="str">
        <f>IFERROR(VLOOKUP(E110,Sales_Reps!A:E,3,0),"")</f>
        <v>South</v>
      </c>
      <c r="N110" t="str">
        <f>IFERROR(VLOOKUP(C110,Customers!A:F,5,0),"")</f>
        <v>Retail</v>
      </c>
      <c r="O110">
        <f>IFERROR(VLOOKUP(C110,Customers!A:F,3,0),"")</f>
        <v>43</v>
      </c>
      <c r="P110">
        <f>IFERROR(VLOOKUP(D110,Products!A:F,4,0),"")</f>
        <v>2027</v>
      </c>
      <c r="Q110" t="b">
        <f>IFERROR(VLOOKUP(D110,Products!A:F,6,0),"")</f>
        <v>1</v>
      </c>
      <c r="R110">
        <f t="shared" si="3"/>
        <v>0.50196560196560192</v>
      </c>
      <c r="S110">
        <f t="shared" si="4"/>
        <v>1</v>
      </c>
      <c r="T110">
        <f>IF(AND(S110&gt;1,COUNTIF($A$2:A110,A110)=1),1,0)</f>
        <v>0</v>
      </c>
      <c r="U110">
        <f>COUNTIF(Customers!$A$2:$A$301,C110)</f>
        <v>1</v>
      </c>
      <c r="V110">
        <f t="shared" si="5"/>
        <v>0</v>
      </c>
    </row>
    <row r="111" spans="1:22" ht="14.25" customHeight="1" x14ac:dyDescent="0.35">
      <c r="A111" s="10" t="s">
        <v>338</v>
      </c>
      <c r="B111" s="11">
        <v>45439</v>
      </c>
      <c r="C111" s="10" t="s">
        <v>154</v>
      </c>
      <c r="D111" s="10" t="s">
        <v>167</v>
      </c>
      <c r="E111" s="10" t="s">
        <v>193</v>
      </c>
      <c r="F111" s="12">
        <v>6</v>
      </c>
      <c r="G111" s="12">
        <v>660</v>
      </c>
      <c r="H111" s="12">
        <v>20.2</v>
      </c>
      <c r="I111" s="12">
        <v>3160.08</v>
      </c>
      <c r="J111" s="10" t="s">
        <v>57</v>
      </c>
      <c r="K111" s="10" t="s">
        <v>97</v>
      </c>
      <c r="L111" t="str">
        <f>IFERROR(VLOOKUP(D111,Products!A:F,3,0),"")</f>
        <v>Home</v>
      </c>
      <c r="M111" t="str">
        <f>IFERROR(VLOOKUP(E111,Sales_Reps!A:E,3,0),"")</f>
        <v>West</v>
      </c>
      <c r="N111" t="str">
        <f>IFERROR(VLOOKUP(C111,Customers!A:F,5,0),"")</f>
        <v>Corporate</v>
      </c>
      <c r="O111">
        <f>IFERROR(VLOOKUP(C111,Customers!A:F,3,0),"")</f>
        <v>56</v>
      </c>
      <c r="P111">
        <f>IFERROR(VLOOKUP(D111,Products!A:F,4,0),"")</f>
        <v>329</v>
      </c>
      <c r="Q111" t="b">
        <f>IFERROR(VLOOKUP(D111,Products!A:F,6,0),"")</f>
        <v>1</v>
      </c>
      <c r="R111">
        <f t="shared" si="3"/>
        <v>0.50151515151515147</v>
      </c>
      <c r="S111">
        <f t="shared" si="4"/>
        <v>1</v>
      </c>
      <c r="T111">
        <f>IF(AND(S111&gt;1,COUNTIF($A$2:A111,A111)=1),1,0)</f>
        <v>0</v>
      </c>
      <c r="U111">
        <f>COUNTIF(Customers!$A$2:$A$301,C111)</f>
        <v>1</v>
      </c>
      <c r="V111">
        <f t="shared" si="5"/>
        <v>0</v>
      </c>
    </row>
    <row r="112" spans="1:22" ht="14.25" customHeight="1" x14ac:dyDescent="0.35">
      <c r="A112" s="10" t="s">
        <v>339</v>
      </c>
      <c r="B112" s="11">
        <v>45486</v>
      </c>
      <c r="C112" s="10" t="s">
        <v>340</v>
      </c>
      <c r="D112" s="10" t="s">
        <v>128</v>
      </c>
      <c r="E112" s="10" t="s">
        <v>80</v>
      </c>
      <c r="F112" s="12">
        <v>3</v>
      </c>
      <c r="G112" s="12">
        <v>1080</v>
      </c>
      <c r="H112" s="12">
        <v>29.7</v>
      </c>
      <c r="I112" s="12">
        <v>2277.7199999999998</v>
      </c>
      <c r="J112" s="10" t="s">
        <v>51</v>
      </c>
      <c r="K112" s="10" t="s">
        <v>81</v>
      </c>
      <c r="L112" t="str">
        <f>IFERROR(VLOOKUP(D112,Products!A:F,3,0),"")</f>
        <v>Home</v>
      </c>
      <c r="M112" t="str">
        <f>IFERROR(VLOOKUP(E112,Sales_Reps!A:E,3,0),"")</f>
        <v>West</v>
      </c>
      <c r="N112" t="str">
        <f>IFERROR(VLOOKUP(C112,Customers!A:F,5,0),"")</f>
        <v>SMB</v>
      </c>
      <c r="O112">
        <f>IFERROR(VLOOKUP(C112,Customers!A:F,3,0),"")</f>
        <v>44</v>
      </c>
      <c r="P112">
        <f>IFERROR(VLOOKUP(D112,Products!A:F,4,0),"")</f>
        <v>519</v>
      </c>
      <c r="Q112" t="b">
        <f>IFERROR(VLOOKUP(D112,Products!A:F,6,0),"")</f>
        <v>1</v>
      </c>
      <c r="R112">
        <f t="shared" si="3"/>
        <v>0.51944444444444449</v>
      </c>
      <c r="S112">
        <f t="shared" si="4"/>
        <v>1</v>
      </c>
      <c r="T112">
        <f>IF(AND(S112&gt;1,COUNTIF($A$2:A112,A112)=1),1,0)</f>
        <v>0</v>
      </c>
      <c r="U112">
        <f>COUNTIF(Customers!$A$2:$A$301,C112)</f>
        <v>1</v>
      </c>
      <c r="V112">
        <f t="shared" si="5"/>
        <v>0</v>
      </c>
    </row>
    <row r="113" spans="1:22" ht="14.25" customHeight="1" x14ac:dyDescent="0.35">
      <c r="A113" s="10" t="s">
        <v>341</v>
      </c>
      <c r="B113" s="11">
        <v>45629</v>
      </c>
      <c r="C113" s="10" t="s">
        <v>342</v>
      </c>
      <c r="D113" s="10" t="s">
        <v>55</v>
      </c>
      <c r="E113" s="10" t="s">
        <v>67</v>
      </c>
      <c r="F113" s="12">
        <v>7</v>
      </c>
      <c r="G113" s="12">
        <v>820</v>
      </c>
      <c r="H113" s="12">
        <v>13.5</v>
      </c>
      <c r="I113" s="12">
        <v>4965.1000000000004</v>
      </c>
      <c r="J113" s="10" t="s">
        <v>104</v>
      </c>
      <c r="K113" s="10" t="s">
        <v>58</v>
      </c>
      <c r="L113" t="str">
        <f>IFERROR(VLOOKUP(D113,Products!A:F,3,0),"")</f>
        <v>Apparel</v>
      </c>
      <c r="M113" t="str">
        <f>IFERROR(VLOOKUP(E113,Sales_Reps!A:E,3,0),"")</f>
        <v>North</v>
      </c>
      <c r="N113" t="str">
        <f>IFERROR(VLOOKUP(C113,Customers!A:F,5,0),"")</f>
        <v>SMB</v>
      </c>
      <c r="O113">
        <f>IFERROR(VLOOKUP(C113,Customers!A:F,3,0),"")</f>
        <v>53</v>
      </c>
      <c r="P113">
        <f>IFERROR(VLOOKUP(D113,Products!A:F,4,0),"")</f>
        <v>391</v>
      </c>
      <c r="Q113" t="b">
        <f>IFERROR(VLOOKUP(D113,Products!A:F,6,0),"")</f>
        <v>1</v>
      </c>
      <c r="R113">
        <f t="shared" si="3"/>
        <v>0.52317073170731709</v>
      </c>
      <c r="S113">
        <f t="shared" si="4"/>
        <v>1</v>
      </c>
      <c r="T113">
        <f>IF(AND(S113&gt;1,COUNTIF($A$2:A113,A113)=1),1,0)</f>
        <v>0</v>
      </c>
      <c r="U113">
        <f>COUNTIF(Customers!$A$2:$A$301,C113)</f>
        <v>1</v>
      </c>
      <c r="V113">
        <f t="shared" si="5"/>
        <v>0</v>
      </c>
    </row>
    <row r="114" spans="1:22" ht="14.25" customHeight="1" x14ac:dyDescent="0.35">
      <c r="A114" s="10" t="s">
        <v>343</v>
      </c>
      <c r="B114" s="11">
        <v>45394</v>
      </c>
      <c r="C114" s="10" t="s">
        <v>101</v>
      </c>
      <c r="D114" s="10" t="s">
        <v>344</v>
      </c>
      <c r="E114" s="10" t="s">
        <v>307</v>
      </c>
      <c r="F114" s="12">
        <v>4</v>
      </c>
      <c r="G114" s="12">
        <v>960</v>
      </c>
      <c r="H114" s="12">
        <v>26</v>
      </c>
      <c r="I114" s="12">
        <v>2841.6</v>
      </c>
      <c r="J114" s="10" t="s">
        <v>51</v>
      </c>
      <c r="K114" s="10" t="s">
        <v>63</v>
      </c>
      <c r="L114" t="str">
        <f>IFERROR(VLOOKUP(D114,Products!A:F,3,0),"")</f>
        <v>Beauty</v>
      </c>
      <c r="M114" t="str">
        <f>IFERROR(VLOOKUP(E114,Sales_Reps!A:E,3,0),"")</f>
        <v>West</v>
      </c>
      <c r="N114" t="str">
        <f>IFERROR(VLOOKUP(C114,Customers!A:F,5,0),"")</f>
        <v>SMB</v>
      </c>
      <c r="O114">
        <f>IFERROR(VLOOKUP(C114,Customers!A:F,3,0),"")</f>
        <v>27</v>
      </c>
      <c r="P114">
        <f>IFERROR(VLOOKUP(D114,Products!A:F,4,0),"")</f>
        <v>675</v>
      </c>
      <c r="Q114" t="b">
        <f>IFERROR(VLOOKUP(D114,Products!A:F,6,0),"")</f>
        <v>1</v>
      </c>
      <c r="R114">
        <f t="shared" si="3"/>
        <v>0.296875</v>
      </c>
      <c r="S114">
        <f t="shared" si="4"/>
        <v>1</v>
      </c>
      <c r="T114">
        <f>IF(AND(S114&gt;1,COUNTIF($A$2:A114,A114)=1),1,0)</f>
        <v>0</v>
      </c>
      <c r="U114">
        <f>COUNTIF(Customers!$A$2:$A$301,C114)</f>
        <v>1</v>
      </c>
      <c r="V114">
        <f t="shared" si="5"/>
        <v>0</v>
      </c>
    </row>
    <row r="115" spans="1:22" ht="14.25" customHeight="1" x14ac:dyDescent="0.35">
      <c r="A115" s="10" t="s">
        <v>345</v>
      </c>
      <c r="B115" s="11">
        <v>45453</v>
      </c>
      <c r="C115" s="10" t="s">
        <v>346</v>
      </c>
      <c r="D115" s="10" t="s">
        <v>102</v>
      </c>
      <c r="E115" s="10" t="s">
        <v>62</v>
      </c>
      <c r="F115" s="12">
        <v>3</v>
      </c>
      <c r="G115" s="12">
        <v>2600</v>
      </c>
      <c r="H115" s="12">
        <v>18.2</v>
      </c>
      <c r="I115" s="12">
        <v>6380.4</v>
      </c>
      <c r="J115" s="10" t="s">
        <v>51</v>
      </c>
      <c r="K115" s="10" t="s">
        <v>63</v>
      </c>
      <c r="L115" t="str">
        <f>IFERROR(VLOOKUP(D115,Products!A:F,3,0),"")</f>
        <v>Electronics</v>
      </c>
      <c r="M115" t="str">
        <f>IFERROR(VLOOKUP(E115,Sales_Reps!A:E,3,0),"")</f>
        <v>South</v>
      </c>
      <c r="N115" t="str">
        <f>IFERROR(VLOOKUP(C115,Customers!A:F,5,0),"")</f>
        <v>Corporate</v>
      </c>
      <c r="O115">
        <f>IFERROR(VLOOKUP(C115,Customers!A:F,3,0),"")</f>
        <v>27</v>
      </c>
      <c r="P115">
        <f>IFERROR(VLOOKUP(D115,Products!A:F,4,0),"")</f>
        <v>1052</v>
      </c>
      <c r="Q115" t="b">
        <f>IFERROR(VLOOKUP(D115,Products!A:F,6,0),"")</f>
        <v>1</v>
      </c>
      <c r="R115">
        <f t="shared" si="3"/>
        <v>0.5953846153846154</v>
      </c>
      <c r="S115">
        <f t="shared" si="4"/>
        <v>1</v>
      </c>
      <c r="T115">
        <f>IF(AND(S115&gt;1,COUNTIF($A$2:A115,A115)=1),1,0)</f>
        <v>0</v>
      </c>
      <c r="U115">
        <f>COUNTIF(Customers!$A$2:$A$301,C115)</f>
        <v>1</v>
      </c>
      <c r="V115">
        <f t="shared" si="5"/>
        <v>0</v>
      </c>
    </row>
    <row r="116" spans="1:22" ht="14.25" customHeight="1" x14ac:dyDescent="0.35">
      <c r="A116" s="10" t="s">
        <v>347</v>
      </c>
      <c r="B116" s="11">
        <v>45370</v>
      </c>
      <c r="C116" s="10" t="s">
        <v>114</v>
      </c>
      <c r="D116" s="10" t="s">
        <v>259</v>
      </c>
      <c r="E116" s="10" t="s">
        <v>193</v>
      </c>
      <c r="F116" s="12">
        <v>9</v>
      </c>
      <c r="G116" s="12">
        <v>2030</v>
      </c>
      <c r="H116" s="12">
        <v>26.1</v>
      </c>
      <c r="I116" s="12">
        <v>13501.53</v>
      </c>
      <c r="J116" s="10" t="s">
        <v>51</v>
      </c>
      <c r="K116" s="10" t="s">
        <v>52</v>
      </c>
      <c r="L116" t="str">
        <f>IFERROR(VLOOKUP(D116,Products!A:F,3,0),"")</f>
        <v>Home</v>
      </c>
      <c r="M116" t="str">
        <f>IFERROR(VLOOKUP(E116,Sales_Reps!A:E,3,0),"")</f>
        <v>West</v>
      </c>
      <c r="N116" t="str">
        <f>IFERROR(VLOOKUP(C116,Customers!A:F,5,0),"")</f>
        <v>Retail</v>
      </c>
      <c r="O116">
        <f>IFERROR(VLOOKUP(C116,Customers!A:F,3,0),"")</f>
        <v>63</v>
      </c>
      <c r="P116">
        <f>IFERROR(VLOOKUP(D116,Products!A:F,4,0),"")</f>
        <v>1143</v>
      </c>
      <c r="Q116" t="b">
        <f>IFERROR(VLOOKUP(D116,Products!A:F,6,0),"")</f>
        <v>1</v>
      </c>
      <c r="R116">
        <f t="shared" si="3"/>
        <v>0.43694581280788175</v>
      </c>
      <c r="S116">
        <f t="shared" si="4"/>
        <v>1</v>
      </c>
      <c r="T116">
        <f>IF(AND(S116&gt;1,COUNTIF($A$2:A116,A116)=1),1,0)</f>
        <v>0</v>
      </c>
      <c r="U116">
        <f>COUNTIF(Customers!$A$2:$A$301,C116)</f>
        <v>1</v>
      </c>
      <c r="V116">
        <f t="shared" si="5"/>
        <v>0</v>
      </c>
    </row>
    <row r="117" spans="1:22" ht="14.25" customHeight="1" x14ac:dyDescent="0.35">
      <c r="A117" s="10" t="s">
        <v>348</v>
      </c>
      <c r="B117" s="11">
        <v>45597</v>
      </c>
      <c r="C117" s="10" t="s">
        <v>349</v>
      </c>
      <c r="D117" s="10" t="s">
        <v>350</v>
      </c>
      <c r="E117" s="10" t="s">
        <v>92</v>
      </c>
      <c r="F117" s="12">
        <v>8</v>
      </c>
      <c r="G117" s="12">
        <v>2290</v>
      </c>
      <c r="H117" s="12">
        <v>20.8</v>
      </c>
      <c r="I117" s="12">
        <v>14509.44</v>
      </c>
      <c r="J117" s="10" t="s">
        <v>51</v>
      </c>
      <c r="K117" s="10" t="s">
        <v>81</v>
      </c>
      <c r="L117" t="str">
        <f>IFERROR(VLOOKUP(D117,Products!A:F,3,0),"")</f>
        <v>Beauty</v>
      </c>
      <c r="M117" t="str">
        <f>IFERROR(VLOOKUP(E117,Sales_Reps!A:E,3,0),"")</f>
        <v>West</v>
      </c>
      <c r="N117" t="str">
        <f>IFERROR(VLOOKUP(C117,Customers!A:F,5,0),"")</f>
        <v>Retail</v>
      </c>
      <c r="O117">
        <f>IFERROR(VLOOKUP(C117,Customers!A:F,3,0),"")</f>
        <v>23</v>
      </c>
      <c r="P117">
        <f>IFERROR(VLOOKUP(D117,Products!A:F,4,0),"")</f>
        <v>1219</v>
      </c>
      <c r="Q117" t="b">
        <f>IFERROR(VLOOKUP(D117,Products!A:F,6,0),"")</f>
        <v>1</v>
      </c>
      <c r="R117">
        <f t="shared" si="3"/>
        <v>0.46768558951965067</v>
      </c>
      <c r="S117">
        <f t="shared" si="4"/>
        <v>1</v>
      </c>
      <c r="T117">
        <f>IF(AND(S117&gt;1,COUNTIF($A$2:A117,A117)=1),1,0)</f>
        <v>0</v>
      </c>
      <c r="U117">
        <f>COUNTIF(Customers!$A$2:$A$301,C117)</f>
        <v>1</v>
      </c>
      <c r="V117">
        <f t="shared" si="5"/>
        <v>0</v>
      </c>
    </row>
    <row r="118" spans="1:22" ht="14.25" customHeight="1" x14ac:dyDescent="0.35">
      <c r="A118" s="10" t="s">
        <v>351</v>
      </c>
      <c r="B118" s="11">
        <v>45531</v>
      </c>
      <c r="C118" s="10" t="s">
        <v>352</v>
      </c>
      <c r="D118" s="10" t="s">
        <v>190</v>
      </c>
      <c r="E118" s="10" t="s">
        <v>193</v>
      </c>
      <c r="F118" s="12">
        <v>3</v>
      </c>
      <c r="G118" s="12">
        <v>3730</v>
      </c>
      <c r="H118" s="12">
        <v>7.9</v>
      </c>
      <c r="I118" s="12">
        <v>10305.99</v>
      </c>
      <c r="J118" s="10" t="s">
        <v>51</v>
      </c>
      <c r="K118" s="10" t="s">
        <v>97</v>
      </c>
      <c r="L118" t="str">
        <f>IFERROR(VLOOKUP(D118,Products!A:F,3,0),"")</f>
        <v>Home</v>
      </c>
      <c r="M118" t="str">
        <f>IFERROR(VLOOKUP(E118,Sales_Reps!A:E,3,0),"")</f>
        <v>West</v>
      </c>
      <c r="N118" t="str">
        <f>IFERROR(VLOOKUP(C118,Customers!A:F,5,0),"")</f>
        <v>Retail</v>
      </c>
      <c r="O118">
        <f>IFERROR(VLOOKUP(C118,Customers!A:F,3,0),"")</f>
        <v>44</v>
      </c>
      <c r="P118">
        <f>IFERROR(VLOOKUP(D118,Products!A:F,4,0),"")</f>
        <v>2135</v>
      </c>
      <c r="Q118" t="b">
        <f>IFERROR(VLOOKUP(D118,Products!A:F,6,0),"")</f>
        <v>1</v>
      </c>
      <c r="R118">
        <f t="shared" si="3"/>
        <v>0.42761394101876676</v>
      </c>
      <c r="S118">
        <f t="shared" si="4"/>
        <v>1</v>
      </c>
      <c r="T118">
        <f>IF(AND(S118&gt;1,COUNTIF($A$2:A118,A118)=1),1,0)</f>
        <v>0</v>
      </c>
      <c r="U118">
        <f>COUNTIF(Customers!$A$2:$A$301,C118)</f>
        <v>1</v>
      </c>
      <c r="V118">
        <f t="shared" si="5"/>
        <v>0</v>
      </c>
    </row>
    <row r="119" spans="1:22" ht="14.25" customHeight="1" x14ac:dyDescent="0.35">
      <c r="A119" s="10" t="s">
        <v>353</v>
      </c>
      <c r="B119" s="11">
        <v>45596</v>
      </c>
      <c r="C119" s="10" t="s">
        <v>354</v>
      </c>
      <c r="D119" s="10" t="s">
        <v>246</v>
      </c>
      <c r="E119" s="10" t="s">
        <v>62</v>
      </c>
      <c r="F119" s="12">
        <v>1</v>
      </c>
      <c r="G119" s="12">
        <v>300</v>
      </c>
      <c r="H119" s="12">
        <v>16.899999999999999</v>
      </c>
      <c r="I119" s="12">
        <v>249.3</v>
      </c>
      <c r="J119" s="10" t="s">
        <v>57</v>
      </c>
      <c r="K119" s="10" t="s">
        <v>52</v>
      </c>
      <c r="L119" t="str">
        <f>IFERROR(VLOOKUP(D119,Products!A:F,3,0),"")</f>
        <v>Electronics</v>
      </c>
      <c r="M119" t="str">
        <f>IFERROR(VLOOKUP(E119,Sales_Reps!A:E,3,0),"")</f>
        <v>South</v>
      </c>
      <c r="N119" t="str">
        <f>IFERROR(VLOOKUP(C119,Customers!A:F,5,0),"")</f>
        <v>SMB</v>
      </c>
      <c r="O119">
        <f>IFERROR(VLOOKUP(C119,Customers!A:F,3,0),"")</f>
        <v>54</v>
      </c>
      <c r="P119">
        <f>IFERROR(VLOOKUP(D119,Products!A:F,4,0),"")</f>
        <v>128</v>
      </c>
      <c r="Q119" t="b">
        <f>IFERROR(VLOOKUP(D119,Products!A:F,6,0),"")</f>
        <v>1</v>
      </c>
      <c r="R119">
        <f t="shared" si="3"/>
        <v>0.57333333333333336</v>
      </c>
      <c r="S119">
        <f t="shared" si="4"/>
        <v>1</v>
      </c>
      <c r="T119">
        <f>IF(AND(S119&gt;1,COUNTIF($A$2:A119,A119)=1),1,0)</f>
        <v>0</v>
      </c>
      <c r="U119">
        <f>COUNTIF(Customers!$A$2:$A$301,C119)</f>
        <v>1</v>
      </c>
      <c r="V119">
        <f t="shared" si="5"/>
        <v>0</v>
      </c>
    </row>
    <row r="120" spans="1:22" ht="14.25" customHeight="1" x14ac:dyDescent="0.35">
      <c r="A120" s="10" t="s">
        <v>355</v>
      </c>
      <c r="B120" s="11">
        <v>45420</v>
      </c>
      <c r="C120" s="10" t="s">
        <v>356</v>
      </c>
      <c r="D120" s="10" t="s">
        <v>246</v>
      </c>
      <c r="E120" s="10" t="s">
        <v>289</v>
      </c>
      <c r="F120" s="12">
        <v>3</v>
      </c>
      <c r="G120" s="12">
        <v>300</v>
      </c>
      <c r="H120" s="12">
        <v>0.6</v>
      </c>
      <c r="I120" s="12">
        <v>894.6</v>
      </c>
      <c r="J120" s="10" t="s">
        <v>51</v>
      </c>
      <c r="K120" s="10" t="s">
        <v>76</v>
      </c>
      <c r="L120" t="str">
        <f>IFERROR(VLOOKUP(D120,Products!A:F,3,0),"")</f>
        <v>Electronics</v>
      </c>
      <c r="M120" t="str">
        <f>IFERROR(VLOOKUP(E120,Sales_Reps!A:E,3,0),"")</f>
        <v>South</v>
      </c>
      <c r="N120" t="str">
        <f>IFERROR(VLOOKUP(C120,Customers!A:F,5,0),"")</f>
        <v>Retail</v>
      </c>
      <c r="O120">
        <f>IFERROR(VLOOKUP(C120,Customers!A:F,3,0),"")</f>
        <v>50</v>
      </c>
      <c r="P120">
        <f>IFERROR(VLOOKUP(D120,Products!A:F,4,0),"")</f>
        <v>128</v>
      </c>
      <c r="Q120" t="b">
        <f>IFERROR(VLOOKUP(D120,Products!A:F,6,0),"")</f>
        <v>1</v>
      </c>
      <c r="R120">
        <f t="shared" si="3"/>
        <v>0.57333333333333336</v>
      </c>
      <c r="S120">
        <f t="shared" si="4"/>
        <v>1</v>
      </c>
      <c r="T120">
        <f>IF(AND(S120&gt;1,COUNTIF($A$2:A120,A120)=1),1,0)</f>
        <v>0</v>
      </c>
      <c r="U120">
        <f>COUNTIF(Customers!$A$2:$A$301,C120)</f>
        <v>1</v>
      </c>
      <c r="V120">
        <f t="shared" si="5"/>
        <v>0</v>
      </c>
    </row>
    <row r="121" spans="1:22" ht="14.25" customHeight="1" x14ac:dyDescent="0.35">
      <c r="A121" s="10" t="s">
        <v>357</v>
      </c>
      <c r="B121" s="11">
        <v>45329</v>
      </c>
      <c r="C121" s="10" t="s">
        <v>358</v>
      </c>
      <c r="D121" s="10" t="s">
        <v>143</v>
      </c>
      <c r="E121" s="10" t="s">
        <v>50</v>
      </c>
      <c r="F121" s="12">
        <v>6</v>
      </c>
      <c r="G121" s="12">
        <v>3350</v>
      </c>
      <c r="H121" s="12">
        <v>2.2999999999999998</v>
      </c>
      <c r="I121" s="12">
        <v>19637.7</v>
      </c>
      <c r="J121" s="10" t="s">
        <v>104</v>
      </c>
      <c r="K121" s="10" t="s">
        <v>81</v>
      </c>
      <c r="L121" t="str">
        <f>IFERROR(VLOOKUP(D121,Products!A:F,3,0),"")</f>
        <v>Beauty</v>
      </c>
      <c r="M121" t="str">
        <f>IFERROR(VLOOKUP(E121,Sales_Reps!A:E,3,0),"")</f>
        <v>North</v>
      </c>
      <c r="N121" t="str">
        <f>IFERROR(VLOOKUP(C121,Customers!A:F,5,0),"")</f>
        <v>SMB</v>
      </c>
      <c r="O121">
        <f>IFERROR(VLOOKUP(C121,Customers!A:F,3,0),"")</f>
        <v>28</v>
      </c>
      <c r="P121">
        <f>IFERROR(VLOOKUP(D121,Products!A:F,4,0),"")</f>
        <v>1728</v>
      </c>
      <c r="Q121" t="b">
        <f>IFERROR(VLOOKUP(D121,Products!A:F,6,0),"")</f>
        <v>1</v>
      </c>
      <c r="R121">
        <f t="shared" si="3"/>
        <v>0.48417910447761192</v>
      </c>
      <c r="S121">
        <f t="shared" si="4"/>
        <v>1</v>
      </c>
      <c r="T121">
        <f>IF(AND(S121&gt;1,COUNTIF($A$2:A121,A121)=1),1,0)</f>
        <v>0</v>
      </c>
      <c r="U121">
        <f>COUNTIF(Customers!$A$2:$A$301,C121)</f>
        <v>1</v>
      </c>
      <c r="V121">
        <f t="shared" si="5"/>
        <v>0</v>
      </c>
    </row>
    <row r="122" spans="1:22" ht="14.25" customHeight="1" x14ac:dyDescent="0.35">
      <c r="A122" s="10" t="s">
        <v>359</v>
      </c>
      <c r="B122" s="11">
        <v>45416</v>
      </c>
      <c r="C122" s="10" t="s">
        <v>117</v>
      </c>
      <c r="D122" s="10" t="s">
        <v>328</v>
      </c>
      <c r="E122" s="10" t="s">
        <v>112</v>
      </c>
      <c r="F122" s="12">
        <v>4</v>
      </c>
      <c r="G122" s="12">
        <v>5330</v>
      </c>
      <c r="H122" s="12">
        <v>29.3</v>
      </c>
      <c r="I122" s="12">
        <v>15073.24</v>
      </c>
      <c r="J122" s="10" t="s">
        <v>51</v>
      </c>
      <c r="K122" s="10" t="s">
        <v>81</v>
      </c>
      <c r="L122" t="str">
        <f>IFERROR(VLOOKUP(D122,Products!A:F,3,0),"")</f>
        <v>Electronics</v>
      </c>
      <c r="M122" t="str">
        <f>IFERROR(VLOOKUP(E122,Sales_Reps!A:E,3,0),"")</f>
        <v>North</v>
      </c>
      <c r="N122" t="str">
        <f>IFERROR(VLOOKUP(C122,Customers!A:F,5,0),"")</f>
        <v>SMB</v>
      </c>
      <c r="O122">
        <f>IFERROR(VLOOKUP(C122,Customers!A:F,3,0),"")</f>
        <v>46</v>
      </c>
      <c r="P122">
        <f>IFERROR(VLOOKUP(D122,Products!A:F,4,0),"")</f>
        <v>2405</v>
      </c>
      <c r="Q122" t="b">
        <f>IFERROR(VLOOKUP(D122,Products!A:F,6,0),"")</f>
        <v>1</v>
      </c>
      <c r="R122">
        <f t="shared" si="3"/>
        <v>0.54878048780487809</v>
      </c>
      <c r="S122">
        <f t="shared" si="4"/>
        <v>1</v>
      </c>
      <c r="T122">
        <f>IF(AND(S122&gt;1,COUNTIF($A$2:A122,A122)=1),1,0)</f>
        <v>0</v>
      </c>
      <c r="U122">
        <f>COUNTIF(Customers!$A$2:$A$301,C122)</f>
        <v>1</v>
      </c>
      <c r="V122">
        <f t="shared" si="5"/>
        <v>0</v>
      </c>
    </row>
    <row r="123" spans="1:22" ht="14.25" customHeight="1" x14ac:dyDescent="0.35">
      <c r="A123" s="10" t="s">
        <v>360</v>
      </c>
      <c r="B123" s="11">
        <v>45614</v>
      </c>
      <c r="C123" s="10" t="s">
        <v>361</v>
      </c>
      <c r="D123" s="10" t="s">
        <v>49</v>
      </c>
      <c r="E123" s="10" t="s">
        <v>261</v>
      </c>
      <c r="F123" s="12">
        <v>6</v>
      </c>
      <c r="G123" s="12">
        <v>3620</v>
      </c>
      <c r="H123" s="12">
        <v>10.8</v>
      </c>
      <c r="I123" s="12">
        <v>19374.240000000002</v>
      </c>
      <c r="J123" s="10" t="s">
        <v>51</v>
      </c>
      <c r="K123" s="10" t="s">
        <v>63</v>
      </c>
      <c r="L123" t="str">
        <f>IFERROR(VLOOKUP(D123,Products!A:F,3,0),"")</f>
        <v>Apparel</v>
      </c>
      <c r="M123" t="str">
        <f>IFERROR(VLOOKUP(E123,Sales_Reps!A:E,3,0),"")</f>
        <v>North</v>
      </c>
      <c r="N123" t="str">
        <f>IFERROR(VLOOKUP(C123,Customers!A:F,5,0),"")</f>
        <v>Retail</v>
      </c>
      <c r="O123">
        <f>IFERROR(VLOOKUP(C123,Customers!A:F,3,0),"")</f>
        <v>30</v>
      </c>
      <c r="P123">
        <f>IFERROR(VLOOKUP(D123,Products!A:F,4,0),"")</f>
        <v>2509</v>
      </c>
      <c r="Q123" t="b">
        <f>IFERROR(VLOOKUP(D123,Products!A:F,6,0),"")</f>
        <v>1</v>
      </c>
      <c r="R123">
        <f t="shared" si="3"/>
        <v>0.3069060773480663</v>
      </c>
      <c r="S123">
        <f t="shared" si="4"/>
        <v>1</v>
      </c>
      <c r="T123">
        <f>IF(AND(S123&gt;1,COUNTIF($A$2:A123,A123)=1),1,0)</f>
        <v>0</v>
      </c>
      <c r="U123">
        <f>COUNTIF(Customers!$A$2:$A$301,C123)</f>
        <v>1</v>
      </c>
      <c r="V123">
        <f t="shared" si="5"/>
        <v>0</v>
      </c>
    </row>
    <row r="124" spans="1:22" ht="14.25" customHeight="1" x14ac:dyDescent="0.35">
      <c r="A124" s="10" t="s">
        <v>362</v>
      </c>
      <c r="B124" s="11">
        <v>45593</v>
      </c>
      <c r="C124" s="10" t="s">
        <v>363</v>
      </c>
      <c r="D124" s="10" t="s">
        <v>49</v>
      </c>
      <c r="E124" s="10" t="s">
        <v>56</v>
      </c>
      <c r="F124" s="12">
        <v>6</v>
      </c>
      <c r="G124" s="12">
        <v>3620</v>
      </c>
      <c r="H124" s="12">
        <v>21.7</v>
      </c>
      <c r="I124" s="12">
        <v>17006.759999999998</v>
      </c>
      <c r="J124" s="10" t="s">
        <v>51</v>
      </c>
      <c r="K124" s="10" t="s">
        <v>63</v>
      </c>
      <c r="L124" t="str">
        <f>IFERROR(VLOOKUP(D124,Products!A:F,3,0),"")</f>
        <v>Apparel</v>
      </c>
      <c r="M124" t="str">
        <f>IFERROR(VLOOKUP(E124,Sales_Reps!A:E,3,0),"")</f>
        <v>North</v>
      </c>
      <c r="N124" t="str">
        <f>IFERROR(VLOOKUP(C124,Customers!A:F,5,0),"")</f>
        <v>SMB</v>
      </c>
      <c r="O124">
        <f>IFERROR(VLOOKUP(C124,Customers!A:F,3,0),"")</f>
        <v>53</v>
      </c>
      <c r="P124">
        <f>IFERROR(VLOOKUP(D124,Products!A:F,4,0),"")</f>
        <v>2509</v>
      </c>
      <c r="Q124" t="b">
        <f>IFERROR(VLOOKUP(D124,Products!A:F,6,0),"")</f>
        <v>1</v>
      </c>
      <c r="R124">
        <f t="shared" si="3"/>
        <v>0.3069060773480663</v>
      </c>
      <c r="S124">
        <f t="shared" si="4"/>
        <v>1</v>
      </c>
      <c r="T124">
        <f>IF(AND(S124&gt;1,COUNTIF($A$2:A124,A124)=1),1,0)</f>
        <v>0</v>
      </c>
      <c r="U124">
        <f>COUNTIF(Customers!$A$2:$A$301,C124)</f>
        <v>1</v>
      </c>
      <c r="V124">
        <f t="shared" si="5"/>
        <v>0</v>
      </c>
    </row>
    <row r="125" spans="1:22" ht="14.25" customHeight="1" x14ac:dyDescent="0.35">
      <c r="A125" s="10" t="s">
        <v>364</v>
      </c>
      <c r="B125" s="11">
        <v>45360</v>
      </c>
      <c r="C125" s="10" t="s">
        <v>365</v>
      </c>
      <c r="D125" s="10" t="s">
        <v>79</v>
      </c>
      <c r="E125" s="10" t="s">
        <v>71</v>
      </c>
      <c r="F125" s="12">
        <v>8</v>
      </c>
      <c r="G125" s="12">
        <v>960</v>
      </c>
      <c r="H125" s="12">
        <v>27.9</v>
      </c>
      <c r="I125" s="12">
        <v>5537.28</v>
      </c>
      <c r="J125" s="10" t="s">
        <v>51</v>
      </c>
      <c r="K125" s="10" t="s">
        <v>58</v>
      </c>
      <c r="L125" t="str">
        <f>IFERROR(VLOOKUP(D125,Products!A:F,3,0),"")</f>
        <v>Sports</v>
      </c>
      <c r="M125" t="str">
        <f>IFERROR(VLOOKUP(E125,Sales_Reps!A:E,3,0),"")</f>
        <v>North</v>
      </c>
      <c r="N125" t="str">
        <f>IFERROR(VLOOKUP(C125,Customers!A:F,5,0),"")</f>
        <v>SMB</v>
      </c>
      <c r="O125">
        <f>IFERROR(VLOOKUP(C125,Customers!A:F,3,0),"")</f>
        <v>51</v>
      </c>
      <c r="P125">
        <f>IFERROR(VLOOKUP(D125,Products!A:F,4,0),"")</f>
        <v>705</v>
      </c>
      <c r="Q125" t="b">
        <f>IFERROR(VLOOKUP(D125,Products!A:F,6,0),"")</f>
        <v>1</v>
      </c>
      <c r="R125">
        <f t="shared" si="3"/>
        <v>0.265625</v>
      </c>
      <c r="S125">
        <f t="shared" si="4"/>
        <v>1</v>
      </c>
      <c r="T125">
        <f>IF(AND(S125&gt;1,COUNTIF($A$2:A125,A125)=1),1,0)</f>
        <v>0</v>
      </c>
      <c r="U125">
        <f>COUNTIF(Customers!$A$2:$A$301,C125)</f>
        <v>1</v>
      </c>
      <c r="V125">
        <f t="shared" si="5"/>
        <v>0</v>
      </c>
    </row>
    <row r="126" spans="1:22" ht="14.25" customHeight="1" x14ac:dyDescent="0.35">
      <c r="A126" s="10" t="s">
        <v>366</v>
      </c>
      <c r="B126" s="11">
        <v>45628</v>
      </c>
      <c r="C126" s="10" t="s">
        <v>367</v>
      </c>
      <c r="D126" s="10" t="s">
        <v>140</v>
      </c>
      <c r="E126" s="10" t="s">
        <v>75</v>
      </c>
      <c r="F126" s="12">
        <v>5</v>
      </c>
      <c r="G126" s="12">
        <v>1650</v>
      </c>
      <c r="H126" s="12">
        <v>4.9000000000000004</v>
      </c>
      <c r="I126" s="12">
        <v>7845.75</v>
      </c>
      <c r="J126" s="10" t="s">
        <v>51</v>
      </c>
      <c r="K126" s="10" t="s">
        <v>81</v>
      </c>
      <c r="L126" t="str">
        <f>IFERROR(VLOOKUP(D126,Products!A:F,3,0),"")</f>
        <v>Beauty</v>
      </c>
      <c r="M126" t="str">
        <f>IFERROR(VLOOKUP(E126,Sales_Reps!A:E,3,0),"")</f>
        <v>West</v>
      </c>
      <c r="N126" t="str">
        <f>IFERROR(VLOOKUP(C126,Customers!A:F,5,0),"")</f>
        <v>Retail</v>
      </c>
      <c r="O126">
        <f>IFERROR(VLOOKUP(C126,Customers!A:F,3,0),"")</f>
        <v>59</v>
      </c>
      <c r="P126">
        <f>IFERROR(VLOOKUP(D126,Products!A:F,4,0),"")</f>
        <v>1222</v>
      </c>
      <c r="Q126" t="b">
        <f>IFERROR(VLOOKUP(D126,Products!A:F,6,0),"")</f>
        <v>1</v>
      </c>
      <c r="R126">
        <f t="shared" si="3"/>
        <v>0.2593939393939394</v>
      </c>
      <c r="S126">
        <f t="shared" si="4"/>
        <v>1</v>
      </c>
      <c r="T126">
        <f>IF(AND(S126&gt;1,COUNTIF($A$2:A126,A126)=1),1,0)</f>
        <v>0</v>
      </c>
      <c r="U126">
        <f>COUNTIF(Customers!$A$2:$A$301,C126)</f>
        <v>1</v>
      </c>
      <c r="V126">
        <f t="shared" si="5"/>
        <v>0</v>
      </c>
    </row>
    <row r="127" spans="1:22" ht="14.25" customHeight="1" x14ac:dyDescent="0.35">
      <c r="A127" s="10" t="s">
        <v>368</v>
      </c>
      <c r="B127" s="11">
        <v>45592</v>
      </c>
      <c r="C127" s="10" t="s">
        <v>369</v>
      </c>
      <c r="D127" s="10" t="s">
        <v>344</v>
      </c>
      <c r="E127" s="10" t="s">
        <v>96</v>
      </c>
      <c r="F127" s="12">
        <v>9</v>
      </c>
      <c r="G127" s="12">
        <v>960</v>
      </c>
      <c r="H127" s="12">
        <v>25.1</v>
      </c>
      <c r="I127" s="12">
        <v>6471.36</v>
      </c>
      <c r="J127" s="10" t="s">
        <v>108</v>
      </c>
      <c r="K127" s="10" t="s">
        <v>58</v>
      </c>
      <c r="L127" t="str">
        <f>IFERROR(VLOOKUP(D127,Products!A:F,3,0),"")</f>
        <v>Beauty</v>
      </c>
      <c r="M127" t="str">
        <f>IFERROR(VLOOKUP(E127,Sales_Reps!A:E,3,0),"")</f>
        <v>South</v>
      </c>
      <c r="N127" t="str">
        <f>IFERROR(VLOOKUP(C127,Customers!A:F,5,0),"")</f>
        <v>Corporate</v>
      </c>
      <c r="O127">
        <f>IFERROR(VLOOKUP(C127,Customers!A:F,3,0),"")</f>
        <v>24</v>
      </c>
      <c r="P127">
        <f>IFERROR(VLOOKUP(D127,Products!A:F,4,0),"")</f>
        <v>675</v>
      </c>
      <c r="Q127" t="b">
        <f>IFERROR(VLOOKUP(D127,Products!A:F,6,0),"")</f>
        <v>1</v>
      </c>
      <c r="R127">
        <f t="shared" si="3"/>
        <v>0.296875</v>
      </c>
      <c r="S127">
        <f t="shared" si="4"/>
        <v>1</v>
      </c>
      <c r="T127">
        <f>IF(AND(S127&gt;1,COUNTIF($A$2:A127,A127)=1),1,0)</f>
        <v>0</v>
      </c>
      <c r="U127">
        <f>COUNTIF(Customers!$A$2:$A$301,C127)</f>
        <v>1</v>
      </c>
      <c r="V127">
        <f t="shared" si="5"/>
        <v>0</v>
      </c>
    </row>
    <row r="128" spans="1:22" ht="14.25" customHeight="1" x14ac:dyDescent="0.35">
      <c r="A128" s="10" t="s">
        <v>370</v>
      </c>
      <c r="B128" s="11">
        <v>45453</v>
      </c>
      <c r="C128" s="10" t="s">
        <v>371</v>
      </c>
      <c r="D128" s="10" t="s">
        <v>372</v>
      </c>
      <c r="E128" s="10" t="s">
        <v>112</v>
      </c>
      <c r="F128" s="12">
        <v>7</v>
      </c>
      <c r="G128" s="12">
        <v>3970</v>
      </c>
      <c r="H128" s="12">
        <v>13.8</v>
      </c>
      <c r="I128" s="12">
        <v>23954.98</v>
      </c>
      <c r="J128" s="10" t="s">
        <v>57</v>
      </c>
      <c r="K128" s="10" t="s">
        <v>52</v>
      </c>
      <c r="L128" t="str">
        <f>IFERROR(VLOOKUP(D128,Products!A:F,3,0),"")</f>
        <v>Electronics</v>
      </c>
      <c r="M128" t="str">
        <f>IFERROR(VLOOKUP(E128,Sales_Reps!A:E,3,0),"")</f>
        <v>North</v>
      </c>
      <c r="N128" t="str">
        <f>IFERROR(VLOOKUP(C128,Customers!A:F,5,0),"")</f>
        <v>SMB</v>
      </c>
      <c r="O128">
        <f>IFERROR(VLOOKUP(C128,Customers!A:F,3,0),"")</f>
        <v>53</v>
      </c>
      <c r="P128">
        <f>IFERROR(VLOOKUP(D128,Products!A:F,4,0),"")</f>
        <v>2865</v>
      </c>
      <c r="Q128" t="b">
        <f>IFERROR(VLOOKUP(D128,Products!A:F,6,0),"")</f>
        <v>1</v>
      </c>
      <c r="R128">
        <f t="shared" si="3"/>
        <v>0.27833753148614609</v>
      </c>
      <c r="S128">
        <f t="shared" si="4"/>
        <v>1</v>
      </c>
      <c r="T128">
        <f>IF(AND(S128&gt;1,COUNTIF($A$2:A128,A128)=1),1,0)</f>
        <v>0</v>
      </c>
      <c r="U128">
        <f>COUNTIF(Customers!$A$2:$A$301,C128)</f>
        <v>1</v>
      </c>
      <c r="V128">
        <f t="shared" si="5"/>
        <v>0</v>
      </c>
    </row>
    <row r="129" spans="1:22" ht="14.25" customHeight="1" x14ac:dyDescent="0.35">
      <c r="A129" s="10" t="s">
        <v>373</v>
      </c>
      <c r="B129" s="11">
        <v>45612</v>
      </c>
      <c r="C129" s="10" t="s">
        <v>263</v>
      </c>
      <c r="D129" s="10" t="s">
        <v>91</v>
      </c>
      <c r="E129" s="10" t="s">
        <v>56</v>
      </c>
      <c r="F129" s="12">
        <v>7</v>
      </c>
      <c r="G129" s="12">
        <v>970</v>
      </c>
      <c r="H129" s="12">
        <v>21.6</v>
      </c>
      <c r="I129" s="12">
        <v>5323.36</v>
      </c>
      <c r="J129" s="10" t="s">
        <v>57</v>
      </c>
      <c r="K129" s="10" t="s">
        <v>97</v>
      </c>
      <c r="L129" t="str">
        <f>IFERROR(VLOOKUP(D129,Products!A:F,3,0),"")</f>
        <v>Grocery</v>
      </c>
      <c r="M129" t="str">
        <f>IFERROR(VLOOKUP(E129,Sales_Reps!A:E,3,0),"")</f>
        <v>North</v>
      </c>
      <c r="N129" t="str">
        <f>IFERROR(VLOOKUP(C129,Customers!A:F,5,0),"")</f>
        <v>Retail</v>
      </c>
      <c r="O129">
        <f>IFERROR(VLOOKUP(C129,Customers!A:F,3,0),"")</f>
        <v>29</v>
      </c>
      <c r="P129">
        <f>IFERROR(VLOOKUP(D129,Products!A:F,4,0),"")</f>
        <v>434</v>
      </c>
      <c r="Q129" t="b">
        <f>IFERROR(VLOOKUP(D129,Products!A:F,6,0),"")</f>
        <v>1</v>
      </c>
      <c r="R129">
        <f t="shared" si="3"/>
        <v>0.5525773195876289</v>
      </c>
      <c r="S129">
        <f t="shared" si="4"/>
        <v>1</v>
      </c>
      <c r="T129">
        <f>IF(AND(S129&gt;1,COUNTIF($A$2:A129,A129)=1),1,0)</f>
        <v>0</v>
      </c>
      <c r="U129">
        <f>COUNTIF(Customers!$A$2:$A$301,C129)</f>
        <v>1</v>
      </c>
      <c r="V129">
        <f t="shared" si="5"/>
        <v>0</v>
      </c>
    </row>
    <row r="130" spans="1:22" ht="14.25" customHeight="1" x14ac:dyDescent="0.35">
      <c r="A130" s="10" t="s">
        <v>374</v>
      </c>
      <c r="B130" s="11">
        <v>45541</v>
      </c>
      <c r="C130" s="10" t="s">
        <v>375</v>
      </c>
      <c r="D130" s="10" t="s">
        <v>259</v>
      </c>
      <c r="E130" s="10" t="s">
        <v>179</v>
      </c>
      <c r="F130" s="12">
        <v>10</v>
      </c>
      <c r="G130" s="12">
        <v>2030</v>
      </c>
      <c r="H130" s="12">
        <v>1.2</v>
      </c>
      <c r="I130" s="12">
        <v>20056.400000000001</v>
      </c>
      <c r="J130" s="10" t="s">
        <v>51</v>
      </c>
      <c r="K130" s="10" t="s">
        <v>76</v>
      </c>
      <c r="L130" t="str">
        <f>IFERROR(VLOOKUP(D130,Products!A:F,3,0),"")</f>
        <v>Home</v>
      </c>
      <c r="M130" t="str">
        <f>IFERROR(VLOOKUP(E130,Sales_Reps!A:E,3,0),"")</f>
        <v>North</v>
      </c>
      <c r="N130" t="str">
        <f>IFERROR(VLOOKUP(C130,Customers!A:F,5,0),"")</f>
        <v>Retail</v>
      </c>
      <c r="O130">
        <f>IFERROR(VLOOKUP(C130,Customers!A:F,3,0),"")</f>
        <v>61</v>
      </c>
      <c r="P130">
        <f>IFERROR(VLOOKUP(D130,Products!A:F,4,0),"")</f>
        <v>1143</v>
      </c>
      <c r="Q130" t="b">
        <f>IFERROR(VLOOKUP(D130,Products!A:F,6,0),"")</f>
        <v>1</v>
      </c>
      <c r="R130">
        <f t="shared" ref="R130:R193" si="6">IFERROR((G130-P130)/G130,"")</f>
        <v>0.43694581280788175</v>
      </c>
      <c r="S130">
        <f t="shared" ref="S130:S193" si="7">COUNTIF($A$2:$A$2001,A130)</f>
        <v>1</v>
      </c>
      <c r="T130">
        <f>IF(AND(S130&gt;1,COUNTIF($A$2:A130,A130)=1),1,0)</f>
        <v>0</v>
      </c>
      <c r="U130">
        <f>COUNTIF(Customers!$A$2:$A$301,C130)</f>
        <v>1</v>
      </c>
      <c r="V130">
        <f t="shared" ref="V130:V193" si="8">IF(AND(K130="Bengaluru",L130="Grocery"),I130,0)</f>
        <v>0</v>
      </c>
    </row>
    <row r="131" spans="1:22" ht="14.25" customHeight="1" x14ac:dyDescent="0.35">
      <c r="A131" s="10" t="s">
        <v>376</v>
      </c>
      <c r="B131" s="11">
        <v>45640</v>
      </c>
      <c r="C131" s="10" t="s">
        <v>377</v>
      </c>
      <c r="D131" s="10" t="s">
        <v>95</v>
      </c>
      <c r="E131" s="10" t="s">
        <v>122</v>
      </c>
      <c r="F131" s="12">
        <v>9</v>
      </c>
      <c r="G131" s="12">
        <v>2270</v>
      </c>
      <c r="H131" s="12">
        <v>13.2</v>
      </c>
      <c r="I131" s="12">
        <v>17733.240000000002</v>
      </c>
      <c r="J131" s="10" t="s">
        <v>57</v>
      </c>
      <c r="K131" s="10" t="s">
        <v>52</v>
      </c>
      <c r="L131" t="str">
        <f>IFERROR(VLOOKUP(D131,Products!A:F,3,0),"")</f>
        <v>Grocery</v>
      </c>
      <c r="M131" t="str">
        <f>IFERROR(VLOOKUP(E131,Sales_Reps!A:E,3,0),"")</f>
        <v>East</v>
      </c>
      <c r="N131" t="str">
        <f>IFERROR(VLOOKUP(C131,Customers!A:F,5,0),"")</f>
        <v>Retail</v>
      </c>
      <c r="O131">
        <f>IFERROR(VLOOKUP(C131,Customers!A:F,3,0),"")</f>
        <v>22</v>
      </c>
      <c r="P131">
        <f>IFERROR(VLOOKUP(D131,Products!A:F,4,0),"")</f>
        <v>1203</v>
      </c>
      <c r="Q131" t="b">
        <f>IFERROR(VLOOKUP(D131,Products!A:F,6,0),"")</f>
        <v>1</v>
      </c>
      <c r="R131">
        <f t="shared" si="6"/>
        <v>0.47004405286343615</v>
      </c>
      <c r="S131">
        <f t="shared" si="7"/>
        <v>1</v>
      </c>
      <c r="T131">
        <f>IF(AND(S131&gt;1,COUNTIF($A$2:A131,A131)=1),1,0)</f>
        <v>0</v>
      </c>
      <c r="U131">
        <f>COUNTIF(Customers!$A$2:$A$301,C131)</f>
        <v>1</v>
      </c>
      <c r="V131">
        <f t="shared" si="8"/>
        <v>0</v>
      </c>
    </row>
    <row r="132" spans="1:22" ht="14.25" customHeight="1" x14ac:dyDescent="0.35">
      <c r="A132" s="10" t="s">
        <v>378</v>
      </c>
      <c r="B132" s="11">
        <v>45524</v>
      </c>
      <c r="C132" s="10" t="s">
        <v>120</v>
      </c>
      <c r="D132" s="10" t="s">
        <v>148</v>
      </c>
      <c r="E132" s="10" t="s">
        <v>112</v>
      </c>
      <c r="F132" s="12">
        <v>8</v>
      </c>
      <c r="G132" s="12">
        <v>4880</v>
      </c>
      <c r="H132" s="12">
        <v>13.4</v>
      </c>
      <c r="I132" s="12">
        <v>33808.639999999999</v>
      </c>
      <c r="J132" s="10" t="s">
        <v>51</v>
      </c>
      <c r="K132" s="10" t="s">
        <v>97</v>
      </c>
      <c r="L132" t="str">
        <f>IFERROR(VLOOKUP(D132,Products!A:F,3,0),"")</f>
        <v>Beauty</v>
      </c>
      <c r="M132" t="str">
        <f>IFERROR(VLOOKUP(E132,Sales_Reps!A:E,3,0),"")</f>
        <v>North</v>
      </c>
      <c r="N132" t="str">
        <f>IFERROR(VLOOKUP(C132,Customers!A:F,5,0),"")</f>
        <v>Corporate</v>
      </c>
      <c r="O132">
        <f>IFERROR(VLOOKUP(C132,Customers!A:F,3,0),"")</f>
        <v>32</v>
      </c>
      <c r="P132">
        <f>IFERROR(VLOOKUP(D132,Products!A:F,4,0),"")</f>
        <v>2768</v>
      </c>
      <c r="Q132" t="b">
        <f>IFERROR(VLOOKUP(D132,Products!A:F,6,0),"")</f>
        <v>1</v>
      </c>
      <c r="R132">
        <f t="shared" si="6"/>
        <v>0.43278688524590164</v>
      </c>
      <c r="S132">
        <f t="shared" si="7"/>
        <v>1</v>
      </c>
      <c r="T132">
        <f>IF(AND(S132&gt;1,COUNTIF($A$2:A132,A132)=1),1,0)</f>
        <v>0</v>
      </c>
      <c r="U132">
        <f>COUNTIF(Customers!$A$2:$A$301,C132)</f>
        <v>1</v>
      </c>
      <c r="V132">
        <f t="shared" si="8"/>
        <v>0</v>
      </c>
    </row>
    <row r="133" spans="1:22" ht="14.25" customHeight="1" x14ac:dyDescent="0.35">
      <c r="A133" s="10" t="s">
        <v>379</v>
      </c>
      <c r="B133" s="11">
        <v>45344</v>
      </c>
      <c r="C133" s="10" t="s">
        <v>380</v>
      </c>
      <c r="D133" s="10" t="s">
        <v>212</v>
      </c>
      <c r="E133" s="10" t="s">
        <v>237</v>
      </c>
      <c r="F133" s="12">
        <v>10</v>
      </c>
      <c r="G133" s="12">
        <v>3870</v>
      </c>
      <c r="H133" s="12">
        <v>23.9</v>
      </c>
      <c r="I133" s="12">
        <v>29450.7</v>
      </c>
      <c r="J133" s="10" t="s">
        <v>51</v>
      </c>
      <c r="K133" s="10" t="s">
        <v>81</v>
      </c>
      <c r="L133" t="str">
        <f>IFERROR(VLOOKUP(D133,Products!A:F,3,0),"")</f>
        <v>Electronics</v>
      </c>
      <c r="M133" t="str">
        <f>IFERROR(VLOOKUP(E133,Sales_Reps!A:E,3,0),"")</f>
        <v>South</v>
      </c>
      <c r="N133" t="str">
        <f>IFERROR(VLOOKUP(C133,Customers!A:F,5,0),"")</f>
        <v>Corporate</v>
      </c>
      <c r="O133">
        <f>IFERROR(VLOOKUP(C133,Customers!A:F,3,0),"")</f>
        <v>42</v>
      </c>
      <c r="P133">
        <f>IFERROR(VLOOKUP(D133,Products!A:F,4,0),"")</f>
        <v>1559</v>
      </c>
      <c r="Q133" t="b">
        <f>IFERROR(VLOOKUP(D133,Products!A:F,6,0),"")</f>
        <v>1</v>
      </c>
      <c r="R133">
        <f t="shared" si="6"/>
        <v>0.59715762273901807</v>
      </c>
      <c r="S133">
        <f t="shared" si="7"/>
        <v>1</v>
      </c>
      <c r="T133">
        <f>IF(AND(S133&gt;1,COUNTIF($A$2:A133,A133)=1),1,0)</f>
        <v>0</v>
      </c>
      <c r="U133">
        <f>COUNTIF(Customers!$A$2:$A$301,C133)</f>
        <v>1</v>
      </c>
      <c r="V133">
        <f t="shared" si="8"/>
        <v>0</v>
      </c>
    </row>
    <row r="134" spans="1:22" ht="14.25" customHeight="1" x14ac:dyDescent="0.35">
      <c r="A134" s="10" t="s">
        <v>381</v>
      </c>
      <c r="B134" s="11">
        <v>45463</v>
      </c>
      <c r="C134" s="10" t="s">
        <v>382</v>
      </c>
      <c r="D134" s="10" t="s">
        <v>350</v>
      </c>
      <c r="E134" s="10" t="s">
        <v>261</v>
      </c>
      <c r="F134" s="12">
        <v>4</v>
      </c>
      <c r="G134" s="12">
        <v>2290</v>
      </c>
      <c r="H134" s="12">
        <v>15.2</v>
      </c>
      <c r="I134" s="12">
        <v>7767.68</v>
      </c>
      <c r="J134" s="10" t="s">
        <v>51</v>
      </c>
      <c r="K134" s="10" t="s">
        <v>97</v>
      </c>
      <c r="L134" t="str">
        <f>IFERROR(VLOOKUP(D134,Products!A:F,3,0),"")</f>
        <v>Beauty</v>
      </c>
      <c r="M134" t="str">
        <f>IFERROR(VLOOKUP(E134,Sales_Reps!A:E,3,0),"")</f>
        <v>North</v>
      </c>
      <c r="N134" t="str">
        <f>IFERROR(VLOOKUP(C134,Customers!A:F,5,0),"")</f>
        <v>Retail</v>
      </c>
      <c r="O134">
        <f>IFERROR(VLOOKUP(C134,Customers!A:F,3,0),"")</f>
        <v>22</v>
      </c>
      <c r="P134">
        <f>IFERROR(VLOOKUP(D134,Products!A:F,4,0),"")</f>
        <v>1219</v>
      </c>
      <c r="Q134" t="b">
        <f>IFERROR(VLOOKUP(D134,Products!A:F,6,0),"")</f>
        <v>1</v>
      </c>
      <c r="R134">
        <f t="shared" si="6"/>
        <v>0.46768558951965067</v>
      </c>
      <c r="S134">
        <f t="shared" si="7"/>
        <v>1</v>
      </c>
      <c r="T134">
        <f>IF(AND(S134&gt;1,COUNTIF($A$2:A134,A134)=1),1,0)</f>
        <v>0</v>
      </c>
      <c r="U134">
        <f>COUNTIF(Customers!$A$2:$A$301,C134)</f>
        <v>1</v>
      </c>
      <c r="V134">
        <f t="shared" si="8"/>
        <v>0</v>
      </c>
    </row>
    <row r="135" spans="1:22" ht="14.25" customHeight="1" x14ac:dyDescent="0.35">
      <c r="A135" s="10" t="s">
        <v>383</v>
      </c>
      <c r="B135" s="11">
        <v>45443</v>
      </c>
      <c r="C135" s="10" t="s">
        <v>384</v>
      </c>
      <c r="D135" s="10" t="s">
        <v>331</v>
      </c>
      <c r="E135" s="10" t="s">
        <v>156</v>
      </c>
      <c r="F135" s="12">
        <v>8</v>
      </c>
      <c r="G135" s="12">
        <v>2380</v>
      </c>
      <c r="H135" s="12">
        <v>4.2</v>
      </c>
      <c r="I135" s="12">
        <v>18240.32</v>
      </c>
      <c r="J135" s="10" t="s">
        <v>51</v>
      </c>
      <c r="K135" s="10" t="s">
        <v>63</v>
      </c>
      <c r="L135" t="str">
        <f>IFERROR(VLOOKUP(D135,Products!A:F,3,0),"")</f>
        <v>Grocery</v>
      </c>
      <c r="M135" t="str">
        <f>IFERROR(VLOOKUP(E135,Sales_Reps!A:E,3,0),"")</f>
        <v>East</v>
      </c>
      <c r="N135" t="str">
        <f>IFERROR(VLOOKUP(C135,Customers!A:F,5,0),"")</f>
        <v>Retail</v>
      </c>
      <c r="O135">
        <f>IFERROR(VLOOKUP(C135,Customers!A:F,3,0),"")</f>
        <v>44</v>
      </c>
      <c r="P135">
        <f>IFERROR(VLOOKUP(D135,Products!A:F,4,0),"")</f>
        <v>1182</v>
      </c>
      <c r="Q135" t="b">
        <f>IFERROR(VLOOKUP(D135,Products!A:F,6,0),"")</f>
        <v>1</v>
      </c>
      <c r="R135">
        <f t="shared" si="6"/>
        <v>0.50336134453781511</v>
      </c>
      <c r="S135">
        <f t="shared" si="7"/>
        <v>1</v>
      </c>
      <c r="T135">
        <f>IF(AND(S135&gt;1,COUNTIF($A$2:A135,A135)=1),1,0)</f>
        <v>0</v>
      </c>
      <c r="U135">
        <f>COUNTIF(Customers!$A$2:$A$301,C135)</f>
        <v>1</v>
      </c>
      <c r="V135">
        <f t="shared" si="8"/>
        <v>0</v>
      </c>
    </row>
    <row r="136" spans="1:22" ht="14.25" customHeight="1" x14ac:dyDescent="0.35">
      <c r="A136" s="10" t="s">
        <v>385</v>
      </c>
      <c r="B136" s="11">
        <v>45301</v>
      </c>
      <c r="C136" s="10" t="s">
        <v>386</v>
      </c>
      <c r="D136" s="10" t="s">
        <v>302</v>
      </c>
      <c r="E136" s="10" t="s">
        <v>216</v>
      </c>
      <c r="F136" s="12">
        <v>8</v>
      </c>
      <c r="G136" s="12">
        <v>2210</v>
      </c>
      <c r="H136" s="12">
        <v>11.5</v>
      </c>
      <c r="I136" s="12">
        <v>15646.8</v>
      </c>
      <c r="J136" s="10" t="s">
        <v>51</v>
      </c>
      <c r="K136" s="10" t="s">
        <v>58</v>
      </c>
      <c r="L136" t="str">
        <f>IFERROR(VLOOKUP(D136,Products!A:F,3,0),"")</f>
        <v>Grocery</v>
      </c>
      <c r="M136" t="str">
        <f>IFERROR(VLOOKUP(E136,Sales_Reps!A:E,3,0),"")</f>
        <v>South</v>
      </c>
      <c r="N136" t="str">
        <f>IFERROR(VLOOKUP(C136,Customers!A:F,5,0),"")</f>
        <v>SMB</v>
      </c>
      <c r="O136">
        <f>IFERROR(VLOOKUP(C136,Customers!A:F,3,0),"")</f>
        <v>64</v>
      </c>
      <c r="P136">
        <f>IFERROR(VLOOKUP(D136,Products!A:F,4,0),"")</f>
        <v>1010</v>
      </c>
      <c r="Q136" t="b">
        <f>IFERROR(VLOOKUP(D136,Products!A:F,6,0),"")</f>
        <v>1</v>
      </c>
      <c r="R136">
        <f t="shared" si="6"/>
        <v>0.54298642533936647</v>
      </c>
      <c r="S136">
        <f t="shared" si="7"/>
        <v>2</v>
      </c>
      <c r="T136">
        <f>IF(AND(S136&gt;1,COUNTIF($A$2:A136,A136)=1),1,0)</f>
        <v>1</v>
      </c>
      <c r="U136">
        <f>COUNTIF(Customers!$A$2:$A$301,C136)</f>
        <v>1</v>
      </c>
      <c r="V136">
        <f t="shared" si="8"/>
        <v>0</v>
      </c>
    </row>
    <row r="137" spans="1:22" ht="14.25" customHeight="1" x14ac:dyDescent="0.35">
      <c r="A137" s="10" t="s">
        <v>387</v>
      </c>
      <c r="B137" s="11">
        <v>45360</v>
      </c>
      <c r="C137" s="10" t="s">
        <v>197</v>
      </c>
      <c r="D137" s="10" t="s">
        <v>328</v>
      </c>
      <c r="E137" s="10" t="s">
        <v>249</v>
      </c>
      <c r="F137" s="12">
        <v>4</v>
      </c>
      <c r="G137" s="12">
        <v>5330</v>
      </c>
      <c r="H137" s="12">
        <v>22.6</v>
      </c>
      <c r="I137" s="12">
        <v>16501.68</v>
      </c>
      <c r="J137" s="10" t="s">
        <v>57</v>
      </c>
      <c r="K137" s="10" t="s">
        <v>52</v>
      </c>
      <c r="L137" t="str">
        <f>IFERROR(VLOOKUP(D137,Products!A:F,3,0),"")</f>
        <v>Electronics</v>
      </c>
      <c r="M137" t="str">
        <f>IFERROR(VLOOKUP(E137,Sales_Reps!A:E,3,0),"")</f>
        <v>East</v>
      </c>
      <c r="N137" t="str">
        <f>IFERROR(VLOOKUP(C137,Customers!A:F,5,0),"")</f>
        <v>SMB</v>
      </c>
      <c r="O137">
        <f>IFERROR(VLOOKUP(C137,Customers!A:F,3,0),"")</f>
        <v>29</v>
      </c>
      <c r="P137">
        <f>IFERROR(VLOOKUP(D137,Products!A:F,4,0),"")</f>
        <v>2405</v>
      </c>
      <c r="Q137" t="b">
        <f>IFERROR(VLOOKUP(D137,Products!A:F,6,0),"")</f>
        <v>1</v>
      </c>
      <c r="R137">
        <f t="shared" si="6"/>
        <v>0.54878048780487809</v>
      </c>
      <c r="S137">
        <f t="shared" si="7"/>
        <v>2</v>
      </c>
      <c r="T137">
        <f>IF(AND(S137&gt;1,COUNTIF($A$2:A137,A137)=1),1,0)</f>
        <v>1</v>
      </c>
      <c r="U137">
        <f>COUNTIF(Customers!$A$2:$A$301,C137)</f>
        <v>1</v>
      </c>
      <c r="V137">
        <f t="shared" si="8"/>
        <v>0</v>
      </c>
    </row>
    <row r="138" spans="1:22" ht="14.25" customHeight="1" x14ac:dyDescent="0.35">
      <c r="A138" s="10" t="s">
        <v>388</v>
      </c>
      <c r="B138" s="11">
        <v>45559</v>
      </c>
      <c r="C138" s="10" t="s">
        <v>389</v>
      </c>
      <c r="D138" s="10" t="s">
        <v>372</v>
      </c>
      <c r="E138" s="10" t="s">
        <v>249</v>
      </c>
      <c r="F138" s="12">
        <v>8</v>
      </c>
      <c r="G138" s="12">
        <v>3970</v>
      </c>
      <c r="H138" s="12">
        <v>21.8</v>
      </c>
      <c r="I138" s="12">
        <v>24836.32</v>
      </c>
      <c r="J138" s="10" t="s">
        <v>51</v>
      </c>
      <c r="K138" s="10" t="s">
        <v>58</v>
      </c>
      <c r="L138" t="str">
        <f>IFERROR(VLOOKUP(D138,Products!A:F,3,0),"")</f>
        <v>Electronics</v>
      </c>
      <c r="M138" t="str">
        <f>IFERROR(VLOOKUP(E138,Sales_Reps!A:E,3,0),"")</f>
        <v>East</v>
      </c>
      <c r="N138" t="str">
        <f>IFERROR(VLOOKUP(C138,Customers!A:F,5,0),"")</f>
        <v>SMB</v>
      </c>
      <c r="O138">
        <f>IFERROR(VLOOKUP(C138,Customers!A:F,3,0),"")</f>
        <v>64</v>
      </c>
      <c r="P138">
        <f>IFERROR(VLOOKUP(D138,Products!A:F,4,0),"")</f>
        <v>2865</v>
      </c>
      <c r="Q138" t="b">
        <f>IFERROR(VLOOKUP(D138,Products!A:F,6,0),"")</f>
        <v>1</v>
      </c>
      <c r="R138">
        <f t="shared" si="6"/>
        <v>0.27833753148614609</v>
      </c>
      <c r="S138">
        <f t="shared" si="7"/>
        <v>1</v>
      </c>
      <c r="T138">
        <f>IF(AND(S138&gt;1,COUNTIF($A$2:A138,A138)=1),1,0)</f>
        <v>0</v>
      </c>
      <c r="U138">
        <f>COUNTIF(Customers!$A$2:$A$301,C138)</f>
        <v>1</v>
      </c>
      <c r="V138">
        <f t="shared" si="8"/>
        <v>0</v>
      </c>
    </row>
    <row r="139" spans="1:22" ht="14.25" customHeight="1" x14ac:dyDescent="0.35">
      <c r="A139" s="10" t="s">
        <v>390</v>
      </c>
      <c r="B139" s="11">
        <v>45546</v>
      </c>
      <c r="C139" s="10" t="s">
        <v>391</v>
      </c>
      <c r="D139" s="10" t="s">
        <v>70</v>
      </c>
      <c r="E139" s="10" t="s">
        <v>156</v>
      </c>
      <c r="F139" s="12">
        <v>10</v>
      </c>
      <c r="G139" s="12">
        <v>3160</v>
      </c>
      <c r="H139" s="12">
        <v>16.100000000000001</v>
      </c>
      <c r="I139" s="12">
        <v>26512.400000000001</v>
      </c>
      <c r="J139" s="10" t="s">
        <v>104</v>
      </c>
      <c r="K139" s="10" t="s">
        <v>52</v>
      </c>
      <c r="L139" t="str">
        <f>IFERROR(VLOOKUP(D139,Products!A:F,3,0),"")</f>
        <v>Apparel</v>
      </c>
      <c r="M139" t="str">
        <f>IFERROR(VLOOKUP(E139,Sales_Reps!A:E,3,0),"")</f>
        <v>East</v>
      </c>
      <c r="N139" t="str">
        <f>IFERROR(VLOOKUP(C139,Customers!A:F,5,0),"")</f>
        <v>Corporate</v>
      </c>
      <c r="O139">
        <f>IFERROR(VLOOKUP(C139,Customers!A:F,3,0),"")</f>
        <v>48</v>
      </c>
      <c r="P139">
        <f>IFERROR(VLOOKUP(D139,Products!A:F,4,0),"")</f>
        <v>1886</v>
      </c>
      <c r="Q139" t="b">
        <f>IFERROR(VLOOKUP(D139,Products!A:F,6,0),"")</f>
        <v>1</v>
      </c>
      <c r="R139">
        <f t="shared" si="6"/>
        <v>0.4031645569620253</v>
      </c>
      <c r="S139">
        <f t="shared" si="7"/>
        <v>1</v>
      </c>
      <c r="T139">
        <f>IF(AND(S139&gt;1,COUNTIF($A$2:A139,A139)=1),1,0)</f>
        <v>0</v>
      </c>
      <c r="U139">
        <f>COUNTIF(Customers!$A$2:$A$301,C139)</f>
        <v>1</v>
      </c>
      <c r="V139">
        <f t="shared" si="8"/>
        <v>0</v>
      </c>
    </row>
    <row r="140" spans="1:22" ht="14.25" customHeight="1" x14ac:dyDescent="0.35">
      <c r="A140" s="10" t="s">
        <v>392</v>
      </c>
      <c r="B140" s="11">
        <v>45425</v>
      </c>
      <c r="C140" s="10" t="s">
        <v>393</v>
      </c>
      <c r="D140" s="10" t="s">
        <v>111</v>
      </c>
      <c r="E140" s="10" t="s">
        <v>168</v>
      </c>
      <c r="F140" s="12">
        <v>5</v>
      </c>
      <c r="G140" s="12">
        <v>190</v>
      </c>
      <c r="H140" s="12">
        <v>14.8</v>
      </c>
      <c r="I140" s="12">
        <v>809.4</v>
      </c>
      <c r="J140" s="10" t="s">
        <v>51</v>
      </c>
      <c r="K140" s="10" t="s">
        <v>81</v>
      </c>
      <c r="L140" t="str">
        <f>IFERROR(VLOOKUP(D140,Products!A:F,3,0),"")</f>
        <v>Sports</v>
      </c>
      <c r="M140" t="str">
        <f>IFERROR(VLOOKUP(E140,Sales_Reps!A:E,3,0),"")</f>
        <v>South</v>
      </c>
      <c r="N140" t="str">
        <f>IFERROR(VLOOKUP(C140,Customers!A:F,5,0),"")</f>
        <v>Retail</v>
      </c>
      <c r="O140">
        <f>IFERROR(VLOOKUP(C140,Customers!A:F,3,0),"")</f>
        <v>55</v>
      </c>
      <c r="P140">
        <f>IFERROR(VLOOKUP(D140,Products!A:F,4,0),"")</f>
        <v>147</v>
      </c>
      <c r="Q140" t="b">
        <f>IFERROR(VLOOKUP(D140,Products!A:F,6,0),"")</f>
        <v>1</v>
      </c>
      <c r="R140">
        <f t="shared" si="6"/>
        <v>0.22631578947368422</v>
      </c>
      <c r="S140">
        <f t="shared" si="7"/>
        <v>1</v>
      </c>
      <c r="T140">
        <f>IF(AND(S140&gt;1,COUNTIF($A$2:A140,A140)=1),1,0)</f>
        <v>0</v>
      </c>
      <c r="U140">
        <f>COUNTIF(Customers!$A$2:$A$301,C140)</f>
        <v>1</v>
      </c>
      <c r="V140">
        <f t="shared" si="8"/>
        <v>0</v>
      </c>
    </row>
    <row r="141" spans="1:22" ht="14.25" customHeight="1" x14ac:dyDescent="0.35">
      <c r="A141" s="10" t="s">
        <v>394</v>
      </c>
      <c r="B141" s="11">
        <v>45351</v>
      </c>
      <c r="C141" s="10" t="s">
        <v>286</v>
      </c>
      <c r="D141" s="10" t="s">
        <v>164</v>
      </c>
      <c r="E141" s="10" t="s">
        <v>50</v>
      </c>
      <c r="F141" s="12">
        <v>6</v>
      </c>
      <c r="G141" s="12">
        <v>2760</v>
      </c>
      <c r="H141" s="12">
        <v>19.8</v>
      </c>
      <c r="I141" s="12">
        <v>13281.12</v>
      </c>
      <c r="J141" s="10" t="s">
        <v>51</v>
      </c>
      <c r="K141" s="10" t="s">
        <v>63</v>
      </c>
      <c r="L141" t="str">
        <f>IFERROR(VLOOKUP(D141,Products!A:F,3,0),"")</f>
        <v>Grocery</v>
      </c>
      <c r="M141" t="str">
        <f>IFERROR(VLOOKUP(E141,Sales_Reps!A:E,3,0),"")</f>
        <v>North</v>
      </c>
      <c r="N141" t="str">
        <f>IFERROR(VLOOKUP(C141,Customers!A:F,5,0),"")</f>
        <v>Retail</v>
      </c>
      <c r="O141">
        <f>IFERROR(VLOOKUP(C141,Customers!A:F,3,0),"")</f>
        <v>31</v>
      </c>
      <c r="P141">
        <f>IFERROR(VLOOKUP(D141,Products!A:F,4,0),"")</f>
        <v>1435</v>
      </c>
      <c r="Q141" t="b">
        <f>IFERROR(VLOOKUP(D141,Products!A:F,6,0),"")</f>
        <v>1</v>
      </c>
      <c r="R141">
        <f t="shared" si="6"/>
        <v>0.48007246376811596</v>
      </c>
      <c r="S141">
        <f t="shared" si="7"/>
        <v>1</v>
      </c>
      <c r="T141">
        <f>IF(AND(S141&gt;1,COUNTIF($A$2:A141,A141)=1),1,0)</f>
        <v>0</v>
      </c>
      <c r="U141">
        <f>COUNTIF(Customers!$A$2:$A$301,C141)</f>
        <v>1</v>
      </c>
      <c r="V141">
        <f t="shared" si="8"/>
        <v>0</v>
      </c>
    </row>
    <row r="142" spans="1:22" ht="14.25" customHeight="1" x14ac:dyDescent="0.35">
      <c r="A142" s="10" t="s">
        <v>395</v>
      </c>
      <c r="B142" s="11">
        <v>45604</v>
      </c>
      <c r="C142" s="10" t="s">
        <v>335</v>
      </c>
      <c r="D142" s="10" t="s">
        <v>209</v>
      </c>
      <c r="E142" s="10" t="s">
        <v>85</v>
      </c>
      <c r="F142" s="12">
        <v>9</v>
      </c>
      <c r="G142" s="12">
        <v>2270</v>
      </c>
      <c r="H142" s="12">
        <v>20.8</v>
      </c>
      <c r="I142" s="12">
        <v>16180.56</v>
      </c>
      <c r="J142" s="10" t="s">
        <v>104</v>
      </c>
      <c r="K142" s="10" t="s">
        <v>76</v>
      </c>
      <c r="L142" t="str">
        <f>IFERROR(VLOOKUP(D142,Products!A:F,3,0),"")</f>
        <v>Grocery</v>
      </c>
      <c r="M142" t="str">
        <f>IFERROR(VLOOKUP(E142,Sales_Reps!A:E,3,0),"")</f>
        <v>East</v>
      </c>
      <c r="N142" t="str">
        <f>IFERROR(VLOOKUP(C142,Customers!A:F,5,0),"")</f>
        <v>Retail</v>
      </c>
      <c r="O142">
        <f>IFERROR(VLOOKUP(C142,Customers!A:F,3,0),"")</f>
        <v>42</v>
      </c>
      <c r="P142">
        <f>IFERROR(VLOOKUP(D142,Products!A:F,4,0),"")</f>
        <v>1412</v>
      </c>
      <c r="Q142" t="b">
        <f>IFERROR(VLOOKUP(D142,Products!A:F,6,0),"")</f>
        <v>1</v>
      </c>
      <c r="R142">
        <f t="shared" si="6"/>
        <v>0.37797356828193834</v>
      </c>
      <c r="S142">
        <f t="shared" si="7"/>
        <v>1</v>
      </c>
      <c r="T142">
        <f>IF(AND(S142&gt;1,COUNTIF($A$2:A142,A142)=1),1,0)</f>
        <v>0</v>
      </c>
      <c r="U142">
        <f>COUNTIF(Customers!$A$2:$A$301,C142)</f>
        <v>1</v>
      </c>
      <c r="V142">
        <f t="shared" si="8"/>
        <v>0</v>
      </c>
    </row>
    <row r="143" spans="1:22" ht="14.25" customHeight="1" x14ac:dyDescent="0.35">
      <c r="A143" s="10" t="s">
        <v>396</v>
      </c>
      <c r="B143" s="11">
        <v>45328</v>
      </c>
      <c r="C143" s="10" t="s">
        <v>130</v>
      </c>
      <c r="D143" s="10" t="s">
        <v>324</v>
      </c>
      <c r="E143" s="10" t="s">
        <v>179</v>
      </c>
      <c r="F143" s="12">
        <v>8</v>
      </c>
      <c r="G143" s="12">
        <v>5410</v>
      </c>
      <c r="H143" s="12">
        <v>12.9</v>
      </c>
      <c r="I143" s="12">
        <v>37696.879999999997</v>
      </c>
      <c r="J143" s="10" t="s">
        <v>51</v>
      </c>
      <c r="K143" s="10" t="s">
        <v>97</v>
      </c>
      <c r="L143" t="str">
        <f>IFERROR(VLOOKUP(D143,Products!A:F,3,0),"")</f>
        <v>Sports</v>
      </c>
      <c r="M143" t="str">
        <f>IFERROR(VLOOKUP(E143,Sales_Reps!A:E,3,0),"")</f>
        <v>North</v>
      </c>
      <c r="N143" t="str">
        <f>IFERROR(VLOOKUP(C143,Customers!A:F,5,0),"")</f>
        <v>Retail</v>
      </c>
      <c r="O143">
        <f>IFERROR(VLOOKUP(C143,Customers!A:F,3,0),"")</f>
        <v>32</v>
      </c>
      <c r="P143">
        <f>IFERROR(VLOOKUP(D143,Products!A:F,4,0),"")</f>
        <v>2265</v>
      </c>
      <c r="Q143" t="b">
        <f>IFERROR(VLOOKUP(D143,Products!A:F,6,0),"")</f>
        <v>1</v>
      </c>
      <c r="R143">
        <f t="shared" si="6"/>
        <v>0.58133086876155271</v>
      </c>
      <c r="S143">
        <f t="shared" si="7"/>
        <v>1</v>
      </c>
      <c r="T143">
        <f>IF(AND(S143&gt;1,COUNTIF($A$2:A143,A143)=1),1,0)</f>
        <v>0</v>
      </c>
      <c r="U143">
        <f>COUNTIF(Customers!$A$2:$A$301,C143)</f>
        <v>1</v>
      </c>
      <c r="V143">
        <f t="shared" si="8"/>
        <v>0</v>
      </c>
    </row>
    <row r="144" spans="1:22" ht="14.25" customHeight="1" x14ac:dyDescent="0.35">
      <c r="A144" s="10" t="s">
        <v>397</v>
      </c>
      <c r="B144" s="11">
        <v>45508</v>
      </c>
      <c r="C144" s="10" t="s">
        <v>398</v>
      </c>
      <c r="D144" s="10" t="s">
        <v>95</v>
      </c>
      <c r="E144" s="10" t="s">
        <v>168</v>
      </c>
      <c r="F144" s="12">
        <v>9</v>
      </c>
      <c r="G144" s="12">
        <v>2270</v>
      </c>
      <c r="H144" s="12">
        <v>6.8</v>
      </c>
      <c r="I144" s="12">
        <v>19040.759999999998</v>
      </c>
      <c r="J144" s="10" t="s">
        <v>51</v>
      </c>
      <c r="K144" s="10" t="s">
        <v>63</v>
      </c>
      <c r="L144" t="str">
        <f>IFERROR(VLOOKUP(D144,Products!A:F,3,0),"")</f>
        <v>Grocery</v>
      </c>
      <c r="M144" t="str">
        <f>IFERROR(VLOOKUP(E144,Sales_Reps!A:E,3,0),"")</f>
        <v>South</v>
      </c>
      <c r="N144" t="str">
        <f>IFERROR(VLOOKUP(C144,Customers!A:F,5,0),"")</f>
        <v>Corporate</v>
      </c>
      <c r="O144">
        <f>IFERROR(VLOOKUP(C144,Customers!A:F,3,0),"")</f>
        <v>31</v>
      </c>
      <c r="P144">
        <f>IFERROR(VLOOKUP(D144,Products!A:F,4,0),"")</f>
        <v>1203</v>
      </c>
      <c r="Q144" t="b">
        <f>IFERROR(VLOOKUP(D144,Products!A:F,6,0),"")</f>
        <v>1</v>
      </c>
      <c r="R144">
        <f t="shared" si="6"/>
        <v>0.47004405286343615</v>
      </c>
      <c r="S144">
        <f t="shared" si="7"/>
        <v>1</v>
      </c>
      <c r="T144">
        <f>IF(AND(S144&gt;1,COUNTIF($A$2:A144,A144)=1),1,0)</f>
        <v>0</v>
      </c>
      <c r="U144">
        <f>COUNTIF(Customers!$A$2:$A$301,C144)</f>
        <v>1</v>
      </c>
      <c r="V144">
        <f t="shared" si="8"/>
        <v>0</v>
      </c>
    </row>
    <row r="145" spans="1:22" ht="14.25" customHeight="1" x14ac:dyDescent="0.35">
      <c r="A145" s="10" t="s">
        <v>399</v>
      </c>
      <c r="B145" s="11">
        <v>45309</v>
      </c>
      <c r="C145" s="10" t="s">
        <v>101</v>
      </c>
      <c r="D145" s="10" t="s">
        <v>70</v>
      </c>
      <c r="E145" s="10" t="s">
        <v>179</v>
      </c>
      <c r="F145" s="12">
        <v>3</v>
      </c>
      <c r="G145" s="12">
        <v>3160</v>
      </c>
      <c r="H145" s="12">
        <v>12.8</v>
      </c>
      <c r="I145" s="12">
        <v>8266.56</v>
      </c>
      <c r="J145" s="10" t="s">
        <v>51</v>
      </c>
      <c r="K145" s="10" t="s">
        <v>63</v>
      </c>
      <c r="L145" t="str">
        <f>IFERROR(VLOOKUP(D145,Products!A:F,3,0),"")</f>
        <v>Apparel</v>
      </c>
      <c r="M145" t="str">
        <f>IFERROR(VLOOKUP(E145,Sales_Reps!A:E,3,0),"")</f>
        <v>North</v>
      </c>
      <c r="N145" t="str">
        <f>IFERROR(VLOOKUP(C145,Customers!A:F,5,0),"")</f>
        <v>SMB</v>
      </c>
      <c r="O145">
        <f>IFERROR(VLOOKUP(C145,Customers!A:F,3,0),"")</f>
        <v>27</v>
      </c>
      <c r="P145">
        <f>IFERROR(VLOOKUP(D145,Products!A:F,4,0),"")</f>
        <v>1886</v>
      </c>
      <c r="Q145" t="b">
        <f>IFERROR(VLOOKUP(D145,Products!A:F,6,0),"")</f>
        <v>1</v>
      </c>
      <c r="R145">
        <f t="shared" si="6"/>
        <v>0.4031645569620253</v>
      </c>
      <c r="S145">
        <f t="shared" si="7"/>
        <v>1</v>
      </c>
      <c r="T145">
        <f>IF(AND(S145&gt;1,COUNTIF($A$2:A145,A145)=1),1,0)</f>
        <v>0</v>
      </c>
      <c r="U145">
        <f>COUNTIF(Customers!$A$2:$A$301,C145)</f>
        <v>1</v>
      </c>
      <c r="V145">
        <f t="shared" si="8"/>
        <v>0</v>
      </c>
    </row>
    <row r="146" spans="1:22" ht="14.25" customHeight="1" x14ac:dyDescent="0.35">
      <c r="A146" s="10" t="s">
        <v>400</v>
      </c>
      <c r="B146" s="11">
        <v>45448</v>
      </c>
      <c r="C146" s="10" t="s">
        <v>197</v>
      </c>
      <c r="D146" s="10" t="s">
        <v>315</v>
      </c>
      <c r="E146" s="10" t="s">
        <v>92</v>
      </c>
      <c r="F146" s="12">
        <v>8</v>
      </c>
      <c r="G146" s="12">
        <v>4060</v>
      </c>
      <c r="H146" s="12">
        <v>20.9</v>
      </c>
      <c r="I146" s="12">
        <v>25691.68</v>
      </c>
      <c r="J146" s="10" t="s">
        <v>51</v>
      </c>
      <c r="K146" s="10" t="s">
        <v>52</v>
      </c>
      <c r="L146" t="str">
        <f>IFERROR(VLOOKUP(D146,Products!A:F,3,0),"")</f>
        <v>Grocery</v>
      </c>
      <c r="M146" t="str">
        <f>IFERROR(VLOOKUP(E146,Sales_Reps!A:E,3,0),"")</f>
        <v>West</v>
      </c>
      <c r="N146" t="str">
        <f>IFERROR(VLOOKUP(C146,Customers!A:F,5,0),"")</f>
        <v>SMB</v>
      </c>
      <c r="O146">
        <f>IFERROR(VLOOKUP(C146,Customers!A:F,3,0),"")</f>
        <v>29</v>
      </c>
      <c r="P146">
        <f>IFERROR(VLOOKUP(D146,Products!A:F,4,0),"")</f>
        <v>2911</v>
      </c>
      <c r="Q146" t="b">
        <f>IFERROR(VLOOKUP(D146,Products!A:F,6,0),"")</f>
        <v>1</v>
      </c>
      <c r="R146">
        <f t="shared" si="6"/>
        <v>0.28300492610837441</v>
      </c>
      <c r="S146">
        <f t="shared" si="7"/>
        <v>1</v>
      </c>
      <c r="T146">
        <f>IF(AND(S146&gt;1,COUNTIF($A$2:A146,A146)=1),1,0)</f>
        <v>0</v>
      </c>
      <c r="U146">
        <f>COUNTIF(Customers!$A$2:$A$301,C146)</f>
        <v>1</v>
      </c>
      <c r="V146">
        <f t="shared" si="8"/>
        <v>0</v>
      </c>
    </row>
    <row r="147" spans="1:22" ht="14.25" customHeight="1" x14ac:dyDescent="0.35">
      <c r="A147" s="10" t="s">
        <v>401</v>
      </c>
      <c r="B147" s="11">
        <v>45449</v>
      </c>
      <c r="C147" s="10" t="s">
        <v>402</v>
      </c>
      <c r="D147" s="10" t="s">
        <v>55</v>
      </c>
      <c r="E147" s="10" t="s">
        <v>267</v>
      </c>
      <c r="F147" s="12">
        <v>5</v>
      </c>
      <c r="G147" s="12">
        <v>820</v>
      </c>
      <c r="H147" s="12">
        <v>9.1</v>
      </c>
      <c r="I147" s="12">
        <v>3726.9</v>
      </c>
      <c r="J147" s="10" t="s">
        <v>108</v>
      </c>
      <c r="K147" s="10" t="s">
        <v>52</v>
      </c>
      <c r="L147" t="str">
        <f>IFERROR(VLOOKUP(D147,Products!A:F,3,0),"")</f>
        <v>Apparel</v>
      </c>
      <c r="M147" t="str">
        <f>IFERROR(VLOOKUP(E147,Sales_Reps!A:E,3,0),"")</f>
        <v>East</v>
      </c>
      <c r="N147" t="str">
        <f>IFERROR(VLOOKUP(C147,Customers!A:F,5,0),"")</f>
        <v/>
      </c>
      <c r="O147" t="str">
        <f>IFERROR(VLOOKUP(C147,Customers!A:F,3,0),"")</f>
        <v/>
      </c>
      <c r="P147">
        <f>IFERROR(VLOOKUP(D147,Products!A:F,4,0),"")</f>
        <v>391</v>
      </c>
      <c r="Q147" t="b">
        <f>IFERROR(VLOOKUP(D147,Products!A:F,6,0),"")</f>
        <v>1</v>
      </c>
      <c r="R147">
        <f t="shared" si="6"/>
        <v>0.52317073170731709</v>
      </c>
      <c r="S147">
        <f t="shared" si="7"/>
        <v>1</v>
      </c>
      <c r="T147">
        <f>IF(AND(S147&gt;1,COUNTIF($A$2:A147,A147)=1),1,0)</f>
        <v>0</v>
      </c>
      <c r="U147">
        <f>COUNTIF(Customers!$A$2:$A$301,C147)</f>
        <v>0</v>
      </c>
      <c r="V147">
        <f t="shared" si="8"/>
        <v>0</v>
      </c>
    </row>
    <row r="148" spans="1:22" ht="14.25" customHeight="1" x14ac:dyDescent="0.35">
      <c r="A148" s="10" t="s">
        <v>403</v>
      </c>
      <c r="B148" s="11">
        <v>45555</v>
      </c>
      <c r="C148" s="10" t="s">
        <v>404</v>
      </c>
      <c r="D148" s="10" t="s">
        <v>74</v>
      </c>
      <c r="E148" s="10" t="s">
        <v>50</v>
      </c>
      <c r="F148" s="12">
        <v>5</v>
      </c>
      <c r="G148" s="12">
        <v>370</v>
      </c>
      <c r="H148" s="12">
        <v>11.5</v>
      </c>
      <c r="I148" s="12">
        <v>1637.25</v>
      </c>
      <c r="J148" s="10" t="s">
        <v>51</v>
      </c>
      <c r="K148" s="10" t="s">
        <v>52</v>
      </c>
      <c r="L148" t="str">
        <f>IFERROR(VLOOKUP(D148,Products!A:F,3,0),"")</f>
        <v>Home</v>
      </c>
      <c r="M148" t="str">
        <f>IFERROR(VLOOKUP(E148,Sales_Reps!A:E,3,0),"")</f>
        <v>North</v>
      </c>
      <c r="N148" t="str">
        <f>IFERROR(VLOOKUP(C148,Customers!A:F,5,0),"")</f>
        <v>SMB</v>
      </c>
      <c r="O148">
        <f>IFERROR(VLOOKUP(C148,Customers!A:F,3,0),"")</f>
        <v>30</v>
      </c>
      <c r="P148">
        <f>IFERROR(VLOOKUP(D148,Products!A:F,4,0),"")</f>
        <v>288</v>
      </c>
      <c r="Q148" t="b">
        <f>IFERROR(VLOOKUP(D148,Products!A:F,6,0),"")</f>
        <v>1</v>
      </c>
      <c r="R148">
        <f t="shared" si="6"/>
        <v>0.22162162162162163</v>
      </c>
      <c r="S148">
        <f t="shared" si="7"/>
        <v>1</v>
      </c>
      <c r="T148">
        <f>IF(AND(S148&gt;1,COUNTIF($A$2:A148,A148)=1),1,0)</f>
        <v>0</v>
      </c>
      <c r="U148">
        <f>COUNTIF(Customers!$A$2:$A$301,C148)</f>
        <v>1</v>
      </c>
      <c r="V148">
        <f t="shared" si="8"/>
        <v>0</v>
      </c>
    </row>
    <row r="149" spans="1:22" ht="14.25" customHeight="1" x14ac:dyDescent="0.35">
      <c r="A149" s="10" t="s">
        <v>405</v>
      </c>
      <c r="B149" s="11">
        <v>45341</v>
      </c>
      <c r="C149" s="10" t="s">
        <v>406</v>
      </c>
      <c r="D149" s="10" t="s">
        <v>407</v>
      </c>
      <c r="E149" s="10" t="s">
        <v>261</v>
      </c>
      <c r="F149" s="12">
        <v>9</v>
      </c>
      <c r="G149" s="12">
        <v>5080</v>
      </c>
      <c r="H149" s="12">
        <v>27.5</v>
      </c>
      <c r="I149" s="12">
        <v>33147</v>
      </c>
      <c r="J149" s="10" t="s">
        <v>51</v>
      </c>
      <c r="K149" s="10" t="s">
        <v>52</v>
      </c>
      <c r="L149" t="str">
        <f>IFERROR(VLOOKUP(D149,Products!A:F,3,0),"")</f>
        <v>Home</v>
      </c>
      <c r="M149" t="str">
        <f>IFERROR(VLOOKUP(E149,Sales_Reps!A:E,3,0),"")</f>
        <v>North</v>
      </c>
      <c r="N149" t="str">
        <f>IFERROR(VLOOKUP(C149,Customers!A:F,5,0),"")</f>
        <v>Retail</v>
      </c>
      <c r="O149">
        <f>IFERROR(VLOOKUP(C149,Customers!A:F,3,0),"")</f>
        <v>65</v>
      </c>
      <c r="P149">
        <f>IFERROR(VLOOKUP(D149,Products!A:F,4,0),"")</f>
        <v>2459</v>
      </c>
      <c r="Q149" t="b">
        <f>IFERROR(VLOOKUP(D149,Products!A:F,6,0),"")</f>
        <v>1</v>
      </c>
      <c r="R149">
        <f t="shared" si="6"/>
        <v>0.51594488188976373</v>
      </c>
      <c r="S149">
        <f t="shared" si="7"/>
        <v>1</v>
      </c>
      <c r="T149">
        <f>IF(AND(S149&gt;1,COUNTIF($A$2:A149,A149)=1),1,0)</f>
        <v>0</v>
      </c>
      <c r="U149">
        <f>COUNTIF(Customers!$A$2:$A$301,C149)</f>
        <v>1</v>
      </c>
      <c r="V149">
        <f t="shared" si="8"/>
        <v>0</v>
      </c>
    </row>
    <row r="150" spans="1:22" ht="14.25" customHeight="1" x14ac:dyDescent="0.35">
      <c r="A150" s="10" t="s">
        <v>408</v>
      </c>
      <c r="B150" s="11">
        <v>45422</v>
      </c>
      <c r="C150" s="10" t="s">
        <v>272</v>
      </c>
      <c r="D150" s="10" t="s">
        <v>228</v>
      </c>
      <c r="E150" s="10" t="s">
        <v>289</v>
      </c>
      <c r="F150" s="12">
        <v>6</v>
      </c>
      <c r="G150" s="12">
        <v>4070</v>
      </c>
      <c r="H150" s="12">
        <v>12.5</v>
      </c>
      <c r="I150" s="12">
        <v>21367.5</v>
      </c>
      <c r="J150" s="10" t="s">
        <v>51</v>
      </c>
      <c r="K150" s="10" t="s">
        <v>52</v>
      </c>
      <c r="L150" t="str">
        <f>IFERROR(VLOOKUP(D150,Products!A:F,3,0),"")</f>
        <v>Grocery</v>
      </c>
      <c r="M150" t="str">
        <f>IFERROR(VLOOKUP(E150,Sales_Reps!A:E,3,0),"")</f>
        <v>South</v>
      </c>
      <c r="N150" t="str">
        <f>IFERROR(VLOOKUP(C150,Customers!A:F,5,0),"")</f>
        <v>SMB</v>
      </c>
      <c r="O150">
        <f>IFERROR(VLOOKUP(C150,Customers!A:F,3,0),"")</f>
        <v>54</v>
      </c>
      <c r="P150">
        <f>IFERROR(VLOOKUP(D150,Products!A:F,4,0),"")</f>
        <v>2027</v>
      </c>
      <c r="Q150" t="b">
        <f>IFERROR(VLOOKUP(D150,Products!A:F,6,0),"")</f>
        <v>1</v>
      </c>
      <c r="R150">
        <f t="shared" si="6"/>
        <v>0.50196560196560192</v>
      </c>
      <c r="S150">
        <f t="shared" si="7"/>
        <v>1</v>
      </c>
      <c r="T150">
        <f>IF(AND(S150&gt;1,COUNTIF($A$2:A150,A150)=1),1,0)</f>
        <v>0</v>
      </c>
      <c r="U150">
        <f>COUNTIF(Customers!$A$2:$A$301,C150)</f>
        <v>1</v>
      </c>
      <c r="V150">
        <f t="shared" si="8"/>
        <v>0</v>
      </c>
    </row>
    <row r="151" spans="1:22" ht="14.25" customHeight="1" x14ac:dyDescent="0.35">
      <c r="A151" s="10" t="s">
        <v>409</v>
      </c>
      <c r="B151" s="11">
        <v>45346</v>
      </c>
      <c r="C151" s="10" t="s">
        <v>404</v>
      </c>
      <c r="D151" s="10" t="s">
        <v>246</v>
      </c>
      <c r="E151" s="10" t="s">
        <v>80</v>
      </c>
      <c r="F151" s="12">
        <v>5</v>
      </c>
      <c r="G151" s="12">
        <v>300</v>
      </c>
      <c r="H151" s="12">
        <v>25.8</v>
      </c>
      <c r="I151" s="12">
        <v>1113</v>
      </c>
      <c r="J151" s="10" t="s">
        <v>51</v>
      </c>
      <c r="K151" s="10" t="s">
        <v>52</v>
      </c>
      <c r="L151" t="str">
        <f>IFERROR(VLOOKUP(D151,Products!A:F,3,0),"")</f>
        <v>Electronics</v>
      </c>
      <c r="M151" t="str">
        <f>IFERROR(VLOOKUP(E151,Sales_Reps!A:E,3,0),"")</f>
        <v>West</v>
      </c>
      <c r="N151" t="str">
        <f>IFERROR(VLOOKUP(C151,Customers!A:F,5,0),"")</f>
        <v>SMB</v>
      </c>
      <c r="O151">
        <f>IFERROR(VLOOKUP(C151,Customers!A:F,3,0),"")</f>
        <v>30</v>
      </c>
      <c r="P151">
        <f>IFERROR(VLOOKUP(D151,Products!A:F,4,0),"")</f>
        <v>128</v>
      </c>
      <c r="Q151" t="b">
        <f>IFERROR(VLOOKUP(D151,Products!A:F,6,0),"")</f>
        <v>1</v>
      </c>
      <c r="R151">
        <f t="shared" si="6"/>
        <v>0.57333333333333336</v>
      </c>
      <c r="S151">
        <f t="shared" si="7"/>
        <v>1</v>
      </c>
      <c r="T151">
        <f>IF(AND(S151&gt;1,COUNTIF($A$2:A151,A151)=1),1,0)</f>
        <v>0</v>
      </c>
      <c r="U151">
        <f>COUNTIF(Customers!$A$2:$A$301,C151)</f>
        <v>1</v>
      </c>
      <c r="V151">
        <f t="shared" si="8"/>
        <v>0</v>
      </c>
    </row>
    <row r="152" spans="1:22" ht="14.25" customHeight="1" x14ac:dyDescent="0.35">
      <c r="A152" s="10" t="s">
        <v>410</v>
      </c>
      <c r="B152" s="11">
        <v>45318</v>
      </c>
      <c r="C152" s="10" t="s">
        <v>411</v>
      </c>
      <c r="D152" s="10" t="s">
        <v>155</v>
      </c>
      <c r="E152" s="10" t="s">
        <v>237</v>
      </c>
      <c r="F152" s="12">
        <v>7</v>
      </c>
      <c r="G152" s="12">
        <v>5100</v>
      </c>
      <c r="H152" s="12">
        <v>28.8</v>
      </c>
      <c r="I152" s="12">
        <v>25418.400000000001</v>
      </c>
      <c r="J152" s="10" t="s">
        <v>51</v>
      </c>
      <c r="K152" s="10" t="s">
        <v>412</v>
      </c>
      <c r="L152" t="str">
        <f>IFERROR(VLOOKUP(D152,Products!A:F,3,0),"")</f>
        <v>Beauty</v>
      </c>
      <c r="M152" t="str">
        <f>IFERROR(VLOOKUP(E152,Sales_Reps!A:E,3,0),"")</f>
        <v>South</v>
      </c>
      <c r="N152" t="str">
        <f>IFERROR(VLOOKUP(C152,Customers!A:F,5,0),"")</f>
        <v>Retail</v>
      </c>
      <c r="O152">
        <f>IFERROR(VLOOKUP(C152,Customers!A:F,3,0),"")</f>
        <v>41</v>
      </c>
      <c r="P152">
        <f>IFERROR(VLOOKUP(D152,Products!A:F,4,0),"")</f>
        <v>2237</v>
      </c>
      <c r="Q152" t="b">
        <f>IFERROR(VLOOKUP(D152,Products!A:F,6,0),"")</f>
        <v>1</v>
      </c>
      <c r="R152">
        <f t="shared" si="6"/>
        <v>0.56137254901960787</v>
      </c>
      <c r="S152">
        <f t="shared" si="7"/>
        <v>1</v>
      </c>
      <c r="T152">
        <f>IF(AND(S152&gt;1,COUNTIF($A$2:A152,A152)=1),1,0)</f>
        <v>0</v>
      </c>
      <c r="U152">
        <f>COUNTIF(Customers!$A$2:$A$301,C152)</f>
        <v>1</v>
      </c>
      <c r="V152">
        <f t="shared" si="8"/>
        <v>0</v>
      </c>
    </row>
    <row r="153" spans="1:22" ht="14.25" customHeight="1" x14ac:dyDescent="0.35">
      <c r="A153" s="10" t="s">
        <v>413</v>
      </c>
      <c r="B153" s="11">
        <v>45521</v>
      </c>
      <c r="C153" s="10" t="s">
        <v>189</v>
      </c>
      <c r="D153" s="10" t="s">
        <v>88</v>
      </c>
      <c r="E153" s="10" t="s">
        <v>289</v>
      </c>
      <c r="F153" s="12">
        <v>2</v>
      </c>
      <c r="G153" s="12">
        <v>5490</v>
      </c>
      <c r="H153" s="12">
        <v>5.5</v>
      </c>
      <c r="I153" s="12">
        <v>10376.1</v>
      </c>
      <c r="J153" s="10" t="s">
        <v>51</v>
      </c>
      <c r="K153" s="10" t="s">
        <v>58</v>
      </c>
      <c r="L153" t="str">
        <f>IFERROR(VLOOKUP(D153,Products!A:F,3,0),"")</f>
        <v>Home</v>
      </c>
      <c r="M153" t="str">
        <f>IFERROR(VLOOKUP(E153,Sales_Reps!A:E,3,0),"")</f>
        <v>South</v>
      </c>
      <c r="N153" t="str">
        <f>IFERROR(VLOOKUP(C153,Customers!A:F,5,0),"")</f>
        <v>Retail</v>
      </c>
      <c r="O153">
        <f>IFERROR(VLOOKUP(C153,Customers!A:F,3,0),"")</f>
        <v>37</v>
      </c>
      <c r="P153">
        <f>IFERROR(VLOOKUP(D153,Products!A:F,4,0),"")</f>
        <v>2549</v>
      </c>
      <c r="Q153" t="b">
        <f>IFERROR(VLOOKUP(D153,Products!A:F,6,0),"")</f>
        <v>1</v>
      </c>
      <c r="R153">
        <f t="shared" si="6"/>
        <v>0.53570127504553733</v>
      </c>
      <c r="S153">
        <f t="shared" si="7"/>
        <v>1</v>
      </c>
      <c r="T153">
        <f>IF(AND(S153&gt;1,COUNTIF($A$2:A153,A153)=1),1,0)</f>
        <v>0</v>
      </c>
      <c r="U153">
        <f>COUNTIF(Customers!$A$2:$A$301,C153)</f>
        <v>1</v>
      </c>
      <c r="V153">
        <f t="shared" si="8"/>
        <v>0</v>
      </c>
    </row>
    <row r="154" spans="1:22" ht="14.25" customHeight="1" x14ac:dyDescent="0.35">
      <c r="A154" s="10" t="s">
        <v>414</v>
      </c>
      <c r="B154" s="11">
        <v>45595</v>
      </c>
      <c r="C154" s="10" t="s">
        <v>415</v>
      </c>
      <c r="D154" s="10" t="s">
        <v>416</v>
      </c>
      <c r="E154" s="10" t="s">
        <v>152</v>
      </c>
      <c r="F154" s="12">
        <v>2</v>
      </c>
      <c r="G154" s="12">
        <v>3450</v>
      </c>
      <c r="H154" s="12">
        <v>1.2</v>
      </c>
      <c r="I154" s="12">
        <v>6817.2</v>
      </c>
      <c r="J154" s="10" t="s">
        <v>51</v>
      </c>
      <c r="K154" s="10" t="s">
        <v>63</v>
      </c>
      <c r="L154" t="str">
        <f>IFERROR(VLOOKUP(D154,Products!A:F,3,0),"")</f>
        <v>Apparel</v>
      </c>
      <c r="M154" t="str">
        <f>IFERROR(VLOOKUP(E154,Sales_Reps!A:E,3,0),"")</f>
        <v>South</v>
      </c>
      <c r="N154" t="str">
        <f>IFERROR(VLOOKUP(C154,Customers!A:F,5,0),"")</f>
        <v>SMB</v>
      </c>
      <c r="O154">
        <f>IFERROR(VLOOKUP(C154,Customers!A:F,3,0),"")</f>
        <v>34</v>
      </c>
      <c r="P154">
        <f>IFERROR(VLOOKUP(D154,Products!A:F,4,0),"")</f>
        <v>1748</v>
      </c>
      <c r="Q154" t="b">
        <f>IFERROR(VLOOKUP(D154,Products!A:F,6,0),"")</f>
        <v>1</v>
      </c>
      <c r="R154">
        <f t="shared" si="6"/>
        <v>0.49333333333333335</v>
      </c>
      <c r="S154">
        <f t="shared" si="7"/>
        <v>1</v>
      </c>
      <c r="T154">
        <f>IF(AND(S154&gt;1,COUNTIF($A$2:A154,A154)=1),1,0)</f>
        <v>0</v>
      </c>
      <c r="U154">
        <f>COUNTIF(Customers!$A$2:$A$301,C154)</f>
        <v>1</v>
      </c>
      <c r="V154">
        <f t="shared" si="8"/>
        <v>0</v>
      </c>
    </row>
    <row r="155" spans="1:22" ht="14.25" customHeight="1" x14ac:dyDescent="0.35">
      <c r="A155" s="10" t="s">
        <v>417</v>
      </c>
      <c r="B155" s="11">
        <v>45530</v>
      </c>
      <c r="C155" s="10" t="s">
        <v>418</v>
      </c>
      <c r="D155" s="10" t="s">
        <v>302</v>
      </c>
      <c r="E155" s="10" t="s">
        <v>261</v>
      </c>
      <c r="F155" s="12">
        <v>10</v>
      </c>
      <c r="G155" s="12">
        <v>2210</v>
      </c>
      <c r="H155" s="12">
        <v>18.8</v>
      </c>
      <c r="I155" s="12">
        <v>17945.2</v>
      </c>
      <c r="J155" s="10" t="s">
        <v>51</v>
      </c>
      <c r="K155" s="10" t="s">
        <v>97</v>
      </c>
      <c r="L155" t="str">
        <f>IFERROR(VLOOKUP(D155,Products!A:F,3,0),"")</f>
        <v>Grocery</v>
      </c>
      <c r="M155" t="str">
        <f>IFERROR(VLOOKUP(E155,Sales_Reps!A:E,3,0),"")</f>
        <v>North</v>
      </c>
      <c r="N155" t="str">
        <f>IFERROR(VLOOKUP(C155,Customers!A:F,5,0),"")</f>
        <v>Corporate</v>
      </c>
      <c r="O155">
        <f>IFERROR(VLOOKUP(C155,Customers!A:F,3,0),"")</f>
        <v>43</v>
      </c>
      <c r="P155">
        <f>IFERROR(VLOOKUP(D155,Products!A:F,4,0),"")</f>
        <v>1010</v>
      </c>
      <c r="Q155" t="b">
        <f>IFERROR(VLOOKUP(D155,Products!A:F,6,0),"")</f>
        <v>1</v>
      </c>
      <c r="R155">
        <f t="shared" si="6"/>
        <v>0.54298642533936647</v>
      </c>
      <c r="S155">
        <f t="shared" si="7"/>
        <v>1</v>
      </c>
      <c r="T155">
        <f>IF(AND(S155&gt;1,COUNTIF($A$2:A155,A155)=1),1,0)</f>
        <v>0</v>
      </c>
      <c r="U155">
        <f>COUNTIF(Customers!$A$2:$A$301,C155)</f>
        <v>1</v>
      </c>
      <c r="V155">
        <f t="shared" si="8"/>
        <v>0</v>
      </c>
    </row>
    <row r="156" spans="1:22" ht="14.25" customHeight="1" x14ac:dyDescent="0.35">
      <c r="A156" s="10" t="s">
        <v>419</v>
      </c>
      <c r="B156" s="11">
        <v>45644</v>
      </c>
      <c r="C156" s="10" t="s">
        <v>284</v>
      </c>
      <c r="D156" s="10" t="s">
        <v>107</v>
      </c>
      <c r="E156" s="10" t="s">
        <v>216</v>
      </c>
      <c r="F156" s="12">
        <v>2</v>
      </c>
      <c r="G156" s="12">
        <v>3250</v>
      </c>
      <c r="H156" s="12">
        <v>26.2</v>
      </c>
      <c r="I156" s="12">
        <v>4797</v>
      </c>
      <c r="J156" s="10" t="s">
        <v>51</v>
      </c>
      <c r="K156" s="10" t="s">
        <v>97</v>
      </c>
      <c r="L156" t="str">
        <f>IFERROR(VLOOKUP(D156,Products!A:F,3,0),"")</f>
        <v>Home</v>
      </c>
      <c r="M156" t="str">
        <f>IFERROR(VLOOKUP(E156,Sales_Reps!A:E,3,0),"")</f>
        <v>South</v>
      </c>
      <c r="N156" t="str">
        <f>IFERROR(VLOOKUP(C156,Customers!A:F,5,0),"")</f>
        <v>SMB</v>
      </c>
      <c r="O156">
        <f>IFERROR(VLOOKUP(C156,Customers!A:F,3,0),"")</f>
        <v>36</v>
      </c>
      <c r="P156">
        <f>IFERROR(VLOOKUP(D156,Products!A:F,4,0),"")</f>
        <v>1556</v>
      </c>
      <c r="Q156" t="b">
        <f>IFERROR(VLOOKUP(D156,Products!A:F,6,0),"")</f>
        <v>1</v>
      </c>
      <c r="R156">
        <f t="shared" si="6"/>
        <v>0.52123076923076928</v>
      </c>
      <c r="S156">
        <f t="shared" si="7"/>
        <v>1</v>
      </c>
      <c r="T156">
        <f>IF(AND(S156&gt;1,COUNTIF($A$2:A156,A156)=1),1,0)</f>
        <v>0</v>
      </c>
      <c r="U156">
        <f>COUNTIF(Customers!$A$2:$A$301,C156)</f>
        <v>1</v>
      </c>
      <c r="V156">
        <f t="shared" si="8"/>
        <v>0</v>
      </c>
    </row>
    <row r="157" spans="1:22" ht="14.25" customHeight="1" x14ac:dyDescent="0.35">
      <c r="A157" s="10" t="s">
        <v>420</v>
      </c>
      <c r="B157" s="11">
        <v>45298</v>
      </c>
      <c r="C157" s="10" t="s">
        <v>421</v>
      </c>
      <c r="D157" s="10" t="s">
        <v>70</v>
      </c>
      <c r="E157" s="10" t="s">
        <v>179</v>
      </c>
      <c r="F157" s="12">
        <v>5</v>
      </c>
      <c r="G157" s="12">
        <v>3160</v>
      </c>
      <c r="H157" s="12">
        <v>0.9</v>
      </c>
      <c r="I157" s="12">
        <v>15657.8</v>
      </c>
      <c r="J157" s="10" t="s">
        <v>51</v>
      </c>
      <c r="K157" s="10" t="s">
        <v>52</v>
      </c>
      <c r="L157" t="str">
        <f>IFERROR(VLOOKUP(D157,Products!A:F,3,0),"")</f>
        <v>Apparel</v>
      </c>
      <c r="M157" t="str">
        <f>IFERROR(VLOOKUP(E157,Sales_Reps!A:E,3,0),"")</f>
        <v>North</v>
      </c>
      <c r="N157" t="str">
        <f>IFERROR(VLOOKUP(C157,Customers!A:F,5,0),"")</f>
        <v>Retail</v>
      </c>
      <c r="O157">
        <f>IFERROR(VLOOKUP(C157,Customers!A:F,3,0),"")</f>
        <v>29</v>
      </c>
      <c r="P157">
        <f>IFERROR(VLOOKUP(D157,Products!A:F,4,0),"")</f>
        <v>1886</v>
      </c>
      <c r="Q157" t="b">
        <f>IFERROR(VLOOKUP(D157,Products!A:F,6,0),"")</f>
        <v>1</v>
      </c>
      <c r="R157">
        <f t="shared" si="6"/>
        <v>0.4031645569620253</v>
      </c>
      <c r="S157">
        <f t="shared" si="7"/>
        <v>1</v>
      </c>
      <c r="T157">
        <f>IF(AND(S157&gt;1,COUNTIF($A$2:A157,A157)=1),1,0)</f>
        <v>0</v>
      </c>
      <c r="U157">
        <f>COUNTIF(Customers!$A$2:$A$301,C157)</f>
        <v>1</v>
      </c>
      <c r="V157">
        <f t="shared" si="8"/>
        <v>0</v>
      </c>
    </row>
    <row r="158" spans="1:22" ht="14.25" customHeight="1" x14ac:dyDescent="0.35">
      <c r="A158" s="10" t="s">
        <v>422</v>
      </c>
      <c r="B158" s="11">
        <v>45447</v>
      </c>
      <c r="C158" s="10" t="s">
        <v>371</v>
      </c>
      <c r="D158" s="10" t="s">
        <v>212</v>
      </c>
      <c r="E158" s="10" t="s">
        <v>134</v>
      </c>
      <c r="F158" s="12">
        <v>4</v>
      </c>
      <c r="G158" s="12">
        <v>3870</v>
      </c>
      <c r="H158" s="12">
        <v>29.6</v>
      </c>
      <c r="I158" s="12">
        <v>10897.92</v>
      </c>
      <c r="J158" s="10" t="s">
        <v>104</v>
      </c>
      <c r="K158" s="10" t="s">
        <v>52</v>
      </c>
      <c r="L158" t="str">
        <f>IFERROR(VLOOKUP(D158,Products!A:F,3,0),"")</f>
        <v>Electronics</v>
      </c>
      <c r="M158" t="str">
        <f>IFERROR(VLOOKUP(E158,Sales_Reps!A:E,3,0),"")</f>
        <v>West</v>
      </c>
      <c r="N158" t="str">
        <f>IFERROR(VLOOKUP(C158,Customers!A:F,5,0),"")</f>
        <v>SMB</v>
      </c>
      <c r="O158">
        <f>IFERROR(VLOOKUP(C158,Customers!A:F,3,0),"")</f>
        <v>53</v>
      </c>
      <c r="P158">
        <f>IFERROR(VLOOKUP(D158,Products!A:F,4,0),"")</f>
        <v>1559</v>
      </c>
      <c r="Q158" t="b">
        <f>IFERROR(VLOOKUP(D158,Products!A:F,6,0),"")</f>
        <v>1</v>
      </c>
      <c r="R158">
        <f t="shared" si="6"/>
        <v>0.59715762273901807</v>
      </c>
      <c r="S158">
        <f t="shared" si="7"/>
        <v>1</v>
      </c>
      <c r="T158">
        <f>IF(AND(S158&gt;1,COUNTIF($A$2:A158,A158)=1),1,0)</f>
        <v>0</v>
      </c>
      <c r="U158">
        <f>COUNTIF(Customers!$A$2:$A$301,C158)</f>
        <v>1</v>
      </c>
      <c r="V158">
        <f t="shared" si="8"/>
        <v>0</v>
      </c>
    </row>
    <row r="159" spans="1:22" ht="14.25" customHeight="1" x14ac:dyDescent="0.35">
      <c r="A159" s="10" t="s">
        <v>423</v>
      </c>
      <c r="B159" s="11">
        <v>45601</v>
      </c>
      <c r="C159" s="10" t="s">
        <v>424</v>
      </c>
      <c r="D159" s="10" t="s">
        <v>425</v>
      </c>
      <c r="E159" s="10" t="s">
        <v>249</v>
      </c>
      <c r="F159" s="12">
        <v>4</v>
      </c>
      <c r="G159" s="12">
        <v>3780</v>
      </c>
      <c r="H159" s="12">
        <v>3.5</v>
      </c>
      <c r="I159" s="12">
        <v>14590.8</v>
      </c>
      <c r="J159" s="10" t="s">
        <v>104</v>
      </c>
      <c r="K159" s="10" t="s">
        <v>52</v>
      </c>
      <c r="L159" t="str">
        <f>IFERROR(VLOOKUP(D159,Products!A:F,3,0),"")</f>
        <v>Sports</v>
      </c>
      <c r="M159" t="str">
        <f>IFERROR(VLOOKUP(E159,Sales_Reps!A:E,3,0),"")</f>
        <v>East</v>
      </c>
      <c r="N159" t="str">
        <f>IFERROR(VLOOKUP(C159,Customers!A:F,5,0),"")</f>
        <v>Corporate</v>
      </c>
      <c r="O159">
        <f>IFERROR(VLOOKUP(C159,Customers!A:F,3,0),"")</f>
        <v>37</v>
      </c>
      <c r="P159">
        <f>IFERROR(VLOOKUP(D159,Products!A:F,4,0),"")</f>
        <v>1860</v>
      </c>
      <c r="Q159" t="b">
        <f>IFERROR(VLOOKUP(D159,Products!A:F,6,0),"")</f>
        <v>1</v>
      </c>
      <c r="R159">
        <f t="shared" si="6"/>
        <v>0.50793650793650791</v>
      </c>
      <c r="S159">
        <f t="shared" si="7"/>
        <v>1</v>
      </c>
      <c r="T159">
        <f>IF(AND(S159&gt;1,COUNTIF($A$2:A159,A159)=1),1,0)</f>
        <v>0</v>
      </c>
      <c r="U159">
        <f>COUNTIF(Customers!$A$2:$A$301,C159)</f>
        <v>1</v>
      </c>
      <c r="V159">
        <f t="shared" si="8"/>
        <v>0</v>
      </c>
    </row>
    <row r="160" spans="1:22" ht="14.25" customHeight="1" x14ac:dyDescent="0.35">
      <c r="A160" s="10" t="s">
        <v>426</v>
      </c>
      <c r="B160" s="11">
        <v>45428</v>
      </c>
      <c r="C160" s="10" t="s">
        <v>427</v>
      </c>
      <c r="D160" s="10" t="s">
        <v>240</v>
      </c>
      <c r="E160" s="10" t="s">
        <v>122</v>
      </c>
      <c r="F160" s="12">
        <v>4</v>
      </c>
      <c r="G160" s="12">
        <v>3020</v>
      </c>
      <c r="H160" s="12">
        <v>18.899999999999999</v>
      </c>
      <c r="I160" s="12">
        <v>9796.8799999999992</v>
      </c>
      <c r="J160" s="10" t="s">
        <v>51</v>
      </c>
      <c r="K160" s="10" t="s">
        <v>81</v>
      </c>
      <c r="L160" t="str">
        <f>IFERROR(VLOOKUP(D160,Products!A:F,3,0),"")</f>
        <v>Beauty</v>
      </c>
      <c r="M160" t="str">
        <f>IFERROR(VLOOKUP(E160,Sales_Reps!A:E,3,0),"")</f>
        <v>East</v>
      </c>
      <c r="N160" t="str">
        <f>IFERROR(VLOOKUP(C160,Customers!A:F,5,0),"")</f>
        <v>Retail</v>
      </c>
      <c r="O160">
        <f>IFERROR(VLOOKUP(C160,Customers!A:F,3,0),"")</f>
        <v>55</v>
      </c>
      <c r="P160">
        <f>IFERROR(VLOOKUP(D160,Products!A:F,4,0),"")</f>
        <v>1626</v>
      </c>
      <c r="Q160" t="b">
        <f>IFERROR(VLOOKUP(D160,Products!A:F,6,0),"")</f>
        <v>1</v>
      </c>
      <c r="R160">
        <f t="shared" si="6"/>
        <v>0.46158940397350995</v>
      </c>
      <c r="S160">
        <f t="shared" si="7"/>
        <v>1</v>
      </c>
      <c r="T160">
        <f>IF(AND(S160&gt;1,COUNTIF($A$2:A160,A160)=1),1,0)</f>
        <v>0</v>
      </c>
      <c r="U160">
        <f>COUNTIF(Customers!$A$2:$A$301,C160)</f>
        <v>1</v>
      </c>
      <c r="V160">
        <f t="shared" si="8"/>
        <v>0</v>
      </c>
    </row>
    <row r="161" spans="1:22" ht="14.25" customHeight="1" x14ac:dyDescent="0.35">
      <c r="A161" s="10" t="s">
        <v>428</v>
      </c>
      <c r="B161" s="11">
        <v>45409</v>
      </c>
      <c r="C161" s="10" t="s">
        <v>429</v>
      </c>
      <c r="D161" s="10" t="s">
        <v>190</v>
      </c>
      <c r="E161" s="10" t="s">
        <v>152</v>
      </c>
      <c r="F161" s="12">
        <v>1</v>
      </c>
      <c r="G161" s="12">
        <v>3730</v>
      </c>
      <c r="H161" s="12">
        <v>10.8</v>
      </c>
      <c r="I161" s="12">
        <v>3327.16</v>
      </c>
      <c r="J161" s="10" t="s">
        <v>108</v>
      </c>
      <c r="K161" s="10" t="s">
        <v>76</v>
      </c>
      <c r="L161" t="str">
        <f>IFERROR(VLOOKUP(D161,Products!A:F,3,0),"")</f>
        <v>Home</v>
      </c>
      <c r="M161" t="str">
        <f>IFERROR(VLOOKUP(E161,Sales_Reps!A:E,3,0),"")</f>
        <v>South</v>
      </c>
      <c r="N161" t="str">
        <f>IFERROR(VLOOKUP(C161,Customers!A:F,5,0),"")</f>
        <v>Retail</v>
      </c>
      <c r="O161">
        <f>IFERROR(VLOOKUP(C161,Customers!A:F,3,0),"")</f>
        <v>61</v>
      </c>
      <c r="P161">
        <f>IFERROR(VLOOKUP(D161,Products!A:F,4,0),"")</f>
        <v>2135</v>
      </c>
      <c r="Q161" t="b">
        <f>IFERROR(VLOOKUP(D161,Products!A:F,6,0),"")</f>
        <v>1</v>
      </c>
      <c r="R161">
        <f t="shared" si="6"/>
        <v>0.42761394101876676</v>
      </c>
      <c r="S161">
        <f t="shared" si="7"/>
        <v>1</v>
      </c>
      <c r="T161">
        <f>IF(AND(S161&gt;1,COUNTIF($A$2:A161,A161)=1),1,0)</f>
        <v>0</v>
      </c>
      <c r="U161">
        <f>COUNTIF(Customers!$A$2:$A$301,C161)</f>
        <v>1</v>
      </c>
      <c r="V161">
        <f t="shared" si="8"/>
        <v>0</v>
      </c>
    </row>
    <row r="162" spans="1:22" ht="14.25" customHeight="1" x14ac:dyDescent="0.35">
      <c r="A162" s="10" t="s">
        <v>430</v>
      </c>
      <c r="B162" s="11">
        <v>45394</v>
      </c>
      <c r="C162" s="10" t="s">
        <v>297</v>
      </c>
      <c r="D162" s="10" t="s">
        <v>148</v>
      </c>
      <c r="E162" s="10" t="s">
        <v>267</v>
      </c>
      <c r="F162" s="12">
        <v>8</v>
      </c>
      <c r="G162" s="12">
        <v>4880</v>
      </c>
      <c r="H162" s="12">
        <v>20.3</v>
      </c>
      <c r="I162" s="12">
        <v>31114.880000000001</v>
      </c>
      <c r="J162" s="10" t="s">
        <v>51</v>
      </c>
      <c r="K162" s="10" t="s">
        <v>97</v>
      </c>
      <c r="L162" t="str">
        <f>IFERROR(VLOOKUP(D162,Products!A:F,3,0),"")</f>
        <v>Beauty</v>
      </c>
      <c r="M162" t="str">
        <f>IFERROR(VLOOKUP(E162,Sales_Reps!A:E,3,0),"")</f>
        <v>East</v>
      </c>
      <c r="N162" t="str">
        <f>IFERROR(VLOOKUP(C162,Customers!A:F,5,0),"")</f>
        <v>SMB</v>
      </c>
      <c r="O162">
        <f>IFERROR(VLOOKUP(C162,Customers!A:F,3,0),"")</f>
        <v>65</v>
      </c>
      <c r="P162">
        <f>IFERROR(VLOOKUP(D162,Products!A:F,4,0),"")</f>
        <v>2768</v>
      </c>
      <c r="Q162" t="b">
        <f>IFERROR(VLOOKUP(D162,Products!A:F,6,0),"")</f>
        <v>1</v>
      </c>
      <c r="R162">
        <f t="shared" si="6"/>
        <v>0.43278688524590164</v>
      </c>
      <c r="S162">
        <f t="shared" si="7"/>
        <v>1</v>
      </c>
      <c r="T162">
        <f>IF(AND(S162&gt;1,COUNTIF($A$2:A162,A162)=1),1,0)</f>
        <v>0</v>
      </c>
      <c r="U162">
        <f>COUNTIF(Customers!$A$2:$A$301,C162)</f>
        <v>1</v>
      </c>
      <c r="V162">
        <f t="shared" si="8"/>
        <v>0</v>
      </c>
    </row>
    <row r="163" spans="1:22" ht="14.25" customHeight="1" x14ac:dyDescent="0.35">
      <c r="A163" s="10" t="s">
        <v>431</v>
      </c>
      <c r="B163" s="11">
        <v>45579</v>
      </c>
      <c r="C163" s="10" t="s">
        <v>114</v>
      </c>
      <c r="D163" s="10" t="s">
        <v>91</v>
      </c>
      <c r="E163" s="10" t="s">
        <v>165</v>
      </c>
      <c r="F163" s="12">
        <v>9</v>
      </c>
      <c r="G163" s="12">
        <v>970</v>
      </c>
      <c r="H163" s="12">
        <v>18.2</v>
      </c>
      <c r="I163" s="12">
        <v>7141.14</v>
      </c>
      <c r="J163" s="10" t="s">
        <v>51</v>
      </c>
      <c r="K163" s="10" t="s">
        <v>52</v>
      </c>
      <c r="L163" t="str">
        <f>IFERROR(VLOOKUP(D163,Products!A:F,3,0),"")</f>
        <v>Grocery</v>
      </c>
      <c r="M163" t="str">
        <f>IFERROR(VLOOKUP(E163,Sales_Reps!A:E,3,0),"")</f>
        <v>West</v>
      </c>
      <c r="N163" t="str">
        <f>IFERROR(VLOOKUP(C163,Customers!A:F,5,0),"")</f>
        <v>Retail</v>
      </c>
      <c r="O163">
        <f>IFERROR(VLOOKUP(C163,Customers!A:F,3,0),"")</f>
        <v>63</v>
      </c>
      <c r="P163">
        <f>IFERROR(VLOOKUP(D163,Products!A:F,4,0),"")</f>
        <v>434</v>
      </c>
      <c r="Q163" t="b">
        <f>IFERROR(VLOOKUP(D163,Products!A:F,6,0),"")</f>
        <v>1</v>
      </c>
      <c r="R163">
        <f t="shared" si="6"/>
        <v>0.5525773195876289</v>
      </c>
      <c r="S163">
        <f t="shared" si="7"/>
        <v>1</v>
      </c>
      <c r="T163">
        <f>IF(AND(S163&gt;1,COUNTIF($A$2:A163,A163)=1),1,0)</f>
        <v>0</v>
      </c>
      <c r="U163">
        <f>COUNTIF(Customers!$A$2:$A$301,C163)</f>
        <v>1</v>
      </c>
      <c r="V163">
        <f t="shared" si="8"/>
        <v>0</v>
      </c>
    </row>
    <row r="164" spans="1:22" ht="14.25" customHeight="1" x14ac:dyDescent="0.35">
      <c r="A164" s="10" t="s">
        <v>432</v>
      </c>
      <c r="B164" s="11">
        <v>45442</v>
      </c>
      <c r="C164" s="10" t="s">
        <v>433</v>
      </c>
      <c r="D164" s="10" t="s">
        <v>243</v>
      </c>
      <c r="E164" s="10" t="s">
        <v>202</v>
      </c>
      <c r="F164" s="12">
        <v>8</v>
      </c>
      <c r="G164" s="12">
        <v>2660</v>
      </c>
      <c r="H164" s="12">
        <v>17.600000000000001</v>
      </c>
      <c r="I164" s="12">
        <v>17534.72</v>
      </c>
      <c r="J164" s="10" t="s">
        <v>51</v>
      </c>
      <c r="K164" s="10" t="s">
        <v>81</v>
      </c>
      <c r="L164" t="str">
        <f>IFERROR(VLOOKUP(D164,Products!A:F,3,0),"")</f>
        <v>Electronics</v>
      </c>
      <c r="M164" t="str">
        <f>IFERROR(VLOOKUP(E164,Sales_Reps!A:E,3,0),"")</f>
        <v>East</v>
      </c>
      <c r="N164" t="str">
        <f>IFERROR(VLOOKUP(C164,Customers!A:F,5,0),"")</f>
        <v>SMB</v>
      </c>
      <c r="O164">
        <f>IFERROR(VLOOKUP(C164,Customers!A:F,3,0),"")</f>
        <v>43</v>
      </c>
      <c r="P164">
        <f>IFERROR(VLOOKUP(D164,Products!A:F,4,0),"")</f>
        <v>1259</v>
      </c>
      <c r="Q164" t="b">
        <f>IFERROR(VLOOKUP(D164,Products!A:F,6,0),"")</f>
        <v>0</v>
      </c>
      <c r="R164">
        <f t="shared" si="6"/>
        <v>0.52669172932330832</v>
      </c>
      <c r="S164">
        <f t="shared" si="7"/>
        <v>1</v>
      </c>
      <c r="T164">
        <f>IF(AND(S164&gt;1,COUNTIF($A$2:A164,A164)=1),1,0)</f>
        <v>0</v>
      </c>
      <c r="U164">
        <f>COUNTIF(Customers!$A$2:$A$301,C164)</f>
        <v>1</v>
      </c>
      <c r="V164">
        <f t="shared" si="8"/>
        <v>0</v>
      </c>
    </row>
    <row r="165" spans="1:22" ht="14.25" customHeight="1" x14ac:dyDescent="0.35">
      <c r="A165" s="10" t="s">
        <v>434</v>
      </c>
      <c r="B165" s="11">
        <v>45414</v>
      </c>
      <c r="C165" s="10" t="s">
        <v>101</v>
      </c>
      <c r="D165" s="10" t="s">
        <v>55</v>
      </c>
      <c r="E165" s="10" t="s">
        <v>152</v>
      </c>
      <c r="F165" s="12">
        <v>2</v>
      </c>
      <c r="G165" s="12">
        <v>820</v>
      </c>
      <c r="H165" s="12">
        <v>18.100000000000001</v>
      </c>
      <c r="I165" s="12">
        <v>1343.16</v>
      </c>
      <c r="J165" s="10" t="s">
        <v>104</v>
      </c>
      <c r="K165" s="10" t="s">
        <v>63</v>
      </c>
      <c r="L165" t="str">
        <f>IFERROR(VLOOKUP(D165,Products!A:F,3,0),"")</f>
        <v>Apparel</v>
      </c>
      <c r="M165" t="str">
        <f>IFERROR(VLOOKUP(E165,Sales_Reps!A:E,3,0),"")</f>
        <v>South</v>
      </c>
      <c r="N165" t="str">
        <f>IFERROR(VLOOKUP(C165,Customers!A:F,5,0),"")</f>
        <v>SMB</v>
      </c>
      <c r="O165">
        <f>IFERROR(VLOOKUP(C165,Customers!A:F,3,0),"")</f>
        <v>27</v>
      </c>
      <c r="P165">
        <f>IFERROR(VLOOKUP(D165,Products!A:F,4,0),"")</f>
        <v>391</v>
      </c>
      <c r="Q165" t="b">
        <f>IFERROR(VLOOKUP(D165,Products!A:F,6,0),"")</f>
        <v>1</v>
      </c>
      <c r="R165">
        <f t="shared" si="6"/>
        <v>0.52317073170731709</v>
      </c>
      <c r="S165">
        <f t="shared" si="7"/>
        <v>1</v>
      </c>
      <c r="T165">
        <f>IF(AND(S165&gt;1,COUNTIF($A$2:A165,A165)=1),1,0)</f>
        <v>0</v>
      </c>
      <c r="U165">
        <f>COUNTIF(Customers!$A$2:$A$301,C165)</f>
        <v>1</v>
      </c>
      <c r="V165">
        <f t="shared" si="8"/>
        <v>0</v>
      </c>
    </row>
    <row r="166" spans="1:22" ht="14.25" customHeight="1" x14ac:dyDescent="0.35">
      <c r="A166" s="10" t="s">
        <v>435</v>
      </c>
      <c r="B166" s="11">
        <v>45349</v>
      </c>
      <c r="C166" s="10" t="s">
        <v>436</v>
      </c>
      <c r="D166" s="10" t="s">
        <v>259</v>
      </c>
      <c r="E166" s="10" t="s">
        <v>168</v>
      </c>
      <c r="F166" s="12">
        <v>7</v>
      </c>
      <c r="G166" s="12">
        <v>2030</v>
      </c>
      <c r="H166" s="12">
        <v>23.7</v>
      </c>
      <c r="I166" s="12">
        <v>10842.23</v>
      </c>
      <c r="J166" s="10" t="s">
        <v>57</v>
      </c>
      <c r="K166" s="10" t="s">
        <v>58</v>
      </c>
      <c r="L166" t="str">
        <f>IFERROR(VLOOKUP(D166,Products!A:F,3,0),"")</f>
        <v>Home</v>
      </c>
      <c r="M166" t="str">
        <f>IFERROR(VLOOKUP(E166,Sales_Reps!A:E,3,0),"")</f>
        <v>South</v>
      </c>
      <c r="N166" t="str">
        <f>IFERROR(VLOOKUP(C166,Customers!A:F,5,0),"")</f>
        <v>Corporate</v>
      </c>
      <c r="O166">
        <f>IFERROR(VLOOKUP(C166,Customers!A:F,3,0),"")</f>
        <v>35</v>
      </c>
      <c r="P166">
        <f>IFERROR(VLOOKUP(D166,Products!A:F,4,0),"")</f>
        <v>1143</v>
      </c>
      <c r="Q166" t="b">
        <f>IFERROR(VLOOKUP(D166,Products!A:F,6,0),"")</f>
        <v>1</v>
      </c>
      <c r="R166">
        <f t="shared" si="6"/>
        <v>0.43694581280788175</v>
      </c>
      <c r="S166">
        <f t="shared" si="7"/>
        <v>1</v>
      </c>
      <c r="T166">
        <f>IF(AND(S166&gt;1,COUNTIF($A$2:A166,A166)=1),1,0)</f>
        <v>0</v>
      </c>
      <c r="U166">
        <f>COUNTIF(Customers!$A$2:$A$301,C166)</f>
        <v>1</v>
      </c>
      <c r="V166">
        <f t="shared" si="8"/>
        <v>0</v>
      </c>
    </row>
    <row r="167" spans="1:22" ht="14.25" customHeight="1" x14ac:dyDescent="0.35">
      <c r="A167" s="10" t="s">
        <v>437</v>
      </c>
      <c r="B167" s="11">
        <v>45533</v>
      </c>
      <c r="C167" s="10" t="s">
        <v>438</v>
      </c>
      <c r="D167" s="10" t="s">
        <v>256</v>
      </c>
      <c r="E167" s="10" t="s">
        <v>168</v>
      </c>
      <c r="F167" s="12">
        <v>5</v>
      </c>
      <c r="G167" s="12">
        <v>620</v>
      </c>
      <c r="H167" s="12">
        <v>13.8</v>
      </c>
      <c r="I167" s="12">
        <v>2672.2</v>
      </c>
      <c r="J167" s="10" t="s">
        <v>51</v>
      </c>
      <c r="K167" s="10" t="s">
        <v>63</v>
      </c>
      <c r="L167" t="str">
        <f>IFERROR(VLOOKUP(D167,Products!A:F,3,0),"")</f>
        <v>Apparel</v>
      </c>
      <c r="M167" t="str">
        <f>IFERROR(VLOOKUP(E167,Sales_Reps!A:E,3,0),"")</f>
        <v>South</v>
      </c>
      <c r="N167" t="str">
        <f>IFERROR(VLOOKUP(C167,Customers!A:F,5,0),"")</f>
        <v>SMB</v>
      </c>
      <c r="O167">
        <f>IFERROR(VLOOKUP(C167,Customers!A:F,3,0),"")</f>
        <v>59</v>
      </c>
      <c r="P167">
        <f>IFERROR(VLOOKUP(D167,Products!A:F,4,0),"")</f>
        <v>396</v>
      </c>
      <c r="Q167" t="b">
        <f>IFERROR(VLOOKUP(D167,Products!A:F,6,0),"")</f>
        <v>1</v>
      </c>
      <c r="R167">
        <f t="shared" si="6"/>
        <v>0.36129032258064514</v>
      </c>
      <c r="S167">
        <f t="shared" si="7"/>
        <v>1</v>
      </c>
      <c r="T167">
        <f>IF(AND(S167&gt;1,COUNTIF($A$2:A167,A167)=1),1,0)</f>
        <v>0</v>
      </c>
      <c r="U167">
        <f>COUNTIF(Customers!$A$2:$A$301,C167)</f>
        <v>1</v>
      </c>
      <c r="V167">
        <f t="shared" si="8"/>
        <v>0</v>
      </c>
    </row>
    <row r="168" spans="1:22" ht="14.25" customHeight="1" x14ac:dyDescent="0.35">
      <c r="A168" s="10" t="s">
        <v>439</v>
      </c>
      <c r="B168" s="11">
        <v>45489</v>
      </c>
      <c r="C168" s="10" t="s">
        <v>415</v>
      </c>
      <c r="D168" s="10" t="s">
        <v>209</v>
      </c>
      <c r="E168" s="10" t="s">
        <v>249</v>
      </c>
      <c r="F168" s="12">
        <v>7</v>
      </c>
      <c r="G168" s="12">
        <v>2270</v>
      </c>
      <c r="H168" s="12">
        <v>5.5</v>
      </c>
      <c r="I168" s="12">
        <v>15016.05</v>
      </c>
      <c r="J168" s="10" t="s">
        <v>51</v>
      </c>
      <c r="K168" s="10" t="s">
        <v>63</v>
      </c>
      <c r="L168" t="str">
        <f>IFERROR(VLOOKUP(D168,Products!A:F,3,0),"")</f>
        <v>Grocery</v>
      </c>
      <c r="M168" t="str">
        <f>IFERROR(VLOOKUP(E168,Sales_Reps!A:E,3,0),"")</f>
        <v>East</v>
      </c>
      <c r="N168" t="str">
        <f>IFERROR(VLOOKUP(C168,Customers!A:F,5,0),"")</f>
        <v>SMB</v>
      </c>
      <c r="O168">
        <f>IFERROR(VLOOKUP(C168,Customers!A:F,3,0),"")</f>
        <v>34</v>
      </c>
      <c r="P168">
        <f>IFERROR(VLOOKUP(D168,Products!A:F,4,0),"")</f>
        <v>1412</v>
      </c>
      <c r="Q168" t="b">
        <f>IFERROR(VLOOKUP(D168,Products!A:F,6,0),"")</f>
        <v>1</v>
      </c>
      <c r="R168">
        <f t="shared" si="6"/>
        <v>0.37797356828193834</v>
      </c>
      <c r="S168">
        <f t="shared" si="7"/>
        <v>1</v>
      </c>
      <c r="T168">
        <f>IF(AND(S168&gt;1,COUNTIF($A$2:A168,A168)=1),1,0)</f>
        <v>0</v>
      </c>
      <c r="U168">
        <f>COUNTIF(Customers!$A$2:$A$301,C168)</f>
        <v>1</v>
      </c>
      <c r="V168">
        <f t="shared" si="8"/>
        <v>0</v>
      </c>
    </row>
    <row r="169" spans="1:22" ht="14.25" customHeight="1" x14ac:dyDescent="0.35">
      <c r="A169" s="10" t="s">
        <v>440</v>
      </c>
      <c r="B169" s="11">
        <v>45457</v>
      </c>
      <c r="C169" s="10" t="s">
        <v>139</v>
      </c>
      <c r="D169" s="10" t="s">
        <v>61</v>
      </c>
      <c r="E169" s="10" t="s">
        <v>310</v>
      </c>
      <c r="F169" s="12">
        <v>1</v>
      </c>
      <c r="G169" s="12">
        <v>470</v>
      </c>
      <c r="H169" s="12">
        <v>13.7</v>
      </c>
      <c r="I169" s="12">
        <v>405.61</v>
      </c>
      <c r="J169" s="10" t="s">
        <v>57</v>
      </c>
      <c r="K169" s="10" t="s">
        <v>97</v>
      </c>
      <c r="L169" t="str">
        <f>IFERROR(VLOOKUP(D169,Products!A:F,3,0),"")</f>
        <v>Sports</v>
      </c>
      <c r="M169" t="str">
        <f>IFERROR(VLOOKUP(E169,Sales_Reps!A:E,3,0),"")</f>
        <v>South</v>
      </c>
      <c r="N169" t="str">
        <f>IFERROR(VLOOKUP(C169,Customers!A:F,5,0),"")</f>
        <v>SMB</v>
      </c>
      <c r="O169">
        <f>IFERROR(VLOOKUP(C169,Customers!A:F,3,0),"")</f>
        <v>40</v>
      </c>
      <c r="P169">
        <f>IFERROR(VLOOKUP(D169,Products!A:F,4,0),"")</f>
        <v>302</v>
      </c>
      <c r="Q169" t="b">
        <f>IFERROR(VLOOKUP(D169,Products!A:F,6,0),"")</f>
        <v>0</v>
      </c>
      <c r="R169">
        <f t="shared" si="6"/>
        <v>0.35744680851063831</v>
      </c>
      <c r="S169">
        <f t="shared" si="7"/>
        <v>2</v>
      </c>
      <c r="T169">
        <f>IF(AND(S169&gt;1,COUNTIF($A$2:A169,A169)=1),1,0)</f>
        <v>1</v>
      </c>
      <c r="U169">
        <f>COUNTIF(Customers!$A$2:$A$301,C169)</f>
        <v>1</v>
      </c>
      <c r="V169">
        <f t="shared" si="8"/>
        <v>0</v>
      </c>
    </row>
    <row r="170" spans="1:22" ht="14.25" customHeight="1" x14ac:dyDescent="0.35">
      <c r="A170" s="10" t="s">
        <v>441</v>
      </c>
      <c r="B170" s="11">
        <v>45601</v>
      </c>
      <c r="C170" s="10" t="s">
        <v>114</v>
      </c>
      <c r="D170" s="10" t="s">
        <v>328</v>
      </c>
      <c r="E170" s="10" t="s">
        <v>50</v>
      </c>
      <c r="F170" s="12">
        <v>6</v>
      </c>
      <c r="G170" s="12">
        <v>5330</v>
      </c>
      <c r="H170" s="12">
        <v>17.899999999999999</v>
      </c>
      <c r="I170" s="12">
        <v>26255.58</v>
      </c>
      <c r="J170" s="10" t="s">
        <v>51</v>
      </c>
      <c r="K170" s="10" t="s">
        <v>52</v>
      </c>
      <c r="L170" t="str">
        <f>IFERROR(VLOOKUP(D170,Products!A:F,3,0),"")</f>
        <v>Electronics</v>
      </c>
      <c r="M170" t="str">
        <f>IFERROR(VLOOKUP(E170,Sales_Reps!A:E,3,0),"")</f>
        <v>North</v>
      </c>
      <c r="N170" t="str">
        <f>IFERROR(VLOOKUP(C170,Customers!A:F,5,0),"")</f>
        <v>Retail</v>
      </c>
      <c r="O170">
        <f>IFERROR(VLOOKUP(C170,Customers!A:F,3,0),"")</f>
        <v>63</v>
      </c>
      <c r="P170">
        <f>IFERROR(VLOOKUP(D170,Products!A:F,4,0),"")</f>
        <v>2405</v>
      </c>
      <c r="Q170" t="b">
        <f>IFERROR(VLOOKUP(D170,Products!A:F,6,0),"")</f>
        <v>1</v>
      </c>
      <c r="R170">
        <f t="shared" si="6"/>
        <v>0.54878048780487809</v>
      </c>
      <c r="S170">
        <f t="shared" si="7"/>
        <v>1</v>
      </c>
      <c r="T170">
        <f>IF(AND(S170&gt;1,COUNTIF($A$2:A170,A170)=1),1,0)</f>
        <v>0</v>
      </c>
      <c r="U170">
        <f>COUNTIF(Customers!$A$2:$A$301,C170)</f>
        <v>1</v>
      </c>
      <c r="V170">
        <f t="shared" si="8"/>
        <v>0</v>
      </c>
    </row>
    <row r="171" spans="1:22" ht="14.25" customHeight="1" x14ac:dyDescent="0.35">
      <c r="A171" s="10" t="s">
        <v>442</v>
      </c>
      <c r="B171" s="11">
        <v>45294</v>
      </c>
      <c r="C171" s="10" t="s">
        <v>443</v>
      </c>
      <c r="D171" s="10" t="s">
        <v>205</v>
      </c>
      <c r="E171" s="10" t="s">
        <v>261</v>
      </c>
      <c r="F171" s="12">
        <v>1</v>
      </c>
      <c r="G171" s="12">
        <v>6080</v>
      </c>
      <c r="H171" s="12">
        <v>25.5</v>
      </c>
      <c r="I171" s="12">
        <v>4529.6000000000004</v>
      </c>
      <c r="J171" s="10" t="s">
        <v>51</v>
      </c>
      <c r="K171" s="10" t="s">
        <v>52</v>
      </c>
      <c r="L171" t="str">
        <f>IFERROR(VLOOKUP(D171,Products!A:F,3,0),"")</f>
        <v>Beauty</v>
      </c>
      <c r="M171" t="str">
        <f>IFERROR(VLOOKUP(E171,Sales_Reps!A:E,3,0),"")</f>
        <v>North</v>
      </c>
      <c r="N171" t="str">
        <f>IFERROR(VLOOKUP(C171,Customers!A:F,5,0),"")</f>
        <v>SMB</v>
      </c>
      <c r="O171">
        <f>IFERROR(VLOOKUP(C171,Customers!A:F,3,0),"")</f>
        <v>49</v>
      </c>
      <c r="P171">
        <f>IFERROR(VLOOKUP(D171,Products!A:F,4,0),"")</f>
        <v>2617</v>
      </c>
      <c r="Q171" t="b">
        <f>IFERROR(VLOOKUP(D171,Products!A:F,6,0),"")</f>
        <v>1</v>
      </c>
      <c r="R171">
        <f t="shared" si="6"/>
        <v>0.56957236842105263</v>
      </c>
      <c r="S171">
        <f t="shared" si="7"/>
        <v>1</v>
      </c>
      <c r="T171">
        <f>IF(AND(S171&gt;1,COUNTIF($A$2:A171,A171)=1),1,0)</f>
        <v>0</v>
      </c>
      <c r="U171">
        <f>COUNTIF(Customers!$A$2:$A$301,C171)</f>
        <v>1</v>
      </c>
      <c r="V171">
        <f t="shared" si="8"/>
        <v>0</v>
      </c>
    </row>
    <row r="172" spans="1:22" ht="14.25" customHeight="1" x14ac:dyDescent="0.35">
      <c r="A172" s="10" t="s">
        <v>444</v>
      </c>
      <c r="B172" s="11">
        <v>45345</v>
      </c>
      <c r="C172" s="10" t="s">
        <v>225</v>
      </c>
      <c r="D172" s="10" t="s">
        <v>198</v>
      </c>
      <c r="E172" s="10" t="s">
        <v>249</v>
      </c>
      <c r="F172" s="12">
        <v>5</v>
      </c>
      <c r="G172" s="12">
        <v>3780</v>
      </c>
      <c r="H172" s="12">
        <v>28.6</v>
      </c>
      <c r="I172" s="12">
        <v>13494.6</v>
      </c>
      <c r="J172" s="10" t="s">
        <v>51</v>
      </c>
      <c r="K172" s="10" t="s">
        <v>63</v>
      </c>
      <c r="L172" t="str">
        <f>IFERROR(VLOOKUP(D172,Products!A:F,3,0),"")</f>
        <v>Grocery</v>
      </c>
      <c r="M172" t="str">
        <f>IFERROR(VLOOKUP(E172,Sales_Reps!A:E,3,0),"")</f>
        <v>East</v>
      </c>
      <c r="N172" t="str">
        <f>IFERROR(VLOOKUP(C172,Customers!A:F,5,0),"")</f>
        <v>Retail</v>
      </c>
      <c r="O172">
        <f>IFERROR(VLOOKUP(C172,Customers!A:F,3,0),"")</f>
        <v>54</v>
      </c>
      <c r="P172">
        <f>IFERROR(VLOOKUP(D172,Products!A:F,4,0),"")</f>
        <v>2436</v>
      </c>
      <c r="Q172" t="b">
        <f>IFERROR(VLOOKUP(D172,Products!A:F,6,0),"")</f>
        <v>1</v>
      </c>
      <c r="R172">
        <f t="shared" si="6"/>
        <v>0.35555555555555557</v>
      </c>
      <c r="S172">
        <f t="shared" si="7"/>
        <v>1</v>
      </c>
      <c r="T172">
        <f>IF(AND(S172&gt;1,COUNTIF($A$2:A172,A172)=1),1,0)</f>
        <v>0</v>
      </c>
      <c r="U172">
        <f>COUNTIF(Customers!$A$2:$A$301,C172)</f>
        <v>1</v>
      </c>
      <c r="V172">
        <f t="shared" si="8"/>
        <v>0</v>
      </c>
    </row>
    <row r="173" spans="1:22" ht="14.25" customHeight="1" x14ac:dyDescent="0.35">
      <c r="A173" s="10" t="s">
        <v>445</v>
      </c>
      <c r="B173" s="11">
        <v>45391</v>
      </c>
      <c r="C173" s="10" t="s">
        <v>446</v>
      </c>
      <c r="D173" s="10" t="s">
        <v>256</v>
      </c>
      <c r="E173" s="10" t="s">
        <v>96</v>
      </c>
      <c r="F173" s="12">
        <v>5</v>
      </c>
      <c r="G173" s="12">
        <v>620</v>
      </c>
      <c r="H173" s="12">
        <v>6.9</v>
      </c>
      <c r="I173" s="12">
        <v>2886.1</v>
      </c>
      <c r="J173" s="10" t="s">
        <v>104</v>
      </c>
      <c r="K173" s="10" t="s">
        <v>97</v>
      </c>
      <c r="L173" t="str">
        <f>IFERROR(VLOOKUP(D173,Products!A:F,3,0),"")</f>
        <v>Apparel</v>
      </c>
      <c r="M173" t="str">
        <f>IFERROR(VLOOKUP(E173,Sales_Reps!A:E,3,0),"")</f>
        <v>South</v>
      </c>
      <c r="N173" t="str">
        <f>IFERROR(VLOOKUP(C173,Customers!A:F,5,0),"")</f>
        <v>Corporate</v>
      </c>
      <c r="O173">
        <f>IFERROR(VLOOKUP(C173,Customers!A:F,3,0),"")</f>
        <v>52</v>
      </c>
      <c r="P173">
        <f>IFERROR(VLOOKUP(D173,Products!A:F,4,0),"")</f>
        <v>396</v>
      </c>
      <c r="Q173" t="b">
        <f>IFERROR(VLOOKUP(D173,Products!A:F,6,0),"")</f>
        <v>1</v>
      </c>
      <c r="R173">
        <f t="shared" si="6"/>
        <v>0.36129032258064514</v>
      </c>
      <c r="S173">
        <f t="shared" si="7"/>
        <v>1</v>
      </c>
      <c r="T173">
        <f>IF(AND(S173&gt;1,COUNTIF($A$2:A173,A173)=1),1,0)</f>
        <v>0</v>
      </c>
      <c r="U173">
        <f>COUNTIF(Customers!$A$2:$A$301,C173)</f>
        <v>1</v>
      </c>
      <c r="V173">
        <f t="shared" si="8"/>
        <v>0</v>
      </c>
    </row>
    <row r="174" spans="1:22" ht="14.25" customHeight="1" x14ac:dyDescent="0.35">
      <c r="A174" s="10" t="s">
        <v>447</v>
      </c>
      <c r="B174" s="11">
        <v>45419</v>
      </c>
      <c r="C174" s="10" t="s">
        <v>391</v>
      </c>
      <c r="D174" s="10" t="s">
        <v>319</v>
      </c>
      <c r="E174" s="10" t="s">
        <v>307</v>
      </c>
      <c r="F174" s="12">
        <v>8</v>
      </c>
      <c r="G174" s="12">
        <v>2510</v>
      </c>
      <c r="H174" s="12">
        <v>0.7</v>
      </c>
      <c r="I174" s="12">
        <v>19939.439999999999</v>
      </c>
      <c r="J174" s="10" t="s">
        <v>51</v>
      </c>
      <c r="K174" s="10" t="s">
        <v>52</v>
      </c>
      <c r="L174" t="str">
        <f>IFERROR(VLOOKUP(D174,Products!A:F,3,0),"")</f>
        <v>Apparel</v>
      </c>
      <c r="M174" t="str">
        <f>IFERROR(VLOOKUP(E174,Sales_Reps!A:E,3,0),"")</f>
        <v>West</v>
      </c>
      <c r="N174" t="str">
        <f>IFERROR(VLOOKUP(C174,Customers!A:F,5,0),"")</f>
        <v>Corporate</v>
      </c>
      <c r="O174">
        <f>IFERROR(VLOOKUP(C174,Customers!A:F,3,0),"")</f>
        <v>48</v>
      </c>
      <c r="P174">
        <f>IFERROR(VLOOKUP(D174,Products!A:F,4,0),"")</f>
        <v>1075</v>
      </c>
      <c r="Q174" t="b">
        <f>IFERROR(VLOOKUP(D174,Products!A:F,6,0),"")</f>
        <v>0</v>
      </c>
      <c r="R174">
        <f t="shared" si="6"/>
        <v>0.57171314741035861</v>
      </c>
      <c r="S174">
        <f t="shared" si="7"/>
        <v>1</v>
      </c>
      <c r="T174">
        <f>IF(AND(S174&gt;1,COUNTIF($A$2:A174,A174)=1),1,0)</f>
        <v>0</v>
      </c>
      <c r="U174">
        <f>COUNTIF(Customers!$A$2:$A$301,C174)</f>
        <v>1</v>
      </c>
      <c r="V174">
        <f t="shared" si="8"/>
        <v>0</v>
      </c>
    </row>
    <row r="175" spans="1:22" ht="14.25" customHeight="1" x14ac:dyDescent="0.35">
      <c r="A175" s="10" t="s">
        <v>448</v>
      </c>
      <c r="B175" s="11">
        <v>45306</v>
      </c>
      <c r="C175" s="10" t="s">
        <v>449</v>
      </c>
      <c r="D175" s="10" t="s">
        <v>137</v>
      </c>
      <c r="E175" s="10" t="s">
        <v>156</v>
      </c>
      <c r="F175" s="12">
        <v>1</v>
      </c>
      <c r="G175" s="12">
        <v>2720</v>
      </c>
      <c r="H175" s="12">
        <v>13.7</v>
      </c>
      <c r="I175" s="12">
        <v>2347.36</v>
      </c>
      <c r="J175" s="10" t="s">
        <v>51</v>
      </c>
      <c r="K175" s="10" t="s">
        <v>52</v>
      </c>
      <c r="L175" t="str">
        <f>IFERROR(VLOOKUP(D175,Products!A:F,3,0),"")</f>
        <v>Apparel</v>
      </c>
      <c r="M175" t="str">
        <f>IFERROR(VLOOKUP(E175,Sales_Reps!A:E,3,0),"")</f>
        <v>East</v>
      </c>
      <c r="N175" t="str">
        <f>IFERROR(VLOOKUP(C175,Customers!A:F,5,0),"")</f>
        <v>Retail</v>
      </c>
      <c r="O175">
        <f>IFERROR(VLOOKUP(C175,Customers!A:F,3,0),"")</f>
        <v>49</v>
      </c>
      <c r="P175">
        <f>IFERROR(VLOOKUP(D175,Products!A:F,4,0),"")</f>
        <v>1962</v>
      </c>
      <c r="Q175" t="b">
        <f>IFERROR(VLOOKUP(D175,Products!A:F,6,0),"")</f>
        <v>1</v>
      </c>
      <c r="R175">
        <f t="shared" si="6"/>
        <v>0.2786764705882353</v>
      </c>
      <c r="S175">
        <f t="shared" si="7"/>
        <v>1</v>
      </c>
      <c r="T175">
        <f>IF(AND(S175&gt;1,COUNTIF($A$2:A175,A175)=1),1,0)</f>
        <v>0</v>
      </c>
      <c r="U175">
        <f>COUNTIF(Customers!$A$2:$A$301,C175)</f>
        <v>1</v>
      </c>
      <c r="V175">
        <f t="shared" si="8"/>
        <v>0</v>
      </c>
    </row>
    <row r="176" spans="1:22" ht="14.25" customHeight="1" x14ac:dyDescent="0.35">
      <c r="A176" s="10" t="s">
        <v>450</v>
      </c>
      <c r="B176" s="11">
        <v>45546</v>
      </c>
      <c r="C176" s="10" t="s">
        <v>451</v>
      </c>
      <c r="D176" s="10" t="s">
        <v>61</v>
      </c>
      <c r="E176" s="10" t="s">
        <v>267</v>
      </c>
      <c r="F176" s="12">
        <v>9</v>
      </c>
      <c r="G176" s="12">
        <v>470</v>
      </c>
      <c r="H176" s="12">
        <v>23.6</v>
      </c>
      <c r="I176" s="12">
        <v>3231.72</v>
      </c>
      <c r="J176" s="10" t="s">
        <v>51</v>
      </c>
      <c r="K176" s="10" t="s">
        <v>52</v>
      </c>
      <c r="L176" t="str">
        <f>IFERROR(VLOOKUP(D176,Products!A:F,3,0),"")</f>
        <v>Sports</v>
      </c>
      <c r="M176" t="str">
        <f>IFERROR(VLOOKUP(E176,Sales_Reps!A:E,3,0),"")</f>
        <v>East</v>
      </c>
      <c r="N176" t="str">
        <f>IFERROR(VLOOKUP(C176,Customers!A:F,5,0),"")</f>
        <v>Corporate</v>
      </c>
      <c r="O176">
        <f>IFERROR(VLOOKUP(C176,Customers!A:F,3,0),"")</f>
        <v>29</v>
      </c>
      <c r="P176">
        <f>IFERROR(VLOOKUP(D176,Products!A:F,4,0),"")</f>
        <v>302</v>
      </c>
      <c r="Q176" t="b">
        <f>IFERROR(VLOOKUP(D176,Products!A:F,6,0),"")</f>
        <v>0</v>
      </c>
      <c r="R176">
        <f t="shared" si="6"/>
        <v>0.35744680851063831</v>
      </c>
      <c r="S176">
        <f t="shared" si="7"/>
        <v>1</v>
      </c>
      <c r="T176">
        <f>IF(AND(S176&gt;1,COUNTIF($A$2:A176,A176)=1),1,0)</f>
        <v>0</v>
      </c>
      <c r="U176">
        <f>COUNTIF(Customers!$A$2:$A$301,C176)</f>
        <v>1</v>
      </c>
      <c r="V176">
        <f t="shared" si="8"/>
        <v>0</v>
      </c>
    </row>
    <row r="177" spans="1:22" ht="14.25" customHeight="1" x14ac:dyDescent="0.35">
      <c r="A177" s="10" t="s">
        <v>452</v>
      </c>
      <c r="B177" s="11">
        <v>45633</v>
      </c>
      <c r="C177" s="10" t="s">
        <v>276</v>
      </c>
      <c r="D177" s="10" t="s">
        <v>107</v>
      </c>
      <c r="E177" s="10" t="s">
        <v>267</v>
      </c>
      <c r="F177" s="12">
        <v>10</v>
      </c>
      <c r="G177" s="12">
        <v>3250</v>
      </c>
      <c r="H177" s="12">
        <v>21</v>
      </c>
      <c r="I177" s="12">
        <v>25675</v>
      </c>
      <c r="J177" s="10" t="s">
        <v>104</v>
      </c>
      <c r="K177" s="10" t="s">
        <v>97</v>
      </c>
      <c r="L177" t="str">
        <f>IFERROR(VLOOKUP(D177,Products!A:F,3,0),"")</f>
        <v>Home</v>
      </c>
      <c r="M177" t="str">
        <f>IFERROR(VLOOKUP(E177,Sales_Reps!A:E,3,0),"")</f>
        <v>East</v>
      </c>
      <c r="N177" t="str">
        <f>IFERROR(VLOOKUP(C177,Customers!A:F,5,0),"")</f>
        <v>Retail</v>
      </c>
      <c r="O177">
        <f>IFERROR(VLOOKUP(C177,Customers!A:F,3,0),"")</f>
        <v>46</v>
      </c>
      <c r="P177">
        <f>IFERROR(VLOOKUP(D177,Products!A:F,4,0),"")</f>
        <v>1556</v>
      </c>
      <c r="Q177" t="b">
        <f>IFERROR(VLOOKUP(D177,Products!A:F,6,0),"")</f>
        <v>1</v>
      </c>
      <c r="R177">
        <f t="shared" si="6"/>
        <v>0.52123076923076928</v>
      </c>
      <c r="S177">
        <f t="shared" si="7"/>
        <v>1</v>
      </c>
      <c r="T177">
        <f>IF(AND(S177&gt;1,COUNTIF($A$2:A177,A177)=1),1,0)</f>
        <v>0</v>
      </c>
      <c r="U177">
        <f>COUNTIF(Customers!$A$2:$A$301,C177)</f>
        <v>1</v>
      </c>
      <c r="V177">
        <f t="shared" si="8"/>
        <v>0</v>
      </c>
    </row>
    <row r="178" spans="1:22" ht="14.25" customHeight="1" x14ac:dyDescent="0.35">
      <c r="A178" s="10" t="s">
        <v>453</v>
      </c>
      <c r="B178" s="11">
        <v>45649</v>
      </c>
      <c r="C178" s="10" t="s">
        <v>454</v>
      </c>
      <c r="D178" s="10" t="s">
        <v>407</v>
      </c>
      <c r="E178" s="10" t="s">
        <v>92</v>
      </c>
      <c r="F178" s="12">
        <v>6</v>
      </c>
      <c r="G178" s="12">
        <v>5080</v>
      </c>
      <c r="H178" s="12">
        <v>16.8</v>
      </c>
      <c r="I178" s="12">
        <v>25359.360000000001</v>
      </c>
      <c r="J178" s="10" t="s">
        <v>57</v>
      </c>
      <c r="K178" s="10" t="s">
        <v>63</v>
      </c>
      <c r="L178" t="str">
        <f>IFERROR(VLOOKUP(D178,Products!A:F,3,0),"")</f>
        <v>Home</v>
      </c>
      <c r="M178" t="str">
        <f>IFERROR(VLOOKUP(E178,Sales_Reps!A:E,3,0),"")</f>
        <v>West</v>
      </c>
      <c r="N178" t="str">
        <f>IFERROR(VLOOKUP(C178,Customers!A:F,5,0),"")</f>
        <v>Retail</v>
      </c>
      <c r="O178">
        <f>IFERROR(VLOOKUP(C178,Customers!A:F,3,0),"")</f>
        <v>59</v>
      </c>
      <c r="P178">
        <f>IFERROR(VLOOKUP(D178,Products!A:F,4,0),"")</f>
        <v>2459</v>
      </c>
      <c r="Q178" t="b">
        <f>IFERROR(VLOOKUP(D178,Products!A:F,6,0),"")</f>
        <v>1</v>
      </c>
      <c r="R178">
        <f t="shared" si="6"/>
        <v>0.51594488188976373</v>
      </c>
      <c r="S178">
        <f t="shared" si="7"/>
        <v>1</v>
      </c>
      <c r="T178">
        <f>IF(AND(S178&gt;1,COUNTIF($A$2:A178,A178)=1),1,0)</f>
        <v>0</v>
      </c>
      <c r="U178">
        <f>COUNTIF(Customers!$A$2:$A$301,C178)</f>
        <v>1</v>
      </c>
      <c r="V178">
        <f t="shared" si="8"/>
        <v>0</v>
      </c>
    </row>
    <row r="179" spans="1:22" ht="14.25" customHeight="1" x14ac:dyDescent="0.35">
      <c r="A179" s="10" t="s">
        <v>455</v>
      </c>
      <c r="B179" s="11">
        <v>45312</v>
      </c>
      <c r="C179" s="10" t="s">
        <v>406</v>
      </c>
      <c r="D179" s="10" t="s">
        <v>151</v>
      </c>
      <c r="E179" s="10" t="s">
        <v>289</v>
      </c>
      <c r="F179" s="12">
        <v>2</v>
      </c>
      <c r="G179" s="12">
        <v>3570</v>
      </c>
      <c r="H179" s="12">
        <v>6.7</v>
      </c>
      <c r="I179" s="12">
        <v>6661.62</v>
      </c>
      <c r="J179" s="10" t="s">
        <v>104</v>
      </c>
      <c r="K179" s="10" t="s">
        <v>52</v>
      </c>
      <c r="L179" t="str">
        <f>IFERROR(VLOOKUP(D179,Products!A:F,3,0),"")</f>
        <v>Electronics</v>
      </c>
      <c r="M179" t="str">
        <f>IFERROR(VLOOKUP(E179,Sales_Reps!A:E,3,0),"")</f>
        <v>South</v>
      </c>
      <c r="N179" t="str">
        <f>IFERROR(VLOOKUP(C179,Customers!A:F,5,0),"")</f>
        <v>Retail</v>
      </c>
      <c r="O179">
        <f>IFERROR(VLOOKUP(C179,Customers!A:F,3,0),"")</f>
        <v>65</v>
      </c>
      <c r="P179">
        <f>IFERROR(VLOOKUP(D179,Products!A:F,4,0),"")</f>
        <v>1665</v>
      </c>
      <c r="Q179" t="b">
        <f>IFERROR(VLOOKUP(D179,Products!A:F,6,0),"")</f>
        <v>1</v>
      </c>
      <c r="R179">
        <f t="shared" si="6"/>
        <v>0.53361344537815125</v>
      </c>
      <c r="S179">
        <f t="shared" si="7"/>
        <v>1</v>
      </c>
      <c r="T179">
        <f>IF(AND(S179&gt;1,COUNTIF($A$2:A179,A179)=1),1,0)</f>
        <v>0</v>
      </c>
      <c r="U179">
        <f>COUNTIF(Customers!$A$2:$A$301,C179)</f>
        <v>1</v>
      </c>
      <c r="V179">
        <f t="shared" si="8"/>
        <v>0</v>
      </c>
    </row>
    <row r="180" spans="1:22" ht="14.25" customHeight="1" x14ac:dyDescent="0.35">
      <c r="A180" s="10" t="s">
        <v>456</v>
      </c>
      <c r="B180" s="11">
        <v>45382</v>
      </c>
      <c r="C180" s="10" t="s">
        <v>457</v>
      </c>
      <c r="D180" s="10" t="s">
        <v>201</v>
      </c>
      <c r="E180" s="10" t="s">
        <v>289</v>
      </c>
      <c r="F180" s="12">
        <v>4</v>
      </c>
      <c r="G180" s="12">
        <v>3640</v>
      </c>
      <c r="H180" s="12">
        <v>18.399999999999999</v>
      </c>
      <c r="I180" s="12">
        <v>11880.96</v>
      </c>
      <c r="J180" s="10" t="s">
        <v>51</v>
      </c>
      <c r="K180" s="10" t="s">
        <v>52</v>
      </c>
      <c r="L180" t="str">
        <f>IFERROR(VLOOKUP(D180,Products!A:F,3,0),"")</f>
        <v>Apparel</v>
      </c>
      <c r="M180" t="str">
        <f>IFERROR(VLOOKUP(E180,Sales_Reps!A:E,3,0),"")</f>
        <v>South</v>
      </c>
      <c r="N180" t="str">
        <f>IFERROR(VLOOKUP(C180,Customers!A:F,5,0),"")</f>
        <v>Retail</v>
      </c>
      <c r="O180">
        <f>IFERROR(VLOOKUP(C180,Customers!A:F,3,0),"")</f>
        <v>57</v>
      </c>
      <c r="P180">
        <f>IFERROR(VLOOKUP(D180,Products!A:F,4,0),"")</f>
        <v>2611</v>
      </c>
      <c r="Q180" t="b">
        <f>IFERROR(VLOOKUP(D180,Products!A:F,6,0),"")</f>
        <v>1</v>
      </c>
      <c r="R180">
        <f t="shared" si="6"/>
        <v>0.28269230769230769</v>
      </c>
      <c r="S180">
        <f t="shared" si="7"/>
        <v>1</v>
      </c>
      <c r="T180">
        <f>IF(AND(S180&gt;1,COUNTIF($A$2:A180,A180)=1),1,0)</f>
        <v>0</v>
      </c>
      <c r="U180">
        <f>COUNTIF(Customers!$A$2:$A$301,C180)</f>
        <v>1</v>
      </c>
      <c r="V180">
        <f t="shared" si="8"/>
        <v>0</v>
      </c>
    </row>
    <row r="181" spans="1:22" ht="14.25" customHeight="1" x14ac:dyDescent="0.35">
      <c r="A181" s="10" t="s">
        <v>458</v>
      </c>
      <c r="B181" s="11">
        <v>45524</v>
      </c>
      <c r="C181" s="10" t="s">
        <v>114</v>
      </c>
      <c r="D181" s="10" t="s">
        <v>228</v>
      </c>
      <c r="E181" s="10" t="s">
        <v>179</v>
      </c>
      <c r="F181" s="12">
        <v>8</v>
      </c>
      <c r="G181" s="12">
        <v>4070</v>
      </c>
      <c r="H181" s="12">
        <v>6.6</v>
      </c>
      <c r="I181" s="12">
        <v>30411.040000000001</v>
      </c>
      <c r="J181" s="10" t="s">
        <v>51</v>
      </c>
      <c r="K181" s="10" t="s">
        <v>52</v>
      </c>
      <c r="L181" t="str">
        <f>IFERROR(VLOOKUP(D181,Products!A:F,3,0),"")</f>
        <v>Grocery</v>
      </c>
      <c r="M181" t="str">
        <f>IFERROR(VLOOKUP(E181,Sales_Reps!A:E,3,0),"")</f>
        <v>North</v>
      </c>
      <c r="N181" t="str">
        <f>IFERROR(VLOOKUP(C181,Customers!A:F,5,0),"")</f>
        <v>Retail</v>
      </c>
      <c r="O181">
        <f>IFERROR(VLOOKUP(C181,Customers!A:F,3,0),"")</f>
        <v>63</v>
      </c>
      <c r="P181">
        <f>IFERROR(VLOOKUP(D181,Products!A:F,4,0),"")</f>
        <v>2027</v>
      </c>
      <c r="Q181" t="b">
        <f>IFERROR(VLOOKUP(D181,Products!A:F,6,0),"")</f>
        <v>1</v>
      </c>
      <c r="R181">
        <f t="shared" si="6"/>
        <v>0.50196560196560192</v>
      </c>
      <c r="S181">
        <f t="shared" si="7"/>
        <v>1</v>
      </c>
      <c r="T181">
        <f>IF(AND(S181&gt;1,COUNTIF($A$2:A181,A181)=1),1,0)</f>
        <v>0</v>
      </c>
      <c r="U181">
        <f>COUNTIF(Customers!$A$2:$A$301,C181)</f>
        <v>1</v>
      </c>
      <c r="V181">
        <f t="shared" si="8"/>
        <v>0</v>
      </c>
    </row>
    <row r="182" spans="1:22" ht="14.25" customHeight="1" x14ac:dyDescent="0.35">
      <c r="A182" s="10" t="s">
        <v>459</v>
      </c>
      <c r="B182" s="11">
        <v>45392</v>
      </c>
      <c r="C182" s="10" t="s">
        <v>133</v>
      </c>
      <c r="D182" s="10" t="s">
        <v>416</v>
      </c>
      <c r="E182" s="10" t="s">
        <v>289</v>
      </c>
      <c r="F182" s="12">
        <v>6</v>
      </c>
      <c r="G182" s="12">
        <v>3450</v>
      </c>
      <c r="H182" s="12">
        <v>14.4</v>
      </c>
      <c r="I182" s="12">
        <v>17719.2</v>
      </c>
      <c r="J182" s="10" t="s">
        <v>57</v>
      </c>
      <c r="K182" s="10" t="s">
        <v>76</v>
      </c>
      <c r="L182" t="str">
        <f>IFERROR(VLOOKUP(D182,Products!A:F,3,0),"")</f>
        <v>Apparel</v>
      </c>
      <c r="M182" t="str">
        <f>IFERROR(VLOOKUP(E182,Sales_Reps!A:E,3,0),"")</f>
        <v>South</v>
      </c>
      <c r="N182" t="str">
        <f>IFERROR(VLOOKUP(C182,Customers!A:F,5,0),"")</f>
        <v>Retail</v>
      </c>
      <c r="O182">
        <f>IFERROR(VLOOKUP(C182,Customers!A:F,3,0),"")</f>
        <v>34</v>
      </c>
      <c r="P182">
        <f>IFERROR(VLOOKUP(D182,Products!A:F,4,0),"")</f>
        <v>1748</v>
      </c>
      <c r="Q182" t="b">
        <f>IFERROR(VLOOKUP(D182,Products!A:F,6,0),"")</f>
        <v>1</v>
      </c>
      <c r="R182">
        <f t="shared" si="6"/>
        <v>0.49333333333333335</v>
      </c>
      <c r="S182">
        <f t="shared" si="7"/>
        <v>1</v>
      </c>
      <c r="T182">
        <f>IF(AND(S182&gt;1,COUNTIF($A$2:A182,A182)=1),1,0)</f>
        <v>0</v>
      </c>
      <c r="U182">
        <f>COUNTIF(Customers!$A$2:$A$301,C182)</f>
        <v>1</v>
      </c>
      <c r="V182">
        <f t="shared" si="8"/>
        <v>0</v>
      </c>
    </row>
    <row r="183" spans="1:22" ht="14.25" customHeight="1" x14ac:dyDescent="0.35">
      <c r="A183" s="10" t="s">
        <v>460</v>
      </c>
      <c r="B183" s="11">
        <v>45443</v>
      </c>
      <c r="C183" s="10" t="s">
        <v>94</v>
      </c>
      <c r="D183" s="10" t="s">
        <v>407</v>
      </c>
      <c r="E183" s="10" t="s">
        <v>193</v>
      </c>
      <c r="F183" s="12">
        <v>7</v>
      </c>
      <c r="G183" s="12">
        <v>5080</v>
      </c>
      <c r="H183" s="12">
        <v>25.4</v>
      </c>
      <c r="I183" s="12">
        <v>26527.759999999998</v>
      </c>
      <c r="J183" s="10" t="s">
        <v>57</v>
      </c>
      <c r="K183" s="10" t="s">
        <v>97</v>
      </c>
      <c r="L183" t="str">
        <f>IFERROR(VLOOKUP(D183,Products!A:F,3,0),"")</f>
        <v>Home</v>
      </c>
      <c r="M183" t="str">
        <f>IFERROR(VLOOKUP(E183,Sales_Reps!A:E,3,0),"")</f>
        <v>West</v>
      </c>
      <c r="N183" t="str">
        <f>IFERROR(VLOOKUP(C183,Customers!A:F,5,0),"")</f>
        <v>Retail</v>
      </c>
      <c r="O183">
        <f>IFERROR(VLOOKUP(C183,Customers!A:F,3,0),"")</f>
        <v>60</v>
      </c>
      <c r="P183">
        <f>IFERROR(VLOOKUP(D183,Products!A:F,4,0),"")</f>
        <v>2459</v>
      </c>
      <c r="Q183" t="b">
        <f>IFERROR(VLOOKUP(D183,Products!A:F,6,0),"")</f>
        <v>1</v>
      </c>
      <c r="R183">
        <f t="shared" si="6"/>
        <v>0.51594488188976373</v>
      </c>
      <c r="S183">
        <f t="shared" si="7"/>
        <v>1</v>
      </c>
      <c r="T183">
        <f>IF(AND(S183&gt;1,COUNTIF($A$2:A183,A183)=1),1,0)</f>
        <v>0</v>
      </c>
      <c r="U183">
        <f>COUNTIF(Customers!$A$2:$A$301,C183)</f>
        <v>1</v>
      </c>
      <c r="V183">
        <f t="shared" si="8"/>
        <v>0</v>
      </c>
    </row>
    <row r="184" spans="1:22" ht="14.25" customHeight="1" x14ac:dyDescent="0.35">
      <c r="A184" s="10" t="s">
        <v>461</v>
      </c>
      <c r="B184" s="11">
        <v>45333</v>
      </c>
      <c r="C184" s="10" t="s">
        <v>288</v>
      </c>
      <c r="D184" s="10" t="s">
        <v>164</v>
      </c>
      <c r="E184" s="10" t="s">
        <v>92</v>
      </c>
      <c r="F184" s="12">
        <v>10</v>
      </c>
      <c r="G184" s="12">
        <v>2760</v>
      </c>
      <c r="H184" s="12">
        <v>20.100000000000001</v>
      </c>
      <c r="I184" s="12">
        <v>22052.400000000001</v>
      </c>
      <c r="J184" s="10" t="s">
        <v>51</v>
      </c>
      <c r="K184" s="10" t="s">
        <v>97</v>
      </c>
      <c r="L184" t="str">
        <f>IFERROR(VLOOKUP(D184,Products!A:F,3,0),"")</f>
        <v>Grocery</v>
      </c>
      <c r="M184" t="str">
        <f>IFERROR(VLOOKUP(E184,Sales_Reps!A:E,3,0),"")</f>
        <v>West</v>
      </c>
      <c r="N184" t="str">
        <f>IFERROR(VLOOKUP(C184,Customers!A:F,5,0),"")</f>
        <v>Retail</v>
      </c>
      <c r="O184">
        <f>IFERROR(VLOOKUP(C184,Customers!A:F,3,0),"")</f>
        <v>28</v>
      </c>
      <c r="P184">
        <f>IFERROR(VLOOKUP(D184,Products!A:F,4,0),"")</f>
        <v>1435</v>
      </c>
      <c r="Q184" t="b">
        <f>IFERROR(VLOOKUP(D184,Products!A:F,6,0),"")</f>
        <v>1</v>
      </c>
      <c r="R184">
        <f t="shared" si="6"/>
        <v>0.48007246376811596</v>
      </c>
      <c r="S184">
        <f t="shared" si="7"/>
        <v>1</v>
      </c>
      <c r="T184">
        <f>IF(AND(S184&gt;1,COUNTIF($A$2:A184,A184)=1),1,0)</f>
        <v>0</v>
      </c>
      <c r="U184">
        <f>COUNTIF(Customers!$A$2:$A$301,C184)</f>
        <v>1</v>
      </c>
      <c r="V184">
        <f t="shared" si="8"/>
        <v>0</v>
      </c>
    </row>
    <row r="185" spans="1:22" ht="14.25" customHeight="1" x14ac:dyDescent="0.35">
      <c r="A185" s="10" t="s">
        <v>462</v>
      </c>
      <c r="B185" s="11">
        <v>45456</v>
      </c>
      <c r="C185" s="10" t="s">
        <v>375</v>
      </c>
      <c r="D185" s="10" t="s">
        <v>140</v>
      </c>
      <c r="E185" s="10" t="s">
        <v>310</v>
      </c>
      <c r="F185" s="12">
        <v>6</v>
      </c>
      <c r="G185" s="12">
        <v>1650</v>
      </c>
      <c r="H185" s="12">
        <v>11.3</v>
      </c>
      <c r="I185" s="12">
        <v>8781.2999999999993</v>
      </c>
      <c r="J185" s="10" t="s">
        <v>57</v>
      </c>
      <c r="K185" s="10" t="s">
        <v>76</v>
      </c>
      <c r="L185" t="str">
        <f>IFERROR(VLOOKUP(D185,Products!A:F,3,0),"")</f>
        <v>Beauty</v>
      </c>
      <c r="M185" t="str">
        <f>IFERROR(VLOOKUP(E185,Sales_Reps!A:E,3,0),"")</f>
        <v>South</v>
      </c>
      <c r="N185" t="str">
        <f>IFERROR(VLOOKUP(C185,Customers!A:F,5,0),"")</f>
        <v>Retail</v>
      </c>
      <c r="O185">
        <f>IFERROR(VLOOKUP(C185,Customers!A:F,3,0),"")</f>
        <v>61</v>
      </c>
      <c r="P185">
        <f>IFERROR(VLOOKUP(D185,Products!A:F,4,0),"")</f>
        <v>1222</v>
      </c>
      <c r="Q185" t="b">
        <f>IFERROR(VLOOKUP(D185,Products!A:F,6,0),"")</f>
        <v>1</v>
      </c>
      <c r="R185">
        <f t="shared" si="6"/>
        <v>0.2593939393939394</v>
      </c>
      <c r="S185">
        <f t="shared" si="7"/>
        <v>1</v>
      </c>
      <c r="T185">
        <f>IF(AND(S185&gt;1,COUNTIF($A$2:A185,A185)=1),1,0)</f>
        <v>0</v>
      </c>
      <c r="U185">
        <f>COUNTIF(Customers!$A$2:$A$301,C185)</f>
        <v>1</v>
      </c>
      <c r="V185">
        <f t="shared" si="8"/>
        <v>0</v>
      </c>
    </row>
    <row r="186" spans="1:22" ht="14.25" customHeight="1" x14ac:dyDescent="0.35">
      <c r="A186" s="10" t="s">
        <v>463</v>
      </c>
      <c r="B186" s="11">
        <v>45295</v>
      </c>
      <c r="C186" s="10" t="s">
        <v>258</v>
      </c>
      <c r="D186" s="10" t="s">
        <v>212</v>
      </c>
      <c r="E186" s="10" t="s">
        <v>50</v>
      </c>
      <c r="F186" s="12">
        <v>9</v>
      </c>
      <c r="G186" s="12">
        <v>3870</v>
      </c>
      <c r="H186" s="12">
        <v>27.5</v>
      </c>
      <c r="I186" s="12">
        <v>25251.75</v>
      </c>
      <c r="J186" s="10" t="s">
        <v>51</v>
      </c>
      <c r="K186" s="10" t="s">
        <v>97</v>
      </c>
      <c r="L186" t="str">
        <f>IFERROR(VLOOKUP(D186,Products!A:F,3,0),"")</f>
        <v>Electronics</v>
      </c>
      <c r="M186" t="str">
        <f>IFERROR(VLOOKUP(E186,Sales_Reps!A:E,3,0),"")</f>
        <v>North</v>
      </c>
      <c r="N186" t="str">
        <f>IFERROR(VLOOKUP(C186,Customers!A:F,5,0),"")</f>
        <v>SMB</v>
      </c>
      <c r="O186">
        <f>IFERROR(VLOOKUP(C186,Customers!A:F,3,0),"")</f>
        <v>43</v>
      </c>
      <c r="P186">
        <f>IFERROR(VLOOKUP(D186,Products!A:F,4,0),"")</f>
        <v>1559</v>
      </c>
      <c r="Q186" t="b">
        <f>IFERROR(VLOOKUP(D186,Products!A:F,6,0),"")</f>
        <v>1</v>
      </c>
      <c r="R186">
        <f t="shared" si="6"/>
        <v>0.59715762273901807</v>
      </c>
      <c r="S186">
        <f t="shared" si="7"/>
        <v>1</v>
      </c>
      <c r="T186">
        <f>IF(AND(S186&gt;1,COUNTIF($A$2:A186,A186)=1),1,0)</f>
        <v>0</v>
      </c>
      <c r="U186">
        <f>COUNTIF(Customers!$A$2:$A$301,C186)</f>
        <v>1</v>
      </c>
      <c r="V186">
        <f t="shared" si="8"/>
        <v>0</v>
      </c>
    </row>
    <row r="187" spans="1:22" ht="14.25" customHeight="1" x14ac:dyDescent="0.35">
      <c r="A187" s="10" t="s">
        <v>464</v>
      </c>
      <c r="B187" s="11">
        <v>45532</v>
      </c>
      <c r="C187" s="10" t="s">
        <v>465</v>
      </c>
      <c r="D187" s="10" t="s">
        <v>466</v>
      </c>
      <c r="E187" s="10" t="s">
        <v>249</v>
      </c>
      <c r="F187" s="12">
        <v>2</v>
      </c>
      <c r="G187" s="12">
        <v>1090</v>
      </c>
      <c r="H187" s="12">
        <v>18.7</v>
      </c>
      <c r="I187" s="12">
        <v>1772.34</v>
      </c>
      <c r="J187" s="10" t="s">
        <v>108</v>
      </c>
      <c r="K187" s="10" t="s">
        <v>97</v>
      </c>
      <c r="L187" t="str">
        <f>IFERROR(VLOOKUP(D187,Products!A:F,3,0),"")</f>
        <v>Home</v>
      </c>
      <c r="M187" t="str">
        <f>IFERROR(VLOOKUP(E187,Sales_Reps!A:E,3,0),"")</f>
        <v>East</v>
      </c>
      <c r="N187" t="str">
        <f>IFERROR(VLOOKUP(C187,Customers!A:F,5,0),"")</f>
        <v>SMB</v>
      </c>
      <c r="O187">
        <f>IFERROR(VLOOKUP(C187,Customers!A:F,3,0),"")</f>
        <v>65</v>
      </c>
      <c r="P187">
        <f>IFERROR(VLOOKUP(D187,Products!A:F,4,0),"")</f>
        <v>464</v>
      </c>
      <c r="Q187" t="b">
        <f>IFERROR(VLOOKUP(D187,Products!A:F,6,0),"")</f>
        <v>1</v>
      </c>
      <c r="R187">
        <f t="shared" si="6"/>
        <v>0.57431192660550456</v>
      </c>
      <c r="S187">
        <f t="shared" si="7"/>
        <v>1</v>
      </c>
      <c r="T187">
        <f>IF(AND(S187&gt;1,COUNTIF($A$2:A187,A187)=1),1,0)</f>
        <v>0</v>
      </c>
      <c r="U187">
        <f>COUNTIF(Customers!$A$2:$A$301,C187)</f>
        <v>1</v>
      </c>
      <c r="V187">
        <f t="shared" si="8"/>
        <v>0</v>
      </c>
    </row>
    <row r="188" spans="1:22" ht="14.25" customHeight="1" x14ac:dyDescent="0.35">
      <c r="A188" s="10" t="s">
        <v>467</v>
      </c>
      <c r="B188" s="11">
        <v>45564</v>
      </c>
      <c r="C188" s="10" t="s">
        <v>468</v>
      </c>
      <c r="D188" s="10" t="s">
        <v>344</v>
      </c>
      <c r="E188" s="10" t="s">
        <v>75</v>
      </c>
      <c r="F188" s="12">
        <v>4</v>
      </c>
      <c r="G188" s="12">
        <v>960</v>
      </c>
      <c r="H188" s="12">
        <v>23.4</v>
      </c>
      <c r="I188" s="12">
        <v>2941.44</v>
      </c>
      <c r="J188" s="10" t="s">
        <v>51</v>
      </c>
      <c r="K188" s="10" t="s">
        <v>81</v>
      </c>
      <c r="L188" t="str">
        <f>IFERROR(VLOOKUP(D188,Products!A:F,3,0),"")</f>
        <v>Beauty</v>
      </c>
      <c r="M188" t="str">
        <f>IFERROR(VLOOKUP(E188,Sales_Reps!A:E,3,0),"")</f>
        <v>West</v>
      </c>
      <c r="N188" t="str">
        <f>IFERROR(VLOOKUP(C188,Customers!A:F,5,0),"")</f>
        <v>Corporate</v>
      </c>
      <c r="O188">
        <f>IFERROR(VLOOKUP(C188,Customers!A:F,3,0),"")</f>
        <v>36</v>
      </c>
      <c r="P188">
        <f>IFERROR(VLOOKUP(D188,Products!A:F,4,0),"")</f>
        <v>675</v>
      </c>
      <c r="Q188" t="b">
        <f>IFERROR(VLOOKUP(D188,Products!A:F,6,0),"")</f>
        <v>1</v>
      </c>
      <c r="R188">
        <f t="shared" si="6"/>
        <v>0.296875</v>
      </c>
      <c r="S188">
        <f t="shared" si="7"/>
        <v>1</v>
      </c>
      <c r="T188">
        <f>IF(AND(S188&gt;1,COUNTIF($A$2:A188,A188)=1),1,0)</f>
        <v>0</v>
      </c>
      <c r="U188">
        <f>COUNTIF(Customers!$A$2:$A$301,C188)</f>
        <v>1</v>
      </c>
      <c r="V188">
        <f t="shared" si="8"/>
        <v>0</v>
      </c>
    </row>
    <row r="189" spans="1:22" ht="14.25" customHeight="1" x14ac:dyDescent="0.35">
      <c r="A189" s="10" t="s">
        <v>469</v>
      </c>
      <c r="B189" s="11">
        <v>45539</v>
      </c>
      <c r="C189" s="10" t="s">
        <v>211</v>
      </c>
      <c r="D189" s="10" t="s">
        <v>143</v>
      </c>
      <c r="E189" s="10" t="s">
        <v>122</v>
      </c>
      <c r="F189" s="12">
        <v>3</v>
      </c>
      <c r="G189" s="12">
        <v>3350</v>
      </c>
      <c r="H189" s="12">
        <v>17.899999999999999</v>
      </c>
      <c r="I189" s="12">
        <v>8251.0499999999993</v>
      </c>
      <c r="J189" s="10" t="s">
        <v>51</v>
      </c>
      <c r="K189" s="10" t="s">
        <v>81</v>
      </c>
      <c r="L189" t="str">
        <f>IFERROR(VLOOKUP(D189,Products!A:F,3,0),"")</f>
        <v>Beauty</v>
      </c>
      <c r="M189" t="str">
        <f>IFERROR(VLOOKUP(E189,Sales_Reps!A:E,3,0),"")</f>
        <v>East</v>
      </c>
      <c r="N189" t="str">
        <f>IFERROR(VLOOKUP(C189,Customers!A:F,5,0),"")</f>
        <v>Retail</v>
      </c>
      <c r="O189">
        <f>IFERROR(VLOOKUP(C189,Customers!A:F,3,0),"")</f>
        <v>34</v>
      </c>
      <c r="P189">
        <f>IFERROR(VLOOKUP(D189,Products!A:F,4,0),"")</f>
        <v>1728</v>
      </c>
      <c r="Q189" t="b">
        <f>IFERROR(VLOOKUP(D189,Products!A:F,6,0),"")</f>
        <v>1</v>
      </c>
      <c r="R189">
        <f t="shared" si="6"/>
        <v>0.48417910447761192</v>
      </c>
      <c r="S189">
        <f t="shared" si="7"/>
        <v>1</v>
      </c>
      <c r="T189">
        <f>IF(AND(S189&gt;1,COUNTIF($A$2:A189,A189)=1),1,0)</f>
        <v>0</v>
      </c>
      <c r="U189">
        <f>COUNTIF(Customers!$A$2:$A$301,C189)</f>
        <v>1</v>
      </c>
      <c r="V189">
        <f t="shared" si="8"/>
        <v>0</v>
      </c>
    </row>
    <row r="190" spans="1:22" ht="14.25" customHeight="1" x14ac:dyDescent="0.35">
      <c r="A190" s="10" t="s">
        <v>470</v>
      </c>
      <c r="B190" s="11">
        <v>45605</v>
      </c>
      <c r="C190" s="10" t="s">
        <v>471</v>
      </c>
      <c r="D190" s="10" t="s">
        <v>209</v>
      </c>
      <c r="E190" s="10" t="s">
        <v>56</v>
      </c>
      <c r="F190" s="12">
        <v>4</v>
      </c>
      <c r="G190" s="12">
        <v>2270</v>
      </c>
      <c r="H190" s="12">
        <v>29</v>
      </c>
      <c r="I190" s="12">
        <v>6446.8</v>
      </c>
      <c r="J190" s="10" t="s">
        <v>51</v>
      </c>
      <c r="K190" s="10" t="s">
        <v>52</v>
      </c>
      <c r="L190" t="str">
        <f>IFERROR(VLOOKUP(D190,Products!A:F,3,0),"")</f>
        <v>Grocery</v>
      </c>
      <c r="M190" t="str">
        <f>IFERROR(VLOOKUP(E190,Sales_Reps!A:E,3,0),"")</f>
        <v>North</v>
      </c>
      <c r="N190" t="str">
        <f>IFERROR(VLOOKUP(C190,Customers!A:F,5,0),"")</f>
        <v>Retail</v>
      </c>
      <c r="O190">
        <f>IFERROR(VLOOKUP(C190,Customers!A:F,3,0),"")</f>
        <v>59</v>
      </c>
      <c r="P190">
        <f>IFERROR(VLOOKUP(D190,Products!A:F,4,0),"")</f>
        <v>1412</v>
      </c>
      <c r="Q190" t="b">
        <f>IFERROR(VLOOKUP(D190,Products!A:F,6,0),"")</f>
        <v>1</v>
      </c>
      <c r="R190">
        <f t="shared" si="6"/>
        <v>0.37797356828193834</v>
      </c>
      <c r="S190">
        <f t="shared" si="7"/>
        <v>1</v>
      </c>
      <c r="T190">
        <f>IF(AND(S190&gt;1,COUNTIF($A$2:A190,A190)=1),1,0)</f>
        <v>0</v>
      </c>
      <c r="U190">
        <f>COUNTIF(Customers!$A$2:$A$301,C190)</f>
        <v>1</v>
      </c>
      <c r="V190">
        <f t="shared" si="8"/>
        <v>0</v>
      </c>
    </row>
    <row r="191" spans="1:22" ht="14.25" customHeight="1" x14ac:dyDescent="0.35">
      <c r="A191" s="10" t="s">
        <v>472</v>
      </c>
      <c r="B191" s="11">
        <v>45460</v>
      </c>
      <c r="C191" s="10" t="s">
        <v>393</v>
      </c>
      <c r="D191" s="10" t="s">
        <v>234</v>
      </c>
      <c r="E191" s="10" t="s">
        <v>118</v>
      </c>
      <c r="F191" s="12">
        <v>9</v>
      </c>
      <c r="G191" s="12">
        <v>4610</v>
      </c>
      <c r="H191" s="12">
        <v>28.3</v>
      </c>
      <c r="I191" s="12">
        <v>29748.33</v>
      </c>
      <c r="J191" s="10" t="s">
        <v>57</v>
      </c>
      <c r="K191" s="10" t="s">
        <v>81</v>
      </c>
      <c r="L191" t="str">
        <f>IFERROR(VLOOKUP(D191,Products!A:F,3,0),"")</f>
        <v>Home</v>
      </c>
      <c r="M191" t="str">
        <f>IFERROR(VLOOKUP(E191,Sales_Reps!A:E,3,0),"")</f>
        <v>East</v>
      </c>
      <c r="N191" t="str">
        <f>IFERROR(VLOOKUP(C191,Customers!A:F,5,0),"")</f>
        <v>Retail</v>
      </c>
      <c r="O191">
        <f>IFERROR(VLOOKUP(C191,Customers!A:F,3,0),"")</f>
        <v>55</v>
      </c>
      <c r="P191">
        <f>IFERROR(VLOOKUP(D191,Products!A:F,4,0),"")</f>
        <v>1850</v>
      </c>
      <c r="Q191" t="b">
        <f>IFERROR(VLOOKUP(D191,Products!A:F,6,0),"")</f>
        <v>1</v>
      </c>
      <c r="R191">
        <f t="shared" si="6"/>
        <v>0.59869848156182215</v>
      </c>
      <c r="S191">
        <f t="shared" si="7"/>
        <v>1</v>
      </c>
      <c r="T191">
        <f>IF(AND(S191&gt;1,COUNTIF($A$2:A191,A191)=1),1,0)</f>
        <v>0</v>
      </c>
      <c r="U191">
        <f>COUNTIF(Customers!$A$2:$A$301,C191)</f>
        <v>1</v>
      </c>
      <c r="V191">
        <f t="shared" si="8"/>
        <v>0</v>
      </c>
    </row>
    <row r="192" spans="1:22" ht="14.25" customHeight="1" x14ac:dyDescent="0.35">
      <c r="A192" s="10" t="s">
        <v>473</v>
      </c>
      <c r="B192" s="11">
        <v>45538</v>
      </c>
      <c r="C192" s="10" t="s">
        <v>474</v>
      </c>
      <c r="D192" s="10" t="s">
        <v>70</v>
      </c>
      <c r="E192" s="10" t="s">
        <v>168</v>
      </c>
      <c r="F192" s="12">
        <v>3</v>
      </c>
      <c r="G192" s="12">
        <v>3160</v>
      </c>
      <c r="H192" s="12">
        <v>7.3</v>
      </c>
      <c r="I192" s="12">
        <v>8787.9599999999991</v>
      </c>
      <c r="J192" s="10" t="s">
        <v>51</v>
      </c>
      <c r="K192" s="10" t="s">
        <v>81</v>
      </c>
      <c r="L192" t="str">
        <f>IFERROR(VLOOKUP(D192,Products!A:F,3,0),"")</f>
        <v>Apparel</v>
      </c>
      <c r="M192" t="str">
        <f>IFERROR(VLOOKUP(E192,Sales_Reps!A:E,3,0),"")</f>
        <v>South</v>
      </c>
      <c r="N192" t="str">
        <f>IFERROR(VLOOKUP(C192,Customers!A:F,5,0),"")</f>
        <v>SMB</v>
      </c>
      <c r="O192">
        <f>IFERROR(VLOOKUP(C192,Customers!A:F,3,0),"")</f>
        <v>26</v>
      </c>
      <c r="P192">
        <f>IFERROR(VLOOKUP(D192,Products!A:F,4,0),"")</f>
        <v>1886</v>
      </c>
      <c r="Q192" t="b">
        <f>IFERROR(VLOOKUP(D192,Products!A:F,6,0),"")</f>
        <v>1</v>
      </c>
      <c r="R192">
        <f t="shared" si="6"/>
        <v>0.4031645569620253</v>
      </c>
      <c r="S192">
        <f t="shared" si="7"/>
        <v>1</v>
      </c>
      <c r="T192">
        <f>IF(AND(S192&gt;1,COUNTIF($A$2:A192,A192)=1),1,0)</f>
        <v>0</v>
      </c>
      <c r="U192">
        <f>COUNTIF(Customers!$A$2:$A$301,C192)</f>
        <v>1</v>
      </c>
      <c r="V192">
        <f t="shared" si="8"/>
        <v>0</v>
      </c>
    </row>
    <row r="193" spans="1:22" ht="14.25" customHeight="1" x14ac:dyDescent="0.35">
      <c r="A193" s="10" t="s">
        <v>475</v>
      </c>
      <c r="B193" s="11">
        <v>45573</v>
      </c>
      <c r="C193" s="10" t="s">
        <v>476</v>
      </c>
      <c r="D193" s="10" t="s">
        <v>209</v>
      </c>
      <c r="E193" s="10" t="s">
        <v>103</v>
      </c>
      <c r="F193" s="12">
        <v>8</v>
      </c>
      <c r="G193" s="12">
        <v>2270</v>
      </c>
      <c r="H193" s="12">
        <v>15.6</v>
      </c>
      <c r="I193" s="12">
        <v>15327.04</v>
      </c>
      <c r="J193" s="10" t="s">
        <v>51</v>
      </c>
      <c r="K193" s="10" t="s">
        <v>97</v>
      </c>
      <c r="L193" t="str">
        <f>IFERROR(VLOOKUP(D193,Products!A:F,3,0),"")</f>
        <v>Grocery</v>
      </c>
      <c r="M193" t="str">
        <f>IFERROR(VLOOKUP(E193,Sales_Reps!A:E,3,0),"")</f>
        <v>North</v>
      </c>
      <c r="N193" t="str">
        <f>IFERROR(VLOOKUP(C193,Customers!A:F,5,0),"")</f>
        <v>Retail</v>
      </c>
      <c r="O193">
        <f>IFERROR(VLOOKUP(C193,Customers!A:F,3,0),"")</f>
        <v>61</v>
      </c>
      <c r="P193">
        <f>IFERROR(VLOOKUP(D193,Products!A:F,4,0),"")</f>
        <v>1412</v>
      </c>
      <c r="Q193" t="b">
        <f>IFERROR(VLOOKUP(D193,Products!A:F,6,0),"")</f>
        <v>1</v>
      </c>
      <c r="R193">
        <f t="shared" si="6"/>
        <v>0.37797356828193834</v>
      </c>
      <c r="S193">
        <f t="shared" si="7"/>
        <v>1</v>
      </c>
      <c r="T193">
        <f>IF(AND(S193&gt;1,COUNTIF($A$2:A193,A193)=1),1,0)</f>
        <v>0</v>
      </c>
      <c r="U193">
        <f>COUNTIF(Customers!$A$2:$A$301,C193)</f>
        <v>1</v>
      </c>
      <c r="V193">
        <f t="shared" si="8"/>
        <v>0</v>
      </c>
    </row>
    <row r="194" spans="1:22" ht="14.25" customHeight="1" x14ac:dyDescent="0.35">
      <c r="A194" s="10" t="s">
        <v>477</v>
      </c>
      <c r="B194" s="11">
        <v>45483</v>
      </c>
      <c r="C194" s="10" t="s">
        <v>90</v>
      </c>
      <c r="D194" s="10" t="s">
        <v>240</v>
      </c>
      <c r="E194" s="10" t="s">
        <v>92</v>
      </c>
      <c r="F194" s="12">
        <v>8</v>
      </c>
      <c r="G194" s="12">
        <v>3020</v>
      </c>
      <c r="H194" s="12">
        <v>16.3</v>
      </c>
      <c r="I194" s="12">
        <v>20221.919999999998</v>
      </c>
      <c r="J194" s="10" t="s">
        <v>104</v>
      </c>
      <c r="K194" s="10" t="s">
        <v>52</v>
      </c>
      <c r="L194" t="str">
        <f>IFERROR(VLOOKUP(D194,Products!A:F,3,0),"")</f>
        <v>Beauty</v>
      </c>
      <c r="M194" t="str">
        <f>IFERROR(VLOOKUP(E194,Sales_Reps!A:E,3,0),"")</f>
        <v>West</v>
      </c>
      <c r="N194" t="str">
        <f>IFERROR(VLOOKUP(C194,Customers!A:F,5,0),"")</f>
        <v>Retail</v>
      </c>
      <c r="O194">
        <f>IFERROR(VLOOKUP(C194,Customers!A:F,3,0),"")</f>
        <v>56</v>
      </c>
      <c r="P194">
        <f>IFERROR(VLOOKUP(D194,Products!A:F,4,0),"")</f>
        <v>1626</v>
      </c>
      <c r="Q194" t="b">
        <f>IFERROR(VLOOKUP(D194,Products!A:F,6,0),"")</f>
        <v>1</v>
      </c>
      <c r="R194">
        <f t="shared" ref="R194:R257" si="9">IFERROR((G194-P194)/G194,"")</f>
        <v>0.46158940397350995</v>
      </c>
      <c r="S194">
        <f t="shared" ref="S194:S257" si="10">COUNTIF($A$2:$A$2001,A194)</f>
        <v>1</v>
      </c>
      <c r="T194">
        <f>IF(AND(S194&gt;1,COUNTIF($A$2:A194,A194)=1),1,0)</f>
        <v>0</v>
      </c>
      <c r="U194">
        <f>COUNTIF(Customers!$A$2:$A$301,C194)</f>
        <v>1</v>
      </c>
      <c r="V194">
        <f t="shared" ref="V194:V257" si="11">IF(AND(K194="Bengaluru",L194="Grocery"),I194,0)</f>
        <v>0</v>
      </c>
    </row>
    <row r="195" spans="1:22" ht="14.25" customHeight="1" x14ac:dyDescent="0.35">
      <c r="A195" s="10" t="s">
        <v>478</v>
      </c>
      <c r="B195" s="11">
        <v>45617</v>
      </c>
      <c r="C195" s="10" t="s">
        <v>117</v>
      </c>
      <c r="D195" s="10" t="s">
        <v>479</v>
      </c>
      <c r="E195" s="10" t="s">
        <v>134</v>
      </c>
      <c r="F195" s="12">
        <v>7</v>
      </c>
      <c r="G195" s="12">
        <v>6940</v>
      </c>
      <c r="H195" s="12">
        <v>8.5</v>
      </c>
      <c r="I195" s="12">
        <v>44450.7</v>
      </c>
      <c r="J195" s="10" t="s">
        <v>51</v>
      </c>
      <c r="K195" s="10" t="s">
        <v>81</v>
      </c>
      <c r="L195" t="str">
        <f>IFERROR(VLOOKUP(D195,Products!A:F,3,0),"")</f>
        <v>Sports</v>
      </c>
      <c r="M195" t="str">
        <f>IFERROR(VLOOKUP(E195,Sales_Reps!A:E,3,0),"")</f>
        <v>West</v>
      </c>
      <c r="N195" t="str">
        <f>IFERROR(VLOOKUP(C195,Customers!A:F,5,0),"")</f>
        <v>SMB</v>
      </c>
      <c r="O195">
        <f>IFERROR(VLOOKUP(C195,Customers!A:F,3,0),"")</f>
        <v>46</v>
      </c>
      <c r="P195">
        <f>IFERROR(VLOOKUP(D195,Products!A:F,4,0),"")</f>
        <v>2827</v>
      </c>
      <c r="Q195" t="b">
        <f>IFERROR(VLOOKUP(D195,Products!A:F,6,0),"")</f>
        <v>1</v>
      </c>
      <c r="R195">
        <f t="shared" si="9"/>
        <v>0.5926512968299712</v>
      </c>
      <c r="S195">
        <f t="shared" si="10"/>
        <v>1</v>
      </c>
      <c r="T195">
        <f>IF(AND(S195&gt;1,COUNTIF($A$2:A195,A195)=1),1,0)</f>
        <v>0</v>
      </c>
      <c r="U195">
        <f>COUNTIF(Customers!$A$2:$A$301,C195)</f>
        <v>1</v>
      </c>
      <c r="V195">
        <f t="shared" si="11"/>
        <v>0</v>
      </c>
    </row>
    <row r="196" spans="1:22" ht="14.25" customHeight="1" x14ac:dyDescent="0.35">
      <c r="A196" s="10" t="s">
        <v>480</v>
      </c>
      <c r="B196" s="11">
        <v>45546</v>
      </c>
      <c r="C196" s="10" t="s">
        <v>451</v>
      </c>
      <c r="D196" s="10" t="s">
        <v>223</v>
      </c>
      <c r="E196" s="10" t="s">
        <v>289</v>
      </c>
      <c r="F196" s="12">
        <v>8</v>
      </c>
      <c r="G196" s="12">
        <v>1540</v>
      </c>
      <c r="H196" s="12">
        <v>21</v>
      </c>
      <c r="I196" s="12">
        <v>9732.7999999999993</v>
      </c>
      <c r="J196" s="10" t="s">
        <v>51</v>
      </c>
      <c r="K196" s="10" t="s">
        <v>52</v>
      </c>
      <c r="L196" t="str">
        <f>IFERROR(VLOOKUP(D196,Products!A:F,3,0),"")</f>
        <v>Beauty</v>
      </c>
      <c r="M196" t="str">
        <f>IFERROR(VLOOKUP(E196,Sales_Reps!A:E,3,0),"")</f>
        <v>South</v>
      </c>
      <c r="N196" t="str">
        <f>IFERROR(VLOOKUP(C196,Customers!A:F,5,0),"")</f>
        <v>Corporate</v>
      </c>
      <c r="O196">
        <f>IFERROR(VLOOKUP(C196,Customers!A:F,3,0),"")</f>
        <v>29</v>
      </c>
      <c r="P196">
        <f>IFERROR(VLOOKUP(D196,Products!A:F,4,0),"")</f>
        <v>647</v>
      </c>
      <c r="Q196" t="b">
        <f>IFERROR(VLOOKUP(D196,Products!A:F,6,0),"")</f>
        <v>0</v>
      </c>
      <c r="R196">
        <f t="shared" si="9"/>
        <v>0.57987012987012987</v>
      </c>
      <c r="S196">
        <f t="shared" si="10"/>
        <v>1</v>
      </c>
      <c r="T196">
        <f>IF(AND(S196&gt;1,COUNTIF($A$2:A196,A196)=1),1,0)</f>
        <v>0</v>
      </c>
      <c r="U196">
        <f>COUNTIF(Customers!$A$2:$A$301,C196)</f>
        <v>1</v>
      </c>
      <c r="V196">
        <f t="shared" si="11"/>
        <v>0</v>
      </c>
    </row>
    <row r="197" spans="1:22" ht="14.25" customHeight="1" x14ac:dyDescent="0.35">
      <c r="A197" s="10" t="s">
        <v>481</v>
      </c>
      <c r="B197" s="11">
        <v>45380</v>
      </c>
      <c r="C197" s="10" t="s">
        <v>482</v>
      </c>
      <c r="D197" s="10" t="s">
        <v>131</v>
      </c>
      <c r="E197" s="10" t="s">
        <v>193</v>
      </c>
      <c r="F197" s="12">
        <v>6</v>
      </c>
      <c r="G197" s="12">
        <v>2480</v>
      </c>
      <c r="H197" s="12">
        <v>27.9</v>
      </c>
      <c r="I197" s="12">
        <v>10728.48</v>
      </c>
      <c r="J197" s="10" t="s">
        <v>51</v>
      </c>
      <c r="K197" s="10" t="s">
        <v>52</v>
      </c>
      <c r="L197" t="str">
        <f>IFERROR(VLOOKUP(D197,Products!A:F,3,0),"")</f>
        <v>Apparel</v>
      </c>
      <c r="M197" t="str">
        <f>IFERROR(VLOOKUP(E197,Sales_Reps!A:E,3,0),"")</f>
        <v>West</v>
      </c>
      <c r="N197" t="str">
        <f>IFERROR(VLOOKUP(C197,Customers!A:F,5,0),"")</f>
        <v>Retail</v>
      </c>
      <c r="O197">
        <f>IFERROR(VLOOKUP(C197,Customers!A:F,3,0),"")</f>
        <v>49</v>
      </c>
      <c r="P197">
        <f>IFERROR(VLOOKUP(D197,Products!A:F,4,0),"")</f>
        <v>1173</v>
      </c>
      <c r="Q197" t="b">
        <f>IFERROR(VLOOKUP(D197,Products!A:F,6,0),"")</f>
        <v>1</v>
      </c>
      <c r="R197">
        <f t="shared" si="9"/>
        <v>0.52701612903225803</v>
      </c>
      <c r="S197">
        <f t="shared" si="10"/>
        <v>1</v>
      </c>
      <c r="T197">
        <f>IF(AND(S197&gt;1,COUNTIF($A$2:A197,A197)=1),1,0)</f>
        <v>0</v>
      </c>
      <c r="U197">
        <f>COUNTIF(Customers!$A$2:$A$301,C197)</f>
        <v>1</v>
      </c>
      <c r="V197">
        <f t="shared" si="11"/>
        <v>0</v>
      </c>
    </row>
    <row r="198" spans="1:22" ht="14.25" customHeight="1" x14ac:dyDescent="0.35">
      <c r="A198" s="10" t="s">
        <v>483</v>
      </c>
      <c r="B198" s="11">
        <v>45320</v>
      </c>
      <c r="C198" s="10" t="s">
        <v>484</v>
      </c>
      <c r="D198" s="10" t="s">
        <v>111</v>
      </c>
      <c r="E198" s="10" t="s">
        <v>249</v>
      </c>
      <c r="F198" s="12">
        <v>4</v>
      </c>
      <c r="G198" s="12">
        <v>190</v>
      </c>
      <c r="H198" s="12">
        <v>21.5</v>
      </c>
      <c r="I198" s="12">
        <v>596.6</v>
      </c>
      <c r="J198" s="10" t="s">
        <v>51</v>
      </c>
      <c r="K198" s="10" t="s">
        <v>76</v>
      </c>
      <c r="L198" t="str">
        <f>IFERROR(VLOOKUP(D198,Products!A:F,3,0),"")</f>
        <v>Sports</v>
      </c>
      <c r="M198" t="str">
        <f>IFERROR(VLOOKUP(E198,Sales_Reps!A:E,3,0),"")</f>
        <v>East</v>
      </c>
      <c r="N198" t="str">
        <f>IFERROR(VLOOKUP(C198,Customers!A:F,5,0),"")</f>
        <v>Corporate</v>
      </c>
      <c r="O198">
        <f>IFERROR(VLOOKUP(C198,Customers!A:F,3,0),"")</f>
        <v>35</v>
      </c>
      <c r="P198">
        <f>IFERROR(VLOOKUP(D198,Products!A:F,4,0),"")</f>
        <v>147</v>
      </c>
      <c r="Q198" t="b">
        <f>IFERROR(VLOOKUP(D198,Products!A:F,6,0),"")</f>
        <v>1</v>
      </c>
      <c r="R198">
        <f t="shared" si="9"/>
        <v>0.22631578947368422</v>
      </c>
      <c r="S198">
        <f t="shared" si="10"/>
        <v>1</v>
      </c>
      <c r="T198">
        <f>IF(AND(S198&gt;1,COUNTIF($A$2:A198,A198)=1),1,0)</f>
        <v>0</v>
      </c>
      <c r="U198">
        <f>COUNTIF(Customers!$A$2:$A$301,C198)</f>
        <v>1</v>
      </c>
      <c r="V198">
        <f t="shared" si="11"/>
        <v>0</v>
      </c>
    </row>
    <row r="199" spans="1:22" ht="14.25" customHeight="1" x14ac:dyDescent="0.35">
      <c r="A199" s="10" t="s">
        <v>485</v>
      </c>
      <c r="B199" s="11">
        <v>45355</v>
      </c>
      <c r="C199" s="10" t="s">
        <v>486</v>
      </c>
      <c r="D199" s="10" t="s">
        <v>159</v>
      </c>
      <c r="E199" s="10" t="s">
        <v>62</v>
      </c>
      <c r="F199" s="12">
        <v>1</v>
      </c>
      <c r="G199" s="12">
        <v>2860</v>
      </c>
      <c r="H199" s="12">
        <v>15.3</v>
      </c>
      <c r="I199" s="12">
        <v>2422.42</v>
      </c>
      <c r="J199" s="10" t="s">
        <v>51</v>
      </c>
      <c r="K199" s="10" t="s">
        <v>63</v>
      </c>
      <c r="L199" t="str">
        <f>IFERROR(VLOOKUP(D199,Products!A:F,3,0),"")</f>
        <v>Sports</v>
      </c>
      <c r="M199" t="str">
        <f>IFERROR(VLOOKUP(E199,Sales_Reps!A:E,3,0),"")</f>
        <v>South</v>
      </c>
      <c r="N199" t="str">
        <f>IFERROR(VLOOKUP(C199,Customers!A:F,5,0),"")</f>
        <v>SMB</v>
      </c>
      <c r="O199">
        <f>IFERROR(VLOOKUP(C199,Customers!A:F,3,0),"")</f>
        <v>55</v>
      </c>
      <c r="P199">
        <f>IFERROR(VLOOKUP(D199,Products!A:F,4,0),"")</f>
        <v>2028</v>
      </c>
      <c r="Q199" t="b">
        <f>IFERROR(VLOOKUP(D199,Products!A:F,6,0),"")</f>
        <v>1</v>
      </c>
      <c r="R199">
        <f t="shared" si="9"/>
        <v>0.29090909090909089</v>
      </c>
      <c r="S199">
        <f t="shared" si="10"/>
        <v>1</v>
      </c>
      <c r="T199">
        <f>IF(AND(S199&gt;1,COUNTIF($A$2:A199,A199)=1),1,0)</f>
        <v>0</v>
      </c>
      <c r="U199">
        <f>COUNTIF(Customers!$A$2:$A$301,C199)</f>
        <v>1</v>
      </c>
      <c r="V199">
        <f t="shared" si="11"/>
        <v>0</v>
      </c>
    </row>
    <row r="200" spans="1:22" ht="14.25" customHeight="1" x14ac:dyDescent="0.35">
      <c r="A200" s="10" t="s">
        <v>487</v>
      </c>
      <c r="B200" s="11">
        <v>45350</v>
      </c>
      <c r="C200" s="10" t="s">
        <v>488</v>
      </c>
      <c r="D200" s="10" t="s">
        <v>319</v>
      </c>
      <c r="E200" s="10" t="s">
        <v>152</v>
      </c>
      <c r="F200" s="12">
        <v>4</v>
      </c>
      <c r="G200" s="12">
        <v>2510</v>
      </c>
      <c r="H200" s="12">
        <v>10.1</v>
      </c>
      <c r="I200" s="12">
        <v>9025.9599999999991</v>
      </c>
      <c r="J200" s="10" t="s">
        <v>108</v>
      </c>
      <c r="K200" s="10" t="s">
        <v>76</v>
      </c>
      <c r="L200" t="str">
        <f>IFERROR(VLOOKUP(D200,Products!A:F,3,0),"")</f>
        <v>Apparel</v>
      </c>
      <c r="M200" t="str">
        <f>IFERROR(VLOOKUP(E200,Sales_Reps!A:E,3,0),"")</f>
        <v>South</v>
      </c>
      <c r="N200" t="str">
        <f>IFERROR(VLOOKUP(C200,Customers!A:F,5,0),"")</f>
        <v>Corporate</v>
      </c>
      <c r="O200">
        <f>IFERROR(VLOOKUP(C200,Customers!A:F,3,0),"")</f>
        <v>55</v>
      </c>
      <c r="P200">
        <f>IFERROR(VLOOKUP(D200,Products!A:F,4,0),"")</f>
        <v>1075</v>
      </c>
      <c r="Q200" t="b">
        <f>IFERROR(VLOOKUP(D200,Products!A:F,6,0),"")</f>
        <v>0</v>
      </c>
      <c r="R200">
        <f t="shared" si="9"/>
        <v>0.57171314741035861</v>
      </c>
      <c r="S200">
        <f t="shared" si="10"/>
        <v>1</v>
      </c>
      <c r="T200">
        <f>IF(AND(S200&gt;1,COUNTIF($A$2:A200,A200)=1),1,0)</f>
        <v>0</v>
      </c>
      <c r="U200">
        <f>COUNTIF(Customers!$A$2:$A$301,C200)</f>
        <v>1</v>
      </c>
      <c r="V200">
        <f t="shared" si="11"/>
        <v>0</v>
      </c>
    </row>
    <row r="201" spans="1:22" ht="14.25" customHeight="1" x14ac:dyDescent="0.35">
      <c r="A201" s="10" t="s">
        <v>489</v>
      </c>
      <c r="B201" s="11">
        <v>45587</v>
      </c>
      <c r="C201" s="10" t="s">
        <v>349</v>
      </c>
      <c r="D201" s="10" t="s">
        <v>151</v>
      </c>
      <c r="E201" s="10" t="s">
        <v>112</v>
      </c>
      <c r="F201" s="12">
        <v>2</v>
      </c>
      <c r="G201" s="12">
        <v>3570</v>
      </c>
      <c r="H201" s="12">
        <v>11.6</v>
      </c>
      <c r="I201" s="12">
        <v>6311.76</v>
      </c>
      <c r="J201" s="10" t="s">
        <v>57</v>
      </c>
      <c r="K201" s="10" t="s">
        <v>81</v>
      </c>
      <c r="L201" t="str">
        <f>IFERROR(VLOOKUP(D201,Products!A:F,3,0),"")</f>
        <v>Electronics</v>
      </c>
      <c r="M201" t="str">
        <f>IFERROR(VLOOKUP(E201,Sales_Reps!A:E,3,0),"")</f>
        <v>North</v>
      </c>
      <c r="N201" t="str">
        <f>IFERROR(VLOOKUP(C201,Customers!A:F,5,0),"")</f>
        <v>Retail</v>
      </c>
      <c r="O201">
        <f>IFERROR(VLOOKUP(C201,Customers!A:F,3,0),"")</f>
        <v>23</v>
      </c>
      <c r="P201">
        <f>IFERROR(VLOOKUP(D201,Products!A:F,4,0),"")</f>
        <v>1665</v>
      </c>
      <c r="Q201" t="b">
        <f>IFERROR(VLOOKUP(D201,Products!A:F,6,0),"")</f>
        <v>1</v>
      </c>
      <c r="R201">
        <f t="shared" si="9"/>
        <v>0.53361344537815125</v>
      </c>
      <c r="S201">
        <f t="shared" si="10"/>
        <v>1</v>
      </c>
      <c r="T201">
        <f>IF(AND(S201&gt;1,COUNTIF($A$2:A201,A201)=1),1,0)</f>
        <v>0</v>
      </c>
      <c r="U201">
        <f>COUNTIF(Customers!$A$2:$A$301,C201)</f>
        <v>1</v>
      </c>
      <c r="V201">
        <f t="shared" si="11"/>
        <v>0</v>
      </c>
    </row>
    <row r="202" spans="1:22" ht="14.25" customHeight="1" x14ac:dyDescent="0.35">
      <c r="A202" s="10" t="s">
        <v>490</v>
      </c>
      <c r="B202" s="11">
        <v>45344</v>
      </c>
      <c r="C202" s="10" t="s">
        <v>454</v>
      </c>
      <c r="D202" s="10" t="s">
        <v>190</v>
      </c>
      <c r="E202" s="10" t="s">
        <v>310</v>
      </c>
      <c r="F202" s="12">
        <v>7</v>
      </c>
      <c r="G202" s="12">
        <v>3730</v>
      </c>
      <c r="H202" s="12">
        <v>2.5</v>
      </c>
      <c r="I202" s="12">
        <v>25457.25</v>
      </c>
      <c r="J202" s="10" t="s">
        <v>104</v>
      </c>
      <c r="K202" s="10" t="s">
        <v>63</v>
      </c>
      <c r="L202" t="str">
        <f>IFERROR(VLOOKUP(D202,Products!A:F,3,0),"")</f>
        <v>Home</v>
      </c>
      <c r="M202" t="str">
        <f>IFERROR(VLOOKUP(E202,Sales_Reps!A:E,3,0),"")</f>
        <v>South</v>
      </c>
      <c r="N202" t="str">
        <f>IFERROR(VLOOKUP(C202,Customers!A:F,5,0),"")</f>
        <v>Retail</v>
      </c>
      <c r="O202">
        <f>IFERROR(VLOOKUP(C202,Customers!A:F,3,0),"")</f>
        <v>59</v>
      </c>
      <c r="P202">
        <f>IFERROR(VLOOKUP(D202,Products!A:F,4,0),"")</f>
        <v>2135</v>
      </c>
      <c r="Q202" t="b">
        <f>IFERROR(VLOOKUP(D202,Products!A:F,6,0),"")</f>
        <v>1</v>
      </c>
      <c r="R202">
        <f t="shared" si="9"/>
        <v>0.42761394101876676</v>
      </c>
      <c r="S202">
        <f t="shared" si="10"/>
        <v>1</v>
      </c>
      <c r="T202">
        <f>IF(AND(S202&gt;1,COUNTIF($A$2:A202,A202)=1),1,0)</f>
        <v>0</v>
      </c>
      <c r="U202">
        <f>COUNTIF(Customers!$A$2:$A$301,C202)</f>
        <v>1</v>
      </c>
      <c r="V202">
        <f t="shared" si="11"/>
        <v>0</v>
      </c>
    </row>
    <row r="203" spans="1:22" ht="14.25" customHeight="1" x14ac:dyDescent="0.35">
      <c r="A203" s="10" t="s">
        <v>491</v>
      </c>
      <c r="B203" s="11">
        <v>45492</v>
      </c>
      <c r="C203" s="10" t="s">
        <v>492</v>
      </c>
      <c r="D203" s="10" t="s">
        <v>74</v>
      </c>
      <c r="E203" s="10" t="s">
        <v>134</v>
      </c>
      <c r="F203" s="12">
        <v>6</v>
      </c>
      <c r="G203" s="12">
        <v>370</v>
      </c>
      <c r="H203" s="12">
        <v>9.9</v>
      </c>
      <c r="I203" s="12">
        <v>2000.22</v>
      </c>
      <c r="J203" s="10" t="s">
        <v>51</v>
      </c>
      <c r="K203" s="10" t="s">
        <v>76</v>
      </c>
      <c r="L203" t="str">
        <f>IFERROR(VLOOKUP(D203,Products!A:F,3,0),"")</f>
        <v>Home</v>
      </c>
      <c r="M203" t="str">
        <f>IFERROR(VLOOKUP(E203,Sales_Reps!A:E,3,0),"")</f>
        <v>West</v>
      </c>
      <c r="N203" t="str">
        <f>IFERROR(VLOOKUP(C203,Customers!A:F,5,0),"")</f>
        <v>Retail</v>
      </c>
      <c r="O203">
        <f>IFERROR(VLOOKUP(C203,Customers!A:F,3,0),"")</f>
        <v>44</v>
      </c>
      <c r="P203">
        <f>IFERROR(VLOOKUP(D203,Products!A:F,4,0),"")</f>
        <v>288</v>
      </c>
      <c r="Q203" t="b">
        <f>IFERROR(VLOOKUP(D203,Products!A:F,6,0),"")</f>
        <v>1</v>
      </c>
      <c r="R203">
        <f t="shared" si="9"/>
        <v>0.22162162162162163</v>
      </c>
      <c r="S203">
        <f t="shared" si="10"/>
        <v>1</v>
      </c>
      <c r="T203">
        <f>IF(AND(S203&gt;1,COUNTIF($A$2:A203,A203)=1),1,0)</f>
        <v>0</v>
      </c>
      <c r="U203">
        <f>COUNTIF(Customers!$A$2:$A$301,C203)</f>
        <v>1</v>
      </c>
      <c r="V203">
        <f t="shared" si="11"/>
        <v>0</v>
      </c>
    </row>
    <row r="204" spans="1:22" ht="14.25" customHeight="1" x14ac:dyDescent="0.35">
      <c r="A204" s="10" t="s">
        <v>493</v>
      </c>
      <c r="B204" s="11">
        <v>45490</v>
      </c>
      <c r="C204" s="10" t="s">
        <v>494</v>
      </c>
      <c r="D204" s="10" t="s">
        <v>243</v>
      </c>
      <c r="E204" s="10" t="s">
        <v>62</v>
      </c>
      <c r="F204" s="12">
        <v>4</v>
      </c>
      <c r="G204" s="12">
        <v>2660</v>
      </c>
      <c r="H204" s="12">
        <v>29.7</v>
      </c>
      <c r="I204" s="12">
        <v>7479.92</v>
      </c>
      <c r="J204" s="10" t="s">
        <v>51</v>
      </c>
      <c r="K204" s="10" t="s">
        <v>63</v>
      </c>
      <c r="L204" t="str">
        <f>IFERROR(VLOOKUP(D204,Products!A:F,3,0),"")</f>
        <v>Electronics</v>
      </c>
      <c r="M204" t="str">
        <f>IFERROR(VLOOKUP(E204,Sales_Reps!A:E,3,0),"")</f>
        <v>South</v>
      </c>
      <c r="N204" t="str">
        <f>IFERROR(VLOOKUP(C204,Customers!A:F,5,0),"")</f>
        <v>Retail</v>
      </c>
      <c r="O204">
        <f>IFERROR(VLOOKUP(C204,Customers!A:F,3,0),"")</f>
        <v>45</v>
      </c>
      <c r="P204">
        <f>IFERROR(VLOOKUP(D204,Products!A:F,4,0),"")</f>
        <v>1259</v>
      </c>
      <c r="Q204" t="b">
        <f>IFERROR(VLOOKUP(D204,Products!A:F,6,0),"")</f>
        <v>0</v>
      </c>
      <c r="R204">
        <f t="shared" si="9"/>
        <v>0.52669172932330832</v>
      </c>
      <c r="S204">
        <f t="shared" si="10"/>
        <v>1</v>
      </c>
      <c r="T204">
        <f>IF(AND(S204&gt;1,COUNTIF($A$2:A204,A204)=1),1,0)</f>
        <v>0</v>
      </c>
      <c r="U204">
        <f>COUNTIF(Customers!$A$2:$A$301,C204)</f>
        <v>1</v>
      </c>
      <c r="V204">
        <f t="shared" si="11"/>
        <v>0</v>
      </c>
    </row>
    <row r="205" spans="1:22" ht="14.25" customHeight="1" x14ac:dyDescent="0.35">
      <c r="A205" s="10" t="s">
        <v>495</v>
      </c>
      <c r="B205" s="11">
        <v>45538</v>
      </c>
      <c r="C205" s="10" t="s">
        <v>349</v>
      </c>
      <c r="D205" s="10" t="s">
        <v>164</v>
      </c>
      <c r="E205" s="10" t="s">
        <v>152</v>
      </c>
      <c r="F205" s="12">
        <v>6</v>
      </c>
      <c r="G205" s="12">
        <v>2760</v>
      </c>
      <c r="H205" s="12">
        <v>0.9</v>
      </c>
      <c r="I205" s="12">
        <v>16410.96</v>
      </c>
      <c r="J205" s="10" t="s">
        <v>51</v>
      </c>
      <c r="K205" s="10" t="s">
        <v>81</v>
      </c>
      <c r="L205" t="str">
        <f>IFERROR(VLOOKUP(D205,Products!A:F,3,0),"")</f>
        <v>Grocery</v>
      </c>
      <c r="M205" t="str">
        <f>IFERROR(VLOOKUP(E205,Sales_Reps!A:E,3,0),"")</f>
        <v>South</v>
      </c>
      <c r="N205" t="str">
        <f>IFERROR(VLOOKUP(C205,Customers!A:F,5,0),"")</f>
        <v>Retail</v>
      </c>
      <c r="O205">
        <f>IFERROR(VLOOKUP(C205,Customers!A:F,3,0),"")</f>
        <v>23</v>
      </c>
      <c r="P205">
        <f>IFERROR(VLOOKUP(D205,Products!A:F,4,0),"")</f>
        <v>1435</v>
      </c>
      <c r="Q205" t="b">
        <f>IFERROR(VLOOKUP(D205,Products!A:F,6,0),"")</f>
        <v>1</v>
      </c>
      <c r="R205">
        <f t="shared" si="9"/>
        <v>0.48007246376811596</v>
      </c>
      <c r="S205">
        <f t="shared" si="10"/>
        <v>1</v>
      </c>
      <c r="T205">
        <f>IF(AND(S205&gt;1,COUNTIF($A$2:A205,A205)=1),1,0)</f>
        <v>0</v>
      </c>
      <c r="U205">
        <f>COUNTIF(Customers!$A$2:$A$301,C205)</f>
        <v>1</v>
      </c>
      <c r="V205">
        <f t="shared" si="11"/>
        <v>16410.96</v>
      </c>
    </row>
    <row r="206" spans="1:22" ht="14.25" customHeight="1" x14ac:dyDescent="0.35">
      <c r="A206" s="10" t="s">
        <v>496</v>
      </c>
      <c r="B206" s="11">
        <v>45591</v>
      </c>
      <c r="C206" s="10" t="s">
        <v>497</v>
      </c>
      <c r="D206" s="10" t="s">
        <v>143</v>
      </c>
      <c r="E206" s="10" t="s">
        <v>168</v>
      </c>
      <c r="F206" s="12">
        <v>6</v>
      </c>
      <c r="G206" s="12">
        <v>3350</v>
      </c>
      <c r="H206" s="12">
        <v>17.899999999999999</v>
      </c>
      <c r="I206" s="12">
        <v>16502.099999999999</v>
      </c>
      <c r="J206" s="10" t="s">
        <v>51</v>
      </c>
      <c r="K206" s="10" t="s">
        <v>63</v>
      </c>
      <c r="L206" t="str">
        <f>IFERROR(VLOOKUP(D206,Products!A:F,3,0),"")</f>
        <v>Beauty</v>
      </c>
      <c r="M206" t="str">
        <f>IFERROR(VLOOKUP(E206,Sales_Reps!A:E,3,0),"")</f>
        <v>South</v>
      </c>
      <c r="N206" t="str">
        <f>IFERROR(VLOOKUP(C206,Customers!A:F,5,0),"")</f>
        <v>SMB</v>
      </c>
      <c r="O206">
        <f>IFERROR(VLOOKUP(C206,Customers!A:F,3,0),"")</f>
        <v>48</v>
      </c>
      <c r="P206">
        <f>IFERROR(VLOOKUP(D206,Products!A:F,4,0),"")</f>
        <v>1728</v>
      </c>
      <c r="Q206" t="b">
        <f>IFERROR(VLOOKUP(D206,Products!A:F,6,0),"")</f>
        <v>1</v>
      </c>
      <c r="R206">
        <f t="shared" si="9"/>
        <v>0.48417910447761192</v>
      </c>
      <c r="S206">
        <f t="shared" si="10"/>
        <v>1</v>
      </c>
      <c r="T206">
        <f>IF(AND(S206&gt;1,COUNTIF($A$2:A206,A206)=1),1,0)</f>
        <v>0</v>
      </c>
      <c r="U206">
        <f>COUNTIF(Customers!$A$2:$A$301,C206)</f>
        <v>1</v>
      </c>
      <c r="V206">
        <f t="shared" si="11"/>
        <v>0</v>
      </c>
    </row>
    <row r="207" spans="1:22" ht="14.25" customHeight="1" x14ac:dyDescent="0.35">
      <c r="A207" s="10" t="s">
        <v>498</v>
      </c>
      <c r="B207" s="11">
        <v>45319</v>
      </c>
      <c r="C207" s="10" t="s">
        <v>404</v>
      </c>
      <c r="D207" s="10" t="s">
        <v>246</v>
      </c>
      <c r="E207" s="10" t="s">
        <v>202</v>
      </c>
      <c r="F207" s="12">
        <v>8</v>
      </c>
      <c r="G207" s="12">
        <v>300</v>
      </c>
      <c r="H207" s="12">
        <v>20.6</v>
      </c>
      <c r="I207" s="12">
        <v>1905.6</v>
      </c>
      <c r="J207" s="10" t="s">
        <v>108</v>
      </c>
      <c r="K207" s="10" t="s">
        <v>52</v>
      </c>
      <c r="L207" t="str">
        <f>IFERROR(VLOOKUP(D207,Products!A:F,3,0),"")</f>
        <v>Electronics</v>
      </c>
      <c r="M207" t="str">
        <f>IFERROR(VLOOKUP(E207,Sales_Reps!A:E,3,0),"")</f>
        <v>East</v>
      </c>
      <c r="N207" t="str">
        <f>IFERROR(VLOOKUP(C207,Customers!A:F,5,0),"")</f>
        <v>SMB</v>
      </c>
      <c r="O207">
        <f>IFERROR(VLOOKUP(C207,Customers!A:F,3,0),"")</f>
        <v>30</v>
      </c>
      <c r="P207">
        <f>IFERROR(VLOOKUP(D207,Products!A:F,4,0),"")</f>
        <v>128</v>
      </c>
      <c r="Q207" t="b">
        <f>IFERROR(VLOOKUP(D207,Products!A:F,6,0),"")</f>
        <v>1</v>
      </c>
      <c r="R207">
        <f t="shared" si="9"/>
        <v>0.57333333333333336</v>
      </c>
      <c r="S207">
        <f t="shared" si="10"/>
        <v>1</v>
      </c>
      <c r="T207">
        <f>IF(AND(S207&gt;1,COUNTIF($A$2:A207,A207)=1),1,0)</f>
        <v>0</v>
      </c>
      <c r="U207">
        <f>COUNTIF(Customers!$A$2:$A$301,C207)</f>
        <v>1</v>
      </c>
      <c r="V207">
        <f t="shared" si="11"/>
        <v>0</v>
      </c>
    </row>
    <row r="208" spans="1:22" ht="14.25" customHeight="1" x14ac:dyDescent="0.35">
      <c r="A208" s="10" t="s">
        <v>499</v>
      </c>
      <c r="B208" s="11">
        <v>45527</v>
      </c>
      <c r="C208" s="10" t="s">
        <v>492</v>
      </c>
      <c r="D208" s="10" t="s">
        <v>137</v>
      </c>
      <c r="E208" s="10" t="s">
        <v>261</v>
      </c>
      <c r="F208" s="12">
        <v>5</v>
      </c>
      <c r="G208" s="12">
        <v>2720</v>
      </c>
      <c r="H208" s="12">
        <v>17.100000000000001</v>
      </c>
      <c r="I208" s="12">
        <v>11274.4</v>
      </c>
      <c r="J208" s="10" t="s">
        <v>57</v>
      </c>
      <c r="K208" s="10" t="s">
        <v>76</v>
      </c>
      <c r="L208" t="str">
        <f>IFERROR(VLOOKUP(D208,Products!A:F,3,0),"")</f>
        <v>Apparel</v>
      </c>
      <c r="M208" t="str">
        <f>IFERROR(VLOOKUP(E208,Sales_Reps!A:E,3,0),"")</f>
        <v>North</v>
      </c>
      <c r="N208" t="str">
        <f>IFERROR(VLOOKUP(C208,Customers!A:F,5,0),"")</f>
        <v>Retail</v>
      </c>
      <c r="O208">
        <f>IFERROR(VLOOKUP(C208,Customers!A:F,3,0),"")</f>
        <v>44</v>
      </c>
      <c r="P208">
        <f>IFERROR(VLOOKUP(D208,Products!A:F,4,0),"")</f>
        <v>1962</v>
      </c>
      <c r="Q208" t="b">
        <f>IFERROR(VLOOKUP(D208,Products!A:F,6,0),"")</f>
        <v>1</v>
      </c>
      <c r="R208">
        <f t="shared" si="9"/>
        <v>0.2786764705882353</v>
      </c>
      <c r="S208">
        <f t="shared" si="10"/>
        <v>1</v>
      </c>
      <c r="T208">
        <f>IF(AND(S208&gt;1,COUNTIF($A$2:A208,A208)=1),1,0)</f>
        <v>0</v>
      </c>
      <c r="U208">
        <f>COUNTIF(Customers!$A$2:$A$301,C208)</f>
        <v>1</v>
      </c>
      <c r="V208">
        <f t="shared" si="11"/>
        <v>0</v>
      </c>
    </row>
    <row r="209" spans="1:22" ht="14.25" customHeight="1" x14ac:dyDescent="0.35">
      <c r="A209" s="10" t="s">
        <v>500</v>
      </c>
      <c r="B209" s="11">
        <v>45572</v>
      </c>
      <c r="C209" s="10" t="s">
        <v>501</v>
      </c>
      <c r="D209" s="10" t="s">
        <v>212</v>
      </c>
      <c r="E209" s="10" t="s">
        <v>152</v>
      </c>
      <c r="F209" s="12">
        <v>1</v>
      </c>
      <c r="G209" s="12">
        <v>3870</v>
      </c>
      <c r="H209" s="12">
        <v>23.5</v>
      </c>
      <c r="I209" s="12">
        <v>2960.55</v>
      </c>
      <c r="J209" s="10" t="s">
        <v>57</v>
      </c>
      <c r="K209" s="10" t="s">
        <v>97</v>
      </c>
      <c r="L209" t="str">
        <f>IFERROR(VLOOKUP(D209,Products!A:F,3,0),"")</f>
        <v>Electronics</v>
      </c>
      <c r="M209" t="str">
        <f>IFERROR(VLOOKUP(E209,Sales_Reps!A:E,3,0),"")</f>
        <v>South</v>
      </c>
      <c r="N209" t="str">
        <f>IFERROR(VLOOKUP(C209,Customers!A:F,5,0),"")</f>
        <v>SMB</v>
      </c>
      <c r="O209">
        <f>IFERROR(VLOOKUP(C209,Customers!A:F,3,0),"")</f>
        <v>48</v>
      </c>
      <c r="P209">
        <f>IFERROR(VLOOKUP(D209,Products!A:F,4,0),"")</f>
        <v>1559</v>
      </c>
      <c r="Q209" t="b">
        <f>IFERROR(VLOOKUP(D209,Products!A:F,6,0),"")</f>
        <v>1</v>
      </c>
      <c r="R209">
        <f t="shared" si="9"/>
        <v>0.59715762273901807</v>
      </c>
      <c r="S209">
        <f t="shared" si="10"/>
        <v>1</v>
      </c>
      <c r="T209">
        <f>IF(AND(S209&gt;1,COUNTIF($A$2:A209,A209)=1),1,0)</f>
        <v>0</v>
      </c>
      <c r="U209">
        <f>COUNTIF(Customers!$A$2:$A$301,C209)</f>
        <v>1</v>
      </c>
      <c r="V209">
        <f t="shared" si="11"/>
        <v>0</v>
      </c>
    </row>
    <row r="210" spans="1:22" ht="14.25" customHeight="1" x14ac:dyDescent="0.35">
      <c r="A210" s="10" t="s">
        <v>502</v>
      </c>
      <c r="B210" s="11">
        <v>45637</v>
      </c>
      <c r="C210" s="10" t="s">
        <v>503</v>
      </c>
      <c r="D210" s="10" t="s">
        <v>190</v>
      </c>
      <c r="E210" s="10" t="s">
        <v>289</v>
      </c>
      <c r="F210" s="12">
        <v>3</v>
      </c>
      <c r="G210" s="12">
        <v>3730</v>
      </c>
      <c r="H210" s="12">
        <v>0.7</v>
      </c>
      <c r="I210" s="12">
        <v>11111.67</v>
      </c>
      <c r="J210" s="10" t="s">
        <v>57</v>
      </c>
      <c r="K210" s="10" t="s">
        <v>97</v>
      </c>
      <c r="L210" t="str">
        <f>IFERROR(VLOOKUP(D210,Products!A:F,3,0),"")</f>
        <v>Home</v>
      </c>
      <c r="M210" t="str">
        <f>IFERROR(VLOOKUP(E210,Sales_Reps!A:E,3,0),"")</f>
        <v>South</v>
      </c>
      <c r="N210" t="str">
        <f>IFERROR(VLOOKUP(C210,Customers!A:F,5,0),"")</f>
        <v>Retail</v>
      </c>
      <c r="O210">
        <f>IFERROR(VLOOKUP(C210,Customers!A:F,3,0),"")</f>
        <v>38</v>
      </c>
      <c r="P210">
        <f>IFERROR(VLOOKUP(D210,Products!A:F,4,0),"")</f>
        <v>2135</v>
      </c>
      <c r="Q210" t="b">
        <f>IFERROR(VLOOKUP(D210,Products!A:F,6,0),"")</f>
        <v>1</v>
      </c>
      <c r="R210">
        <f t="shared" si="9"/>
        <v>0.42761394101876676</v>
      </c>
      <c r="S210">
        <f t="shared" si="10"/>
        <v>1</v>
      </c>
      <c r="T210">
        <f>IF(AND(S210&gt;1,COUNTIF($A$2:A210,A210)=1),1,0)</f>
        <v>0</v>
      </c>
      <c r="U210">
        <f>COUNTIF(Customers!$A$2:$A$301,C210)</f>
        <v>1</v>
      </c>
      <c r="V210">
        <f t="shared" si="11"/>
        <v>0</v>
      </c>
    </row>
    <row r="211" spans="1:22" ht="14.25" customHeight="1" x14ac:dyDescent="0.35">
      <c r="A211" s="10" t="s">
        <v>504</v>
      </c>
      <c r="B211" s="11">
        <v>45315</v>
      </c>
      <c r="C211" s="10" t="s">
        <v>505</v>
      </c>
      <c r="D211" s="10" t="s">
        <v>131</v>
      </c>
      <c r="E211" s="10" t="s">
        <v>289</v>
      </c>
      <c r="F211" s="12">
        <v>8</v>
      </c>
      <c r="G211" s="12">
        <v>2480</v>
      </c>
      <c r="H211" s="12">
        <v>18.2</v>
      </c>
      <c r="I211" s="12">
        <v>16229.12</v>
      </c>
      <c r="J211" s="10" t="s">
        <v>104</v>
      </c>
      <c r="K211" s="10" t="s">
        <v>58</v>
      </c>
      <c r="L211" t="str">
        <f>IFERROR(VLOOKUP(D211,Products!A:F,3,0),"")</f>
        <v>Apparel</v>
      </c>
      <c r="M211" t="str">
        <f>IFERROR(VLOOKUP(E211,Sales_Reps!A:E,3,0),"")</f>
        <v>South</v>
      </c>
      <c r="N211" t="str">
        <f>IFERROR(VLOOKUP(C211,Customers!A:F,5,0),"")</f>
        <v>Corporate</v>
      </c>
      <c r="O211">
        <f>IFERROR(VLOOKUP(C211,Customers!A:F,3,0),"")</f>
        <v>34</v>
      </c>
      <c r="P211">
        <f>IFERROR(VLOOKUP(D211,Products!A:F,4,0),"")</f>
        <v>1173</v>
      </c>
      <c r="Q211" t="b">
        <f>IFERROR(VLOOKUP(D211,Products!A:F,6,0),"")</f>
        <v>1</v>
      </c>
      <c r="R211">
        <f t="shared" si="9"/>
        <v>0.52701612903225803</v>
      </c>
      <c r="S211">
        <f t="shared" si="10"/>
        <v>1</v>
      </c>
      <c r="T211">
        <f>IF(AND(S211&gt;1,COUNTIF($A$2:A211,A211)=1),1,0)</f>
        <v>0</v>
      </c>
      <c r="U211">
        <f>COUNTIF(Customers!$A$2:$A$301,C211)</f>
        <v>1</v>
      </c>
      <c r="V211">
        <f t="shared" si="11"/>
        <v>0</v>
      </c>
    </row>
    <row r="212" spans="1:22" ht="14.25" customHeight="1" x14ac:dyDescent="0.35">
      <c r="A212" s="10" t="s">
        <v>506</v>
      </c>
      <c r="B212" s="11">
        <v>45374</v>
      </c>
      <c r="C212" s="10" t="s">
        <v>352</v>
      </c>
      <c r="D212" s="10" t="s">
        <v>79</v>
      </c>
      <c r="E212" s="10" t="s">
        <v>85</v>
      </c>
      <c r="F212" s="12">
        <v>2</v>
      </c>
      <c r="G212" s="12">
        <v>960</v>
      </c>
      <c r="H212" s="12">
        <v>2.2000000000000002</v>
      </c>
      <c r="I212" s="12">
        <v>1877.76</v>
      </c>
      <c r="J212" s="10" t="s">
        <v>51</v>
      </c>
      <c r="K212" s="10" t="s">
        <v>97</v>
      </c>
      <c r="L212" t="str">
        <f>IFERROR(VLOOKUP(D212,Products!A:F,3,0),"")</f>
        <v>Sports</v>
      </c>
      <c r="M212" t="str">
        <f>IFERROR(VLOOKUP(E212,Sales_Reps!A:E,3,0),"")</f>
        <v>East</v>
      </c>
      <c r="N212" t="str">
        <f>IFERROR(VLOOKUP(C212,Customers!A:F,5,0),"")</f>
        <v>Retail</v>
      </c>
      <c r="O212">
        <f>IFERROR(VLOOKUP(C212,Customers!A:F,3,0),"")</f>
        <v>44</v>
      </c>
      <c r="P212">
        <f>IFERROR(VLOOKUP(D212,Products!A:F,4,0),"")</f>
        <v>705</v>
      </c>
      <c r="Q212" t="b">
        <f>IFERROR(VLOOKUP(D212,Products!A:F,6,0),"")</f>
        <v>1</v>
      </c>
      <c r="R212">
        <f t="shared" si="9"/>
        <v>0.265625</v>
      </c>
      <c r="S212">
        <f t="shared" si="10"/>
        <v>1</v>
      </c>
      <c r="T212">
        <f>IF(AND(S212&gt;1,COUNTIF($A$2:A212,A212)=1),1,0)</f>
        <v>0</v>
      </c>
      <c r="U212">
        <f>COUNTIF(Customers!$A$2:$A$301,C212)</f>
        <v>1</v>
      </c>
      <c r="V212">
        <f t="shared" si="11"/>
        <v>0</v>
      </c>
    </row>
    <row r="213" spans="1:22" ht="14.25" customHeight="1" x14ac:dyDescent="0.35">
      <c r="A213" s="10" t="s">
        <v>507</v>
      </c>
      <c r="B213" s="11">
        <v>45335</v>
      </c>
      <c r="C213" s="10" t="s">
        <v>508</v>
      </c>
      <c r="D213" s="10" t="s">
        <v>148</v>
      </c>
      <c r="E213" s="10" t="s">
        <v>267</v>
      </c>
      <c r="F213" s="12">
        <v>8</v>
      </c>
      <c r="G213" s="12">
        <v>4880</v>
      </c>
      <c r="H213" s="12">
        <v>11.9</v>
      </c>
      <c r="I213" s="12">
        <v>34394.239999999998</v>
      </c>
      <c r="J213" s="10" t="s">
        <v>51</v>
      </c>
      <c r="K213" s="10" t="s">
        <v>97</v>
      </c>
      <c r="L213" t="str">
        <f>IFERROR(VLOOKUP(D213,Products!A:F,3,0),"")</f>
        <v>Beauty</v>
      </c>
      <c r="M213" t="str">
        <f>IFERROR(VLOOKUP(E213,Sales_Reps!A:E,3,0),"")</f>
        <v>East</v>
      </c>
      <c r="N213" t="str">
        <f>IFERROR(VLOOKUP(C213,Customers!A:F,5,0),"")</f>
        <v>Retail</v>
      </c>
      <c r="O213">
        <f>IFERROR(VLOOKUP(C213,Customers!A:F,3,0),"")</f>
        <v>25</v>
      </c>
      <c r="P213">
        <f>IFERROR(VLOOKUP(D213,Products!A:F,4,0),"")</f>
        <v>2768</v>
      </c>
      <c r="Q213" t="b">
        <f>IFERROR(VLOOKUP(D213,Products!A:F,6,0),"")</f>
        <v>1</v>
      </c>
      <c r="R213">
        <f t="shared" si="9"/>
        <v>0.43278688524590164</v>
      </c>
      <c r="S213">
        <f t="shared" si="10"/>
        <v>1</v>
      </c>
      <c r="T213">
        <f>IF(AND(S213&gt;1,COUNTIF($A$2:A213,A213)=1),1,0)</f>
        <v>0</v>
      </c>
      <c r="U213">
        <f>COUNTIF(Customers!$A$2:$A$301,C213)</f>
        <v>1</v>
      </c>
      <c r="V213">
        <f t="shared" si="11"/>
        <v>0</v>
      </c>
    </row>
    <row r="214" spans="1:22" ht="14.25" customHeight="1" x14ac:dyDescent="0.35">
      <c r="A214" s="10" t="s">
        <v>509</v>
      </c>
      <c r="B214" s="11">
        <v>45656</v>
      </c>
      <c r="C214" s="10" t="s">
        <v>510</v>
      </c>
      <c r="D214" s="10" t="s">
        <v>49</v>
      </c>
      <c r="E214" s="10" t="s">
        <v>134</v>
      </c>
      <c r="F214" s="12">
        <v>2</v>
      </c>
      <c r="G214" s="12">
        <v>3620</v>
      </c>
      <c r="H214" s="12">
        <v>1.1000000000000001</v>
      </c>
      <c r="I214" s="12">
        <v>7160.36</v>
      </c>
      <c r="J214" s="10" t="s">
        <v>57</v>
      </c>
      <c r="K214" s="10" t="s">
        <v>63</v>
      </c>
      <c r="L214" t="str">
        <f>IFERROR(VLOOKUP(D214,Products!A:F,3,0),"")</f>
        <v>Apparel</v>
      </c>
      <c r="M214" t="str">
        <f>IFERROR(VLOOKUP(E214,Sales_Reps!A:E,3,0),"")</f>
        <v>West</v>
      </c>
      <c r="N214" t="str">
        <f>IFERROR(VLOOKUP(C214,Customers!A:F,5,0),"")</f>
        <v>SMB</v>
      </c>
      <c r="O214">
        <f>IFERROR(VLOOKUP(C214,Customers!A:F,3,0),"")</f>
        <v>29</v>
      </c>
      <c r="P214">
        <f>IFERROR(VLOOKUP(D214,Products!A:F,4,0),"")</f>
        <v>2509</v>
      </c>
      <c r="Q214" t="b">
        <f>IFERROR(VLOOKUP(D214,Products!A:F,6,0),"")</f>
        <v>1</v>
      </c>
      <c r="R214">
        <f t="shared" si="9"/>
        <v>0.3069060773480663</v>
      </c>
      <c r="S214">
        <f t="shared" si="10"/>
        <v>1</v>
      </c>
      <c r="T214">
        <f>IF(AND(S214&gt;1,COUNTIF($A$2:A214,A214)=1),1,0)</f>
        <v>0</v>
      </c>
      <c r="U214">
        <f>COUNTIF(Customers!$A$2:$A$301,C214)</f>
        <v>1</v>
      </c>
      <c r="V214">
        <f t="shared" si="11"/>
        <v>0</v>
      </c>
    </row>
    <row r="215" spans="1:22" ht="14.25" customHeight="1" x14ac:dyDescent="0.35">
      <c r="A215" s="10" t="s">
        <v>511</v>
      </c>
      <c r="B215" s="11">
        <v>45573</v>
      </c>
      <c r="C215" s="10" t="s">
        <v>255</v>
      </c>
      <c r="D215" s="10" t="s">
        <v>372</v>
      </c>
      <c r="E215" s="10" t="s">
        <v>71</v>
      </c>
      <c r="F215" s="12">
        <v>8</v>
      </c>
      <c r="G215" s="12">
        <v>3970</v>
      </c>
      <c r="H215" s="12">
        <v>18.100000000000001</v>
      </c>
      <c r="I215" s="12">
        <v>26011.439999999999</v>
      </c>
      <c r="J215" s="10" t="s">
        <v>51</v>
      </c>
      <c r="K215" s="10" t="s">
        <v>63</v>
      </c>
      <c r="L215" t="str">
        <f>IFERROR(VLOOKUP(D215,Products!A:F,3,0),"")</f>
        <v>Electronics</v>
      </c>
      <c r="M215" t="str">
        <f>IFERROR(VLOOKUP(E215,Sales_Reps!A:E,3,0),"")</f>
        <v>North</v>
      </c>
      <c r="N215" t="str">
        <f>IFERROR(VLOOKUP(C215,Customers!A:F,5,0),"")</f>
        <v>Retail</v>
      </c>
      <c r="O215">
        <f>IFERROR(VLOOKUP(C215,Customers!A:F,3,0),"")</f>
        <v>35</v>
      </c>
      <c r="P215">
        <f>IFERROR(VLOOKUP(D215,Products!A:F,4,0),"")</f>
        <v>2865</v>
      </c>
      <c r="Q215" t="b">
        <f>IFERROR(VLOOKUP(D215,Products!A:F,6,0),"")</f>
        <v>1</v>
      </c>
      <c r="R215">
        <f t="shared" si="9"/>
        <v>0.27833753148614609</v>
      </c>
      <c r="S215">
        <f t="shared" si="10"/>
        <v>1</v>
      </c>
      <c r="T215">
        <f>IF(AND(S215&gt;1,COUNTIF($A$2:A215,A215)=1),1,0)</f>
        <v>0</v>
      </c>
      <c r="U215">
        <f>COUNTIF(Customers!$A$2:$A$301,C215)</f>
        <v>1</v>
      </c>
      <c r="V215">
        <f t="shared" si="11"/>
        <v>0</v>
      </c>
    </row>
    <row r="216" spans="1:22" ht="14.25" customHeight="1" x14ac:dyDescent="0.35">
      <c r="A216" s="10" t="s">
        <v>512</v>
      </c>
      <c r="B216" s="11">
        <v>45534</v>
      </c>
      <c r="C216" s="10" t="s">
        <v>130</v>
      </c>
      <c r="D216" s="10" t="s">
        <v>209</v>
      </c>
      <c r="E216" s="10" t="s">
        <v>165</v>
      </c>
      <c r="F216" s="12">
        <v>8</v>
      </c>
      <c r="G216" s="12">
        <v>2270</v>
      </c>
      <c r="H216" s="12">
        <v>19.600000000000001</v>
      </c>
      <c r="I216" s="12">
        <v>14600.64</v>
      </c>
      <c r="J216" s="10" t="s">
        <v>51</v>
      </c>
      <c r="K216" s="10" t="s">
        <v>97</v>
      </c>
      <c r="L216" t="str">
        <f>IFERROR(VLOOKUP(D216,Products!A:F,3,0),"")</f>
        <v>Grocery</v>
      </c>
      <c r="M216" t="str">
        <f>IFERROR(VLOOKUP(E216,Sales_Reps!A:E,3,0),"")</f>
        <v>West</v>
      </c>
      <c r="N216" t="str">
        <f>IFERROR(VLOOKUP(C216,Customers!A:F,5,0),"")</f>
        <v>Retail</v>
      </c>
      <c r="O216">
        <f>IFERROR(VLOOKUP(C216,Customers!A:F,3,0),"")</f>
        <v>32</v>
      </c>
      <c r="P216">
        <f>IFERROR(VLOOKUP(D216,Products!A:F,4,0),"")</f>
        <v>1412</v>
      </c>
      <c r="Q216" t="b">
        <f>IFERROR(VLOOKUP(D216,Products!A:F,6,0),"")</f>
        <v>1</v>
      </c>
      <c r="R216">
        <f t="shared" si="9"/>
        <v>0.37797356828193834</v>
      </c>
      <c r="S216">
        <f t="shared" si="10"/>
        <v>1</v>
      </c>
      <c r="T216">
        <f>IF(AND(S216&gt;1,COUNTIF($A$2:A216,A216)=1),1,0)</f>
        <v>0</v>
      </c>
      <c r="U216">
        <f>COUNTIF(Customers!$A$2:$A$301,C216)</f>
        <v>1</v>
      </c>
      <c r="V216">
        <f t="shared" si="11"/>
        <v>0</v>
      </c>
    </row>
    <row r="217" spans="1:22" ht="14.25" customHeight="1" x14ac:dyDescent="0.35">
      <c r="A217" s="10" t="s">
        <v>513</v>
      </c>
      <c r="B217" s="11">
        <v>45639</v>
      </c>
      <c r="C217" s="10" t="s">
        <v>230</v>
      </c>
      <c r="D217" s="10" t="s">
        <v>198</v>
      </c>
      <c r="E217" s="10" t="s">
        <v>216</v>
      </c>
      <c r="F217" s="12">
        <v>1</v>
      </c>
      <c r="G217" s="12">
        <v>3780</v>
      </c>
      <c r="H217" s="12">
        <v>22.6</v>
      </c>
      <c r="I217" s="12">
        <v>2925.72</v>
      </c>
      <c r="J217" s="10" t="s">
        <v>51</v>
      </c>
      <c r="K217" s="10" t="s">
        <v>63</v>
      </c>
      <c r="L217" t="str">
        <f>IFERROR(VLOOKUP(D217,Products!A:F,3,0),"")</f>
        <v>Grocery</v>
      </c>
      <c r="M217" t="str">
        <f>IFERROR(VLOOKUP(E217,Sales_Reps!A:E,3,0),"")</f>
        <v>South</v>
      </c>
      <c r="N217" t="str">
        <f>IFERROR(VLOOKUP(C217,Customers!A:F,5,0),"")</f>
        <v>Corporate</v>
      </c>
      <c r="O217">
        <f>IFERROR(VLOOKUP(C217,Customers!A:F,3,0),"")</f>
        <v>55</v>
      </c>
      <c r="P217">
        <f>IFERROR(VLOOKUP(D217,Products!A:F,4,0),"")</f>
        <v>2436</v>
      </c>
      <c r="Q217" t="b">
        <f>IFERROR(VLOOKUP(D217,Products!A:F,6,0),"")</f>
        <v>1</v>
      </c>
      <c r="R217">
        <f t="shared" si="9"/>
        <v>0.35555555555555557</v>
      </c>
      <c r="S217">
        <f t="shared" si="10"/>
        <v>1</v>
      </c>
      <c r="T217">
        <f>IF(AND(S217&gt;1,COUNTIF($A$2:A217,A217)=1),1,0)</f>
        <v>0</v>
      </c>
      <c r="U217">
        <f>COUNTIF(Customers!$A$2:$A$301,C217)</f>
        <v>1</v>
      </c>
      <c r="V217">
        <f t="shared" si="11"/>
        <v>0</v>
      </c>
    </row>
    <row r="218" spans="1:22" ht="14.25" customHeight="1" x14ac:dyDescent="0.35">
      <c r="A218" s="10" t="s">
        <v>514</v>
      </c>
      <c r="B218" s="11">
        <v>45653</v>
      </c>
      <c r="C218" s="10" t="s">
        <v>515</v>
      </c>
      <c r="D218" s="10" t="s">
        <v>228</v>
      </c>
      <c r="E218" s="10" t="s">
        <v>249</v>
      </c>
      <c r="F218" s="12">
        <v>9</v>
      </c>
      <c r="G218" s="12">
        <v>4070</v>
      </c>
      <c r="H218" s="12">
        <v>28.2</v>
      </c>
      <c r="I218" s="12">
        <v>26300.34</v>
      </c>
      <c r="J218" s="10" t="s">
        <v>51</v>
      </c>
      <c r="K218" s="10" t="s">
        <v>76</v>
      </c>
      <c r="L218" t="str">
        <f>IFERROR(VLOOKUP(D218,Products!A:F,3,0),"")</f>
        <v>Grocery</v>
      </c>
      <c r="M218" t="str">
        <f>IFERROR(VLOOKUP(E218,Sales_Reps!A:E,3,0),"")</f>
        <v>East</v>
      </c>
      <c r="N218" t="str">
        <f>IFERROR(VLOOKUP(C218,Customers!A:F,5,0),"")</f>
        <v>Corporate</v>
      </c>
      <c r="O218">
        <f>IFERROR(VLOOKUP(C218,Customers!A:F,3,0),"")</f>
        <v>60</v>
      </c>
      <c r="P218">
        <f>IFERROR(VLOOKUP(D218,Products!A:F,4,0),"")</f>
        <v>2027</v>
      </c>
      <c r="Q218" t="b">
        <f>IFERROR(VLOOKUP(D218,Products!A:F,6,0),"")</f>
        <v>1</v>
      </c>
      <c r="R218">
        <f t="shared" si="9"/>
        <v>0.50196560196560192</v>
      </c>
      <c r="S218">
        <f t="shared" si="10"/>
        <v>1</v>
      </c>
      <c r="T218">
        <f>IF(AND(S218&gt;1,COUNTIF($A$2:A218,A218)=1),1,0)</f>
        <v>0</v>
      </c>
      <c r="U218">
        <f>COUNTIF(Customers!$A$2:$A$301,C218)</f>
        <v>1</v>
      </c>
      <c r="V218">
        <f t="shared" si="11"/>
        <v>0</v>
      </c>
    </row>
    <row r="219" spans="1:22" ht="14.25" customHeight="1" x14ac:dyDescent="0.35">
      <c r="A219" s="10" t="s">
        <v>516</v>
      </c>
      <c r="B219" s="11">
        <v>45424</v>
      </c>
      <c r="C219" s="10" t="s">
        <v>517</v>
      </c>
      <c r="D219" s="10" t="s">
        <v>243</v>
      </c>
      <c r="E219" s="10" t="s">
        <v>67</v>
      </c>
      <c r="F219" s="12">
        <v>9</v>
      </c>
      <c r="G219" s="12">
        <v>2660</v>
      </c>
      <c r="H219" s="12">
        <v>13.1</v>
      </c>
      <c r="I219" s="12">
        <v>20803.86</v>
      </c>
      <c r="J219" s="10" t="s">
        <v>57</v>
      </c>
      <c r="K219" s="10" t="s">
        <v>76</v>
      </c>
      <c r="L219" t="str">
        <f>IFERROR(VLOOKUP(D219,Products!A:F,3,0),"")</f>
        <v>Electronics</v>
      </c>
      <c r="M219" t="str">
        <f>IFERROR(VLOOKUP(E219,Sales_Reps!A:E,3,0),"")</f>
        <v>North</v>
      </c>
      <c r="N219" t="str">
        <f>IFERROR(VLOOKUP(C219,Customers!A:F,5,0),"")</f>
        <v>Retail</v>
      </c>
      <c r="O219">
        <f>IFERROR(VLOOKUP(C219,Customers!A:F,3,0),"")</f>
        <v>65</v>
      </c>
      <c r="P219">
        <f>IFERROR(VLOOKUP(D219,Products!A:F,4,0),"")</f>
        <v>1259</v>
      </c>
      <c r="Q219" t="b">
        <f>IFERROR(VLOOKUP(D219,Products!A:F,6,0),"")</f>
        <v>0</v>
      </c>
      <c r="R219">
        <f t="shared" si="9"/>
        <v>0.52669172932330832</v>
      </c>
      <c r="S219">
        <f t="shared" si="10"/>
        <v>1</v>
      </c>
      <c r="T219">
        <f>IF(AND(S219&gt;1,COUNTIF($A$2:A219,A219)=1),1,0)</f>
        <v>0</v>
      </c>
      <c r="U219">
        <f>COUNTIF(Customers!$A$2:$A$301,C219)</f>
        <v>1</v>
      </c>
      <c r="V219">
        <f t="shared" si="11"/>
        <v>0</v>
      </c>
    </row>
    <row r="220" spans="1:22" ht="14.25" customHeight="1" x14ac:dyDescent="0.35">
      <c r="A220" s="10" t="s">
        <v>518</v>
      </c>
      <c r="B220" s="11">
        <v>45400</v>
      </c>
      <c r="C220" s="10" t="s">
        <v>519</v>
      </c>
      <c r="D220" s="10" t="s">
        <v>151</v>
      </c>
      <c r="E220" s="10" t="s">
        <v>103</v>
      </c>
      <c r="F220" s="12">
        <v>4</v>
      </c>
      <c r="G220" s="12">
        <v>3570</v>
      </c>
      <c r="H220" s="12">
        <v>1.5</v>
      </c>
      <c r="I220" s="12">
        <v>14065.8</v>
      </c>
      <c r="J220" s="10" t="s">
        <v>104</v>
      </c>
      <c r="K220" s="10" t="s">
        <v>76</v>
      </c>
      <c r="L220" t="str">
        <f>IFERROR(VLOOKUP(D220,Products!A:F,3,0),"")</f>
        <v>Electronics</v>
      </c>
      <c r="M220" t="str">
        <f>IFERROR(VLOOKUP(E220,Sales_Reps!A:E,3,0),"")</f>
        <v>North</v>
      </c>
      <c r="N220" t="str">
        <f>IFERROR(VLOOKUP(C220,Customers!A:F,5,0),"")</f>
        <v>Retail</v>
      </c>
      <c r="O220">
        <f>IFERROR(VLOOKUP(C220,Customers!A:F,3,0),"")</f>
        <v>37</v>
      </c>
      <c r="P220">
        <f>IFERROR(VLOOKUP(D220,Products!A:F,4,0),"")</f>
        <v>1665</v>
      </c>
      <c r="Q220" t="b">
        <f>IFERROR(VLOOKUP(D220,Products!A:F,6,0),"")</f>
        <v>1</v>
      </c>
      <c r="R220">
        <f t="shared" si="9"/>
        <v>0.53361344537815125</v>
      </c>
      <c r="S220">
        <f t="shared" si="10"/>
        <v>1</v>
      </c>
      <c r="T220">
        <f>IF(AND(S220&gt;1,COUNTIF($A$2:A220,A220)=1),1,0)</f>
        <v>0</v>
      </c>
      <c r="U220">
        <f>COUNTIF(Customers!$A$2:$A$301,C220)</f>
        <v>1</v>
      </c>
      <c r="V220">
        <f t="shared" si="11"/>
        <v>0</v>
      </c>
    </row>
    <row r="221" spans="1:22" ht="14.25" customHeight="1" x14ac:dyDescent="0.35">
      <c r="A221" s="10" t="s">
        <v>520</v>
      </c>
      <c r="B221" s="11">
        <v>45531</v>
      </c>
      <c r="C221" s="10" t="s">
        <v>521</v>
      </c>
      <c r="D221" s="10" t="s">
        <v>344</v>
      </c>
      <c r="E221" s="10" t="s">
        <v>179</v>
      </c>
      <c r="F221" s="12">
        <v>2</v>
      </c>
      <c r="G221" s="12">
        <v>960</v>
      </c>
      <c r="H221" s="12">
        <v>18.600000000000001</v>
      </c>
      <c r="I221" s="12">
        <v>1562.88</v>
      </c>
      <c r="J221" s="10" t="s">
        <v>51</v>
      </c>
      <c r="K221" s="10" t="s">
        <v>76</v>
      </c>
      <c r="L221" t="str">
        <f>IFERROR(VLOOKUP(D221,Products!A:F,3,0),"")</f>
        <v>Beauty</v>
      </c>
      <c r="M221" t="str">
        <f>IFERROR(VLOOKUP(E221,Sales_Reps!A:E,3,0),"")</f>
        <v>North</v>
      </c>
      <c r="N221" t="str">
        <f>IFERROR(VLOOKUP(C221,Customers!A:F,5,0),"")</f>
        <v>Retail</v>
      </c>
      <c r="O221">
        <f>IFERROR(VLOOKUP(C221,Customers!A:F,3,0),"")</f>
        <v>65</v>
      </c>
      <c r="P221">
        <f>IFERROR(VLOOKUP(D221,Products!A:F,4,0),"")</f>
        <v>675</v>
      </c>
      <c r="Q221" t="b">
        <f>IFERROR(VLOOKUP(D221,Products!A:F,6,0),"")</f>
        <v>1</v>
      </c>
      <c r="R221">
        <f t="shared" si="9"/>
        <v>0.296875</v>
      </c>
      <c r="S221">
        <f t="shared" si="10"/>
        <v>1</v>
      </c>
      <c r="T221">
        <f>IF(AND(S221&gt;1,COUNTIF($A$2:A221,A221)=1),1,0)</f>
        <v>0</v>
      </c>
      <c r="U221">
        <f>COUNTIF(Customers!$A$2:$A$301,C221)</f>
        <v>1</v>
      </c>
      <c r="V221">
        <f t="shared" si="11"/>
        <v>0</v>
      </c>
    </row>
    <row r="222" spans="1:22" ht="14.25" customHeight="1" x14ac:dyDescent="0.35">
      <c r="A222" s="10" t="s">
        <v>522</v>
      </c>
      <c r="B222" s="11">
        <v>45546</v>
      </c>
      <c r="C222" s="10" t="s">
        <v>523</v>
      </c>
      <c r="D222" s="10" t="s">
        <v>121</v>
      </c>
      <c r="E222" s="10" t="s">
        <v>267</v>
      </c>
      <c r="F222" s="12">
        <v>2</v>
      </c>
      <c r="G222" s="12">
        <v>3450</v>
      </c>
      <c r="H222" s="12">
        <v>3.7</v>
      </c>
      <c r="I222" s="12">
        <v>6644.7</v>
      </c>
      <c r="J222" s="10" t="s">
        <v>51</v>
      </c>
      <c r="K222" s="10" t="s">
        <v>52</v>
      </c>
      <c r="L222" t="str">
        <f>IFERROR(VLOOKUP(D222,Products!A:F,3,0),"")</f>
        <v>Beauty</v>
      </c>
      <c r="M222" t="str">
        <f>IFERROR(VLOOKUP(E222,Sales_Reps!A:E,3,0),"")</f>
        <v>East</v>
      </c>
      <c r="N222" t="str">
        <f>IFERROR(VLOOKUP(C222,Customers!A:F,5,0),"")</f>
        <v>Retail</v>
      </c>
      <c r="O222">
        <f>IFERROR(VLOOKUP(C222,Customers!A:F,3,0),"")</f>
        <v>62</v>
      </c>
      <c r="P222">
        <f>IFERROR(VLOOKUP(D222,Products!A:F,4,0),"")</f>
        <v>2420</v>
      </c>
      <c r="Q222" t="b">
        <f>IFERROR(VLOOKUP(D222,Products!A:F,6,0),"")</f>
        <v>1</v>
      </c>
      <c r="R222">
        <f t="shared" si="9"/>
        <v>0.29855072463768118</v>
      </c>
      <c r="S222">
        <f t="shared" si="10"/>
        <v>1</v>
      </c>
      <c r="T222">
        <f>IF(AND(S222&gt;1,COUNTIF($A$2:A222,A222)=1),1,0)</f>
        <v>0</v>
      </c>
      <c r="U222">
        <f>COUNTIF(Customers!$A$2:$A$301,C222)</f>
        <v>1</v>
      </c>
      <c r="V222">
        <f t="shared" si="11"/>
        <v>0</v>
      </c>
    </row>
    <row r="223" spans="1:22" ht="14.25" customHeight="1" x14ac:dyDescent="0.35">
      <c r="A223" s="10" t="s">
        <v>524</v>
      </c>
      <c r="B223" s="11">
        <v>45608</v>
      </c>
      <c r="C223" s="10" t="s">
        <v>525</v>
      </c>
      <c r="D223" s="10" t="s">
        <v>155</v>
      </c>
      <c r="E223" s="10" t="s">
        <v>50</v>
      </c>
      <c r="F223" s="12">
        <v>6</v>
      </c>
      <c r="G223" s="12">
        <v>5100</v>
      </c>
      <c r="H223" s="12">
        <v>1.2</v>
      </c>
      <c r="I223" s="12">
        <v>30232.799999999999</v>
      </c>
      <c r="J223" s="10" t="s">
        <v>51</v>
      </c>
      <c r="K223" s="10" t="s">
        <v>97</v>
      </c>
      <c r="L223" t="str">
        <f>IFERROR(VLOOKUP(D223,Products!A:F,3,0),"")</f>
        <v>Beauty</v>
      </c>
      <c r="M223" t="str">
        <f>IFERROR(VLOOKUP(E223,Sales_Reps!A:E,3,0),"")</f>
        <v>North</v>
      </c>
      <c r="N223" t="str">
        <f>IFERROR(VLOOKUP(C223,Customers!A:F,5,0),"")</f>
        <v>SMB</v>
      </c>
      <c r="O223">
        <f>IFERROR(VLOOKUP(C223,Customers!A:F,3,0),"")</f>
        <v>43</v>
      </c>
      <c r="P223">
        <f>IFERROR(VLOOKUP(D223,Products!A:F,4,0),"")</f>
        <v>2237</v>
      </c>
      <c r="Q223" t="b">
        <f>IFERROR(VLOOKUP(D223,Products!A:F,6,0),"")</f>
        <v>1</v>
      </c>
      <c r="R223">
        <f t="shared" si="9"/>
        <v>0.56137254901960787</v>
      </c>
      <c r="S223">
        <f t="shared" si="10"/>
        <v>1</v>
      </c>
      <c r="T223">
        <f>IF(AND(S223&gt;1,COUNTIF($A$2:A223,A223)=1),1,0)</f>
        <v>0</v>
      </c>
      <c r="U223">
        <f>COUNTIF(Customers!$A$2:$A$301,C223)</f>
        <v>1</v>
      </c>
      <c r="V223">
        <f t="shared" si="11"/>
        <v>0</v>
      </c>
    </row>
    <row r="224" spans="1:22" ht="14.25" customHeight="1" x14ac:dyDescent="0.35">
      <c r="A224" s="10" t="s">
        <v>526</v>
      </c>
      <c r="B224" s="11">
        <v>45614</v>
      </c>
      <c r="C224" s="10" t="s">
        <v>527</v>
      </c>
      <c r="D224" s="10" t="s">
        <v>246</v>
      </c>
      <c r="E224" s="10" t="s">
        <v>56</v>
      </c>
      <c r="F224" s="12">
        <v>9</v>
      </c>
      <c r="G224" s="12">
        <v>300</v>
      </c>
      <c r="H224" s="12">
        <v>25.4</v>
      </c>
      <c r="I224" s="12">
        <v>2014.2</v>
      </c>
      <c r="J224" s="10" t="s">
        <v>104</v>
      </c>
      <c r="K224" s="10" t="s">
        <v>52</v>
      </c>
      <c r="L224" t="str">
        <f>IFERROR(VLOOKUP(D224,Products!A:F,3,0),"")</f>
        <v>Electronics</v>
      </c>
      <c r="M224" t="str">
        <f>IFERROR(VLOOKUP(E224,Sales_Reps!A:E,3,0),"")</f>
        <v>North</v>
      </c>
      <c r="N224" t="str">
        <f>IFERROR(VLOOKUP(C224,Customers!A:F,5,0),"")</f>
        <v>SMB</v>
      </c>
      <c r="O224">
        <f>IFERROR(VLOOKUP(C224,Customers!A:F,3,0),"")</f>
        <v>24</v>
      </c>
      <c r="P224">
        <f>IFERROR(VLOOKUP(D224,Products!A:F,4,0),"")</f>
        <v>128</v>
      </c>
      <c r="Q224" t="b">
        <f>IFERROR(VLOOKUP(D224,Products!A:F,6,0),"")</f>
        <v>1</v>
      </c>
      <c r="R224">
        <f t="shared" si="9"/>
        <v>0.57333333333333336</v>
      </c>
      <c r="S224">
        <f t="shared" si="10"/>
        <v>1</v>
      </c>
      <c r="T224">
        <f>IF(AND(S224&gt;1,COUNTIF($A$2:A224,A224)=1),1,0)</f>
        <v>0</v>
      </c>
      <c r="U224">
        <f>COUNTIF(Customers!$A$2:$A$301,C224)</f>
        <v>1</v>
      </c>
      <c r="V224">
        <f t="shared" si="11"/>
        <v>0</v>
      </c>
    </row>
    <row r="225" spans="1:22" ht="14.25" customHeight="1" x14ac:dyDescent="0.35">
      <c r="A225" s="10" t="s">
        <v>528</v>
      </c>
      <c r="B225" s="11">
        <v>45405</v>
      </c>
      <c r="C225" s="10" t="s">
        <v>529</v>
      </c>
      <c r="D225" s="10" t="s">
        <v>148</v>
      </c>
      <c r="E225" s="10" t="s">
        <v>156</v>
      </c>
      <c r="F225" s="12">
        <v>7</v>
      </c>
      <c r="G225" s="12">
        <v>4880</v>
      </c>
      <c r="H225" s="12">
        <v>16.899999999999999</v>
      </c>
      <c r="I225" s="12">
        <v>28386.959999999999</v>
      </c>
      <c r="J225" s="10" t="s">
        <v>57</v>
      </c>
      <c r="K225" s="10" t="s">
        <v>76</v>
      </c>
      <c r="L225" t="str">
        <f>IFERROR(VLOOKUP(D225,Products!A:F,3,0),"")</f>
        <v>Beauty</v>
      </c>
      <c r="M225" t="str">
        <f>IFERROR(VLOOKUP(E225,Sales_Reps!A:E,3,0),"")</f>
        <v>East</v>
      </c>
      <c r="N225" t="str">
        <f>IFERROR(VLOOKUP(C225,Customers!A:F,5,0),"")</f>
        <v>SMB</v>
      </c>
      <c r="O225">
        <f>IFERROR(VLOOKUP(C225,Customers!A:F,3,0),"")</f>
        <v>61</v>
      </c>
      <c r="P225">
        <f>IFERROR(VLOOKUP(D225,Products!A:F,4,0),"")</f>
        <v>2768</v>
      </c>
      <c r="Q225" t="b">
        <f>IFERROR(VLOOKUP(D225,Products!A:F,6,0),"")</f>
        <v>1</v>
      </c>
      <c r="R225">
        <f t="shared" si="9"/>
        <v>0.43278688524590164</v>
      </c>
      <c r="S225">
        <f t="shared" si="10"/>
        <v>1</v>
      </c>
      <c r="T225">
        <f>IF(AND(S225&gt;1,COUNTIF($A$2:A225,A225)=1),1,0)</f>
        <v>0</v>
      </c>
      <c r="U225">
        <f>COUNTIF(Customers!$A$2:$A$301,C225)</f>
        <v>1</v>
      </c>
      <c r="V225">
        <f t="shared" si="11"/>
        <v>0</v>
      </c>
    </row>
    <row r="226" spans="1:22" ht="14.25" customHeight="1" x14ac:dyDescent="0.35">
      <c r="A226" s="10" t="s">
        <v>530</v>
      </c>
      <c r="B226" s="11">
        <v>45504</v>
      </c>
      <c r="C226" s="10" t="s">
        <v>531</v>
      </c>
      <c r="D226" s="10" t="s">
        <v>107</v>
      </c>
      <c r="E226" s="10" t="s">
        <v>118</v>
      </c>
      <c r="F226" s="12">
        <v>9</v>
      </c>
      <c r="G226" s="12">
        <v>3250</v>
      </c>
      <c r="H226" s="12">
        <v>10.8</v>
      </c>
      <c r="I226" s="12">
        <v>26091</v>
      </c>
      <c r="J226" s="10" t="s">
        <v>104</v>
      </c>
      <c r="K226" s="10" t="s">
        <v>81</v>
      </c>
      <c r="L226" t="str">
        <f>IFERROR(VLOOKUP(D226,Products!A:F,3,0),"")</f>
        <v>Home</v>
      </c>
      <c r="M226" t="str">
        <f>IFERROR(VLOOKUP(E226,Sales_Reps!A:E,3,0),"")</f>
        <v>East</v>
      </c>
      <c r="N226" t="str">
        <f>IFERROR(VLOOKUP(C226,Customers!A:F,5,0),"")</f>
        <v>Corporate</v>
      </c>
      <c r="O226">
        <f>IFERROR(VLOOKUP(C226,Customers!A:F,3,0),"")</f>
        <v>41</v>
      </c>
      <c r="P226">
        <f>IFERROR(VLOOKUP(D226,Products!A:F,4,0),"")</f>
        <v>1556</v>
      </c>
      <c r="Q226" t="b">
        <f>IFERROR(VLOOKUP(D226,Products!A:F,6,0),"")</f>
        <v>1</v>
      </c>
      <c r="R226">
        <f t="shared" si="9"/>
        <v>0.52123076923076928</v>
      </c>
      <c r="S226">
        <f t="shared" si="10"/>
        <v>1</v>
      </c>
      <c r="T226">
        <f>IF(AND(S226&gt;1,COUNTIF($A$2:A226,A226)=1),1,0)</f>
        <v>0</v>
      </c>
      <c r="U226">
        <f>COUNTIF(Customers!$A$2:$A$301,C226)</f>
        <v>1</v>
      </c>
      <c r="V226">
        <f t="shared" si="11"/>
        <v>0</v>
      </c>
    </row>
    <row r="227" spans="1:22" ht="14.25" customHeight="1" x14ac:dyDescent="0.35">
      <c r="A227" s="10" t="s">
        <v>532</v>
      </c>
      <c r="B227" s="11">
        <v>45298</v>
      </c>
      <c r="C227" s="10" t="s">
        <v>406</v>
      </c>
      <c r="D227" s="10" t="s">
        <v>121</v>
      </c>
      <c r="E227" s="10" t="s">
        <v>67</v>
      </c>
      <c r="F227" s="12">
        <v>3</v>
      </c>
      <c r="G227" s="12">
        <v>3450</v>
      </c>
      <c r="H227" s="12">
        <v>5.4</v>
      </c>
      <c r="I227" s="12">
        <v>9791.1</v>
      </c>
      <c r="J227" s="10" t="s">
        <v>57</v>
      </c>
      <c r="K227" s="10" t="s">
        <v>52</v>
      </c>
      <c r="L227" t="str">
        <f>IFERROR(VLOOKUP(D227,Products!A:F,3,0),"")</f>
        <v>Beauty</v>
      </c>
      <c r="M227" t="str">
        <f>IFERROR(VLOOKUP(E227,Sales_Reps!A:E,3,0),"")</f>
        <v>North</v>
      </c>
      <c r="N227" t="str">
        <f>IFERROR(VLOOKUP(C227,Customers!A:F,5,0),"")</f>
        <v>Retail</v>
      </c>
      <c r="O227">
        <f>IFERROR(VLOOKUP(C227,Customers!A:F,3,0),"")</f>
        <v>65</v>
      </c>
      <c r="P227">
        <f>IFERROR(VLOOKUP(D227,Products!A:F,4,0),"")</f>
        <v>2420</v>
      </c>
      <c r="Q227" t="b">
        <f>IFERROR(VLOOKUP(D227,Products!A:F,6,0),"")</f>
        <v>1</v>
      </c>
      <c r="R227">
        <f t="shared" si="9"/>
        <v>0.29855072463768118</v>
      </c>
      <c r="S227">
        <f t="shared" si="10"/>
        <v>1</v>
      </c>
      <c r="T227">
        <f>IF(AND(S227&gt;1,COUNTIF($A$2:A227,A227)=1),1,0)</f>
        <v>0</v>
      </c>
      <c r="U227">
        <f>COUNTIF(Customers!$A$2:$A$301,C227)</f>
        <v>1</v>
      </c>
      <c r="V227">
        <f t="shared" si="11"/>
        <v>0</v>
      </c>
    </row>
    <row r="228" spans="1:22" ht="14.25" customHeight="1" x14ac:dyDescent="0.35">
      <c r="A228" s="10" t="s">
        <v>533</v>
      </c>
      <c r="B228" s="11">
        <v>45346</v>
      </c>
      <c r="C228" s="10" t="s">
        <v>534</v>
      </c>
      <c r="D228" s="10" t="s">
        <v>205</v>
      </c>
      <c r="E228" s="10" t="s">
        <v>122</v>
      </c>
      <c r="F228" s="12">
        <v>5</v>
      </c>
      <c r="G228" s="12">
        <v>6080</v>
      </c>
      <c r="H228" s="12">
        <v>18</v>
      </c>
      <c r="I228" s="12">
        <v>24928</v>
      </c>
      <c r="J228" s="10" t="s">
        <v>51</v>
      </c>
      <c r="K228" s="10" t="s">
        <v>63</v>
      </c>
      <c r="L228" t="str">
        <f>IFERROR(VLOOKUP(D228,Products!A:F,3,0),"")</f>
        <v>Beauty</v>
      </c>
      <c r="M228" t="str">
        <f>IFERROR(VLOOKUP(E228,Sales_Reps!A:E,3,0),"")</f>
        <v>East</v>
      </c>
      <c r="N228" t="str">
        <f>IFERROR(VLOOKUP(C228,Customers!A:F,5,0),"")</f>
        <v>Corporate</v>
      </c>
      <c r="O228">
        <f>IFERROR(VLOOKUP(C228,Customers!A:F,3,0),"")</f>
        <v>47</v>
      </c>
      <c r="P228">
        <f>IFERROR(VLOOKUP(D228,Products!A:F,4,0),"")</f>
        <v>2617</v>
      </c>
      <c r="Q228" t="b">
        <f>IFERROR(VLOOKUP(D228,Products!A:F,6,0),"")</f>
        <v>1</v>
      </c>
      <c r="R228">
        <f t="shared" si="9"/>
        <v>0.56957236842105263</v>
      </c>
      <c r="S228">
        <f t="shared" si="10"/>
        <v>1</v>
      </c>
      <c r="T228">
        <f>IF(AND(S228&gt;1,COUNTIF($A$2:A228,A228)=1),1,0)</f>
        <v>0</v>
      </c>
      <c r="U228">
        <f>COUNTIF(Customers!$A$2:$A$301,C228)</f>
        <v>1</v>
      </c>
      <c r="V228">
        <f t="shared" si="11"/>
        <v>0</v>
      </c>
    </row>
    <row r="229" spans="1:22" ht="14.25" customHeight="1" x14ac:dyDescent="0.35">
      <c r="A229" s="10" t="s">
        <v>535</v>
      </c>
      <c r="B229" s="11">
        <v>45487</v>
      </c>
      <c r="C229" s="10" t="s">
        <v>404</v>
      </c>
      <c r="D229" s="10" t="s">
        <v>205</v>
      </c>
      <c r="E229" s="10" t="s">
        <v>249</v>
      </c>
      <c r="F229" s="12">
        <v>7</v>
      </c>
      <c r="G229" s="12">
        <v>6080</v>
      </c>
      <c r="H229" s="12">
        <v>9.1999999999999993</v>
      </c>
      <c r="I229" s="12">
        <v>38644.480000000003</v>
      </c>
      <c r="J229" s="10" t="s">
        <v>51</v>
      </c>
      <c r="K229" s="10" t="s">
        <v>52</v>
      </c>
      <c r="L229" t="str">
        <f>IFERROR(VLOOKUP(D229,Products!A:F,3,0),"")</f>
        <v>Beauty</v>
      </c>
      <c r="M229" t="str">
        <f>IFERROR(VLOOKUP(E229,Sales_Reps!A:E,3,0),"")</f>
        <v>East</v>
      </c>
      <c r="N229" t="str">
        <f>IFERROR(VLOOKUP(C229,Customers!A:F,5,0),"")</f>
        <v>SMB</v>
      </c>
      <c r="O229">
        <f>IFERROR(VLOOKUP(C229,Customers!A:F,3,0),"")</f>
        <v>30</v>
      </c>
      <c r="P229">
        <f>IFERROR(VLOOKUP(D229,Products!A:F,4,0),"")</f>
        <v>2617</v>
      </c>
      <c r="Q229" t="b">
        <f>IFERROR(VLOOKUP(D229,Products!A:F,6,0),"")</f>
        <v>1</v>
      </c>
      <c r="R229">
        <f t="shared" si="9"/>
        <v>0.56957236842105263</v>
      </c>
      <c r="S229">
        <f t="shared" si="10"/>
        <v>1</v>
      </c>
      <c r="T229">
        <f>IF(AND(S229&gt;1,COUNTIF($A$2:A229,A229)=1),1,0)</f>
        <v>0</v>
      </c>
      <c r="U229">
        <f>COUNTIF(Customers!$A$2:$A$301,C229)</f>
        <v>1</v>
      </c>
      <c r="V229">
        <f t="shared" si="11"/>
        <v>0</v>
      </c>
    </row>
    <row r="230" spans="1:22" ht="14.25" customHeight="1" x14ac:dyDescent="0.35">
      <c r="A230" s="10" t="s">
        <v>536</v>
      </c>
      <c r="B230" s="11">
        <v>45585</v>
      </c>
      <c r="C230" s="10" t="s">
        <v>503</v>
      </c>
      <c r="D230" s="10" t="s">
        <v>95</v>
      </c>
      <c r="E230" s="10" t="s">
        <v>62</v>
      </c>
      <c r="F230" s="12">
        <v>5</v>
      </c>
      <c r="G230" s="12">
        <v>2270</v>
      </c>
      <c r="H230" s="12">
        <v>0.4</v>
      </c>
      <c r="I230" s="12">
        <v>11304.6</v>
      </c>
      <c r="J230" s="10" t="s">
        <v>104</v>
      </c>
      <c r="K230" s="10" t="s">
        <v>97</v>
      </c>
      <c r="L230" t="str">
        <f>IFERROR(VLOOKUP(D230,Products!A:F,3,0),"")</f>
        <v>Grocery</v>
      </c>
      <c r="M230" t="str">
        <f>IFERROR(VLOOKUP(E230,Sales_Reps!A:E,3,0),"")</f>
        <v>South</v>
      </c>
      <c r="N230" t="str">
        <f>IFERROR(VLOOKUP(C230,Customers!A:F,5,0),"")</f>
        <v>Retail</v>
      </c>
      <c r="O230">
        <f>IFERROR(VLOOKUP(C230,Customers!A:F,3,0),"")</f>
        <v>38</v>
      </c>
      <c r="P230">
        <f>IFERROR(VLOOKUP(D230,Products!A:F,4,0),"")</f>
        <v>1203</v>
      </c>
      <c r="Q230" t="b">
        <f>IFERROR(VLOOKUP(D230,Products!A:F,6,0),"")</f>
        <v>1</v>
      </c>
      <c r="R230">
        <f t="shared" si="9"/>
        <v>0.47004405286343615</v>
      </c>
      <c r="S230">
        <f t="shared" si="10"/>
        <v>1</v>
      </c>
      <c r="T230">
        <f>IF(AND(S230&gt;1,COUNTIF($A$2:A230,A230)=1),1,0)</f>
        <v>0</v>
      </c>
      <c r="U230">
        <f>COUNTIF(Customers!$A$2:$A$301,C230)</f>
        <v>1</v>
      </c>
      <c r="V230">
        <f t="shared" si="11"/>
        <v>0</v>
      </c>
    </row>
    <row r="231" spans="1:22" ht="14.25" customHeight="1" x14ac:dyDescent="0.35">
      <c r="A231" s="10" t="s">
        <v>537</v>
      </c>
      <c r="B231" s="11">
        <v>45373</v>
      </c>
      <c r="C231" s="10" t="s">
        <v>335</v>
      </c>
      <c r="D231" s="10" t="s">
        <v>148</v>
      </c>
      <c r="E231" s="10" t="s">
        <v>310</v>
      </c>
      <c r="F231" s="12">
        <v>10</v>
      </c>
      <c r="G231" s="12">
        <v>4880</v>
      </c>
      <c r="H231" s="12">
        <v>24.5</v>
      </c>
      <c r="I231" s="12">
        <v>36844</v>
      </c>
      <c r="J231" s="10" t="s">
        <v>108</v>
      </c>
      <c r="K231" s="10" t="s">
        <v>76</v>
      </c>
      <c r="L231" t="str">
        <f>IFERROR(VLOOKUP(D231,Products!A:F,3,0),"")</f>
        <v>Beauty</v>
      </c>
      <c r="M231" t="str">
        <f>IFERROR(VLOOKUP(E231,Sales_Reps!A:E,3,0),"")</f>
        <v>South</v>
      </c>
      <c r="N231" t="str">
        <f>IFERROR(VLOOKUP(C231,Customers!A:F,5,0),"")</f>
        <v>Retail</v>
      </c>
      <c r="O231">
        <f>IFERROR(VLOOKUP(C231,Customers!A:F,3,0),"")</f>
        <v>42</v>
      </c>
      <c r="P231">
        <f>IFERROR(VLOOKUP(D231,Products!A:F,4,0),"")</f>
        <v>2768</v>
      </c>
      <c r="Q231" t="b">
        <f>IFERROR(VLOOKUP(D231,Products!A:F,6,0),"")</f>
        <v>1</v>
      </c>
      <c r="R231">
        <f t="shared" si="9"/>
        <v>0.43278688524590164</v>
      </c>
      <c r="S231">
        <f t="shared" si="10"/>
        <v>1</v>
      </c>
      <c r="T231">
        <f>IF(AND(S231&gt;1,COUNTIF($A$2:A231,A231)=1),1,0)</f>
        <v>0</v>
      </c>
      <c r="U231">
        <f>COUNTIF(Customers!$A$2:$A$301,C231)</f>
        <v>1</v>
      </c>
      <c r="V231">
        <f t="shared" si="11"/>
        <v>0</v>
      </c>
    </row>
    <row r="232" spans="1:22" ht="14.25" customHeight="1" x14ac:dyDescent="0.35">
      <c r="A232" s="10" t="s">
        <v>538</v>
      </c>
      <c r="B232" s="11">
        <v>45293</v>
      </c>
      <c r="C232" s="10" t="s">
        <v>142</v>
      </c>
      <c r="D232" s="10" t="s">
        <v>331</v>
      </c>
      <c r="E232" s="10" t="s">
        <v>261</v>
      </c>
      <c r="F232" s="12">
        <v>2</v>
      </c>
      <c r="G232" s="12">
        <v>2380</v>
      </c>
      <c r="H232" s="12">
        <v>2.2999999999999998</v>
      </c>
      <c r="I232" s="12">
        <v>4650.5200000000004</v>
      </c>
      <c r="J232" s="10" t="s">
        <v>51</v>
      </c>
      <c r="K232" s="10" t="s">
        <v>58</v>
      </c>
      <c r="L232" t="str">
        <f>IFERROR(VLOOKUP(D232,Products!A:F,3,0),"")</f>
        <v>Grocery</v>
      </c>
      <c r="M232" t="str">
        <f>IFERROR(VLOOKUP(E232,Sales_Reps!A:E,3,0),"")</f>
        <v>North</v>
      </c>
      <c r="N232" t="str">
        <f>IFERROR(VLOOKUP(C232,Customers!A:F,5,0),"")</f>
        <v>Corporate</v>
      </c>
      <c r="O232">
        <f>IFERROR(VLOOKUP(C232,Customers!A:F,3,0),"")</f>
        <v>55</v>
      </c>
      <c r="P232">
        <f>IFERROR(VLOOKUP(D232,Products!A:F,4,0),"")</f>
        <v>1182</v>
      </c>
      <c r="Q232" t="b">
        <f>IFERROR(VLOOKUP(D232,Products!A:F,6,0),"")</f>
        <v>1</v>
      </c>
      <c r="R232">
        <f t="shared" si="9"/>
        <v>0.50336134453781511</v>
      </c>
      <c r="S232">
        <f t="shared" si="10"/>
        <v>1</v>
      </c>
      <c r="T232">
        <f>IF(AND(S232&gt;1,COUNTIF($A$2:A232,A232)=1),1,0)</f>
        <v>0</v>
      </c>
      <c r="U232">
        <f>COUNTIF(Customers!$A$2:$A$301,C232)</f>
        <v>1</v>
      </c>
      <c r="V232">
        <f t="shared" si="11"/>
        <v>0</v>
      </c>
    </row>
    <row r="233" spans="1:22" ht="14.25" customHeight="1" x14ac:dyDescent="0.35">
      <c r="A233" s="10" t="s">
        <v>539</v>
      </c>
      <c r="B233" s="11">
        <v>45498</v>
      </c>
      <c r="C233" s="10" t="s">
        <v>253</v>
      </c>
      <c r="D233" s="10" t="s">
        <v>146</v>
      </c>
      <c r="E233" s="10" t="s">
        <v>75</v>
      </c>
      <c r="F233" s="12">
        <v>1</v>
      </c>
      <c r="G233" s="12">
        <v>1010</v>
      </c>
      <c r="H233" s="12">
        <v>29.9</v>
      </c>
      <c r="I233" s="12">
        <v>708.01</v>
      </c>
      <c r="J233" s="10" t="s">
        <v>51</v>
      </c>
      <c r="K233" s="10" t="s">
        <v>58</v>
      </c>
      <c r="L233" t="str">
        <f>IFERROR(VLOOKUP(D233,Products!A:F,3,0),"")</f>
        <v>Sports</v>
      </c>
      <c r="M233" t="str">
        <f>IFERROR(VLOOKUP(E233,Sales_Reps!A:E,3,0),"")</f>
        <v>West</v>
      </c>
      <c r="N233" t="str">
        <f>IFERROR(VLOOKUP(C233,Customers!A:F,5,0),"")</f>
        <v>Retail</v>
      </c>
      <c r="O233">
        <f>IFERROR(VLOOKUP(C233,Customers!A:F,3,0),"")</f>
        <v>38</v>
      </c>
      <c r="P233">
        <f>IFERROR(VLOOKUP(D233,Products!A:F,4,0),"")</f>
        <v>516</v>
      </c>
      <c r="Q233" t="b">
        <f>IFERROR(VLOOKUP(D233,Products!A:F,6,0),"")</f>
        <v>1</v>
      </c>
      <c r="R233">
        <f t="shared" si="9"/>
        <v>0.4891089108910891</v>
      </c>
      <c r="S233">
        <f t="shared" si="10"/>
        <v>1</v>
      </c>
      <c r="T233">
        <f>IF(AND(S233&gt;1,COUNTIF($A$2:A233,A233)=1),1,0)</f>
        <v>0</v>
      </c>
      <c r="U233">
        <f>COUNTIF(Customers!$A$2:$A$301,C233)</f>
        <v>1</v>
      </c>
      <c r="V233">
        <f t="shared" si="11"/>
        <v>0</v>
      </c>
    </row>
    <row r="234" spans="1:22" ht="14.25" customHeight="1" x14ac:dyDescent="0.35">
      <c r="A234" s="10" t="s">
        <v>540</v>
      </c>
      <c r="B234" s="11">
        <v>45643</v>
      </c>
      <c r="C234" s="10" t="s">
        <v>276</v>
      </c>
      <c r="D234" s="10" t="s">
        <v>479</v>
      </c>
      <c r="E234" s="10" t="s">
        <v>193</v>
      </c>
      <c r="F234" s="12">
        <v>7</v>
      </c>
      <c r="G234" s="12">
        <v>6940</v>
      </c>
      <c r="H234" s="12">
        <v>25.8</v>
      </c>
      <c r="I234" s="12">
        <v>36046.36</v>
      </c>
      <c r="J234" s="10" t="s">
        <v>51</v>
      </c>
      <c r="K234" s="10" t="s">
        <v>97</v>
      </c>
      <c r="L234" t="str">
        <f>IFERROR(VLOOKUP(D234,Products!A:F,3,0),"")</f>
        <v>Sports</v>
      </c>
      <c r="M234" t="str">
        <f>IFERROR(VLOOKUP(E234,Sales_Reps!A:E,3,0),"")</f>
        <v>West</v>
      </c>
      <c r="N234" t="str">
        <f>IFERROR(VLOOKUP(C234,Customers!A:F,5,0),"")</f>
        <v>Retail</v>
      </c>
      <c r="O234">
        <f>IFERROR(VLOOKUP(C234,Customers!A:F,3,0),"")</f>
        <v>46</v>
      </c>
      <c r="P234">
        <f>IFERROR(VLOOKUP(D234,Products!A:F,4,0),"")</f>
        <v>2827</v>
      </c>
      <c r="Q234" t="b">
        <f>IFERROR(VLOOKUP(D234,Products!A:F,6,0),"")</f>
        <v>1</v>
      </c>
      <c r="R234">
        <f t="shared" si="9"/>
        <v>0.5926512968299712</v>
      </c>
      <c r="S234">
        <f t="shared" si="10"/>
        <v>1</v>
      </c>
      <c r="T234">
        <f>IF(AND(S234&gt;1,COUNTIF($A$2:A234,A234)=1),1,0)</f>
        <v>0</v>
      </c>
      <c r="U234">
        <f>COUNTIF(Customers!$A$2:$A$301,C234)</f>
        <v>1</v>
      </c>
      <c r="V234">
        <f t="shared" si="11"/>
        <v>0</v>
      </c>
    </row>
    <row r="235" spans="1:22" ht="14.25" customHeight="1" x14ac:dyDescent="0.35">
      <c r="A235" s="10" t="s">
        <v>541</v>
      </c>
      <c r="B235" s="11">
        <v>45542</v>
      </c>
      <c r="C235" s="10" t="s">
        <v>517</v>
      </c>
      <c r="D235" s="10" t="s">
        <v>350</v>
      </c>
      <c r="E235" s="10" t="s">
        <v>80</v>
      </c>
      <c r="F235" s="12">
        <v>6</v>
      </c>
      <c r="G235" s="12">
        <v>2290</v>
      </c>
      <c r="H235" s="12">
        <v>25.9</v>
      </c>
      <c r="I235" s="12">
        <v>10181.34</v>
      </c>
      <c r="J235" s="10" t="s">
        <v>57</v>
      </c>
      <c r="K235" s="10" t="s">
        <v>76</v>
      </c>
      <c r="L235" t="str">
        <f>IFERROR(VLOOKUP(D235,Products!A:F,3,0),"")</f>
        <v>Beauty</v>
      </c>
      <c r="M235" t="str">
        <f>IFERROR(VLOOKUP(E235,Sales_Reps!A:E,3,0),"")</f>
        <v>West</v>
      </c>
      <c r="N235" t="str">
        <f>IFERROR(VLOOKUP(C235,Customers!A:F,5,0),"")</f>
        <v>Retail</v>
      </c>
      <c r="O235">
        <f>IFERROR(VLOOKUP(C235,Customers!A:F,3,0),"")</f>
        <v>65</v>
      </c>
      <c r="P235">
        <f>IFERROR(VLOOKUP(D235,Products!A:F,4,0),"")</f>
        <v>1219</v>
      </c>
      <c r="Q235" t="b">
        <f>IFERROR(VLOOKUP(D235,Products!A:F,6,0),"")</f>
        <v>1</v>
      </c>
      <c r="R235">
        <f t="shared" si="9"/>
        <v>0.46768558951965067</v>
      </c>
      <c r="S235">
        <f t="shared" si="10"/>
        <v>1</v>
      </c>
      <c r="T235">
        <f>IF(AND(S235&gt;1,COUNTIF($A$2:A235,A235)=1),1,0)</f>
        <v>0</v>
      </c>
      <c r="U235">
        <f>COUNTIF(Customers!$A$2:$A$301,C235)</f>
        <v>1</v>
      </c>
      <c r="V235">
        <f t="shared" si="11"/>
        <v>0</v>
      </c>
    </row>
    <row r="236" spans="1:22" ht="14.25" customHeight="1" x14ac:dyDescent="0.35">
      <c r="A236" s="10" t="s">
        <v>542</v>
      </c>
      <c r="B236" s="11">
        <v>45508</v>
      </c>
      <c r="C236" s="10" t="s">
        <v>101</v>
      </c>
      <c r="D236" s="10" t="s">
        <v>74</v>
      </c>
      <c r="E236" s="10" t="s">
        <v>62</v>
      </c>
      <c r="F236" s="12">
        <v>2</v>
      </c>
      <c r="G236" s="12">
        <v>370</v>
      </c>
      <c r="H236" s="12">
        <v>3.9</v>
      </c>
      <c r="I236" s="12">
        <v>711.14</v>
      </c>
      <c r="J236" s="10" t="s">
        <v>51</v>
      </c>
      <c r="K236" s="10" t="s">
        <v>63</v>
      </c>
      <c r="L236" t="str">
        <f>IFERROR(VLOOKUP(D236,Products!A:F,3,0),"")</f>
        <v>Home</v>
      </c>
      <c r="M236" t="str">
        <f>IFERROR(VLOOKUP(E236,Sales_Reps!A:E,3,0),"")</f>
        <v>South</v>
      </c>
      <c r="N236" t="str">
        <f>IFERROR(VLOOKUP(C236,Customers!A:F,5,0),"")</f>
        <v>SMB</v>
      </c>
      <c r="O236">
        <f>IFERROR(VLOOKUP(C236,Customers!A:F,3,0),"")</f>
        <v>27</v>
      </c>
      <c r="P236">
        <f>IFERROR(VLOOKUP(D236,Products!A:F,4,0),"")</f>
        <v>288</v>
      </c>
      <c r="Q236" t="b">
        <f>IFERROR(VLOOKUP(D236,Products!A:F,6,0),"")</f>
        <v>1</v>
      </c>
      <c r="R236">
        <f t="shared" si="9"/>
        <v>0.22162162162162163</v>
      </c>
      <c r="S236">
        <f t="shared" si="10"/>
        <v>1</v>
      </c>
      <c r="T236">
        <f>IF(AND(S236&gt;1,COUNTIF($A$2:A236,A236)=1),1,0)</f>
        <v>0</v>
      </c>
      <c r="U236">
        <f>COUNTIF(Customers!$A$2:$A$301,C236)</f>
        <v>1</v>
      </c>
      <c r="V236">
        <f t="shared" si="11"/>
        <v>0</v>
      </c>
    </row>
    <row r="237" spans="1:22" ht="14.25" customHeight="1" x14ac:dyDescent="0.35">
      <c r="A237" s="10" t="s">
        <v>543</v>
      </c>
      <c r="B237" s="11">
        <v>45353</v>
      </c>
      <c r="C237" s="10" t="s">
        <v>544</v>
      </c>
      <c r="D237" s="10" t="s">
        <v>209</v>
      </c>
      <c r="E237" s="10" t="s">
        <v>156</v>
      </c>
      <c r="F237" s="12">
        <v>1</v>
      </c>
      <c r="G237" s="12">
        <v>2270</v>
      </c>
      <c r="H237" s="12">
        <v>25.3</v>
      </c>
      <c r="I237" s="12">
        <v>1695.69</v>
      </c>
      <c r="J237" s="10" t="s">
        <v>51</v>
      </c>
      <c r="K237" s="10" t="s">
        <v>52</v>
      </c>
      <c r="L237" t="str">
        <f>IFERROR(VLOOKUP(D237,Products!A:F,3,0),"")</f>
        <v>Grocery</v>
      </c>
      <c r="M237" t="str">
        <f>IFERROR(VLOOKUP(E237,Sales_Reps!A:E,3,0),"")</f>
        <v>East</v>
      </c>
      <c r="N237" t="str">
        <f>IFERROR(VLOOKUP(C237,Customers!A:F,5,0),"")</f>
        <v>Corporate</v>
      </c>
      <c r="O237">
        <f>IFERROR(VLOOKUP(C237,Customers!A:F,3,0),"")</f>
        <v>40</v>
      </c>
      <c r="P237">
        <f>IFERROR(VLOOKUP(D237,Products!A:F,4,0),"")</f>
        <v>1412</v>
      </c>
      <c r="Q237" t="b">
        <f>IFERROR(VLOOKUP(D237,Products!A:F,6,0),"")</f>
        <v>1</v>
      </c>
      <c r="R237">
        <f t="shared" si="9"/>
        <v>0.37797356828193834</v>
      </c>
      <c r="S237">
        <f t="shared" si="10"/>
        <v>1</v>
      </c>
      <c r="T237">
        <f>IF(AND(S237&gt;1,COUNTIF($A$2:A237,A237)=1),1,0)</f>
        <v>0</v>
      </c>
      <c r="U237">
        <f>COUNTIF(Customers!$A$2:$A$301,C237)</f>
        <v>1</v>
      </c>
      <c r="V237">
        <f t="shared" si="11"/>
        <v>0</v>
      </c>
    </row>
    <row r="238" spans="1:22" ht="14.25" customHeight="1" x14ac:dyDescent="0.35">
      <c r="A238" s="10" t="s">
        <v>545</v>
      </c>
      <c r="B238" s="11">
        <v>45344</v>
      </c>
      <c r="C238" s="10" t="s">
        <v>546</v>
      </c>
      <c r="D238" s="10" t="s">
        <v>205</v>
      </c>
      <c r="E238" s="10" t="s">
        <v>261</v>
      </c>
      <c r="F238" s="12">
        <v>4</v>
      </c>
      <c r="G238" s="12">
        <v>6080</v>
      </c>
      <c r="H238" s="12">
        <v>28.8</v>
      </c>
      <c r="I238" s="12">
        <v>17315.84</v>
      </c>
      <c r="J238" s="10" t="s">
        <v>57</v>
      </c>
      <c r="K238" s="10" t="s">
        <v>58</v>
      </c>
      <c r="L238" t="str">
        <f>IFERROR(VLOOKUP(D238,Products!A:F,3,0),"")</f>
        <v>Beauty</v>
      </c>
      <c r="M238" t="str">
        <f>IFERROR(VLOOKUP(E238,Sales_Reps!A:E,3,0),"")</f>
        <v>North</v>
      </c>
      <c r="N238" t="str">
        <f>IFERROR(VLOOKUP(C238,Customers!A:F,5,0),"")</f>
        <v>SMB</v>
      </c>
      <c r="O238">
        <f>IFERROR(VLOOKUP(C238,Customers!A:F,3,0),"")</f>
        <v>59</v>
      </c>
      <c r="P238">
        <f>IFERROR(VLOOKUP(D238,Products!A:F,4,0),"")</f>
        <v>2617</v>
      </c>
      <c r="Q238" t="b">
        <f>IFERROR(VLOOKUP(D238,Products!A:F,6,0),"")</f>
        <v>1</v>
      </c>
      <c r="R238">
        <f t="shared" si="9"/>
        <v>0.56957236842105263</v>
      </c>
      <c r="S238">
        <f t="shared" si="10"/>
        <v>1</v>
      </c>
      <c r="T238">
        <f>IF(AND(S238&gt;1,COUNTIF($A$2:A238,A238)=1),1,0)</f>
        <v>0</v>
      </c>
      <c r="U238">
        <f>COUNTIF(Customers!$A$2:$A$301,C238)</f>
        <v>1</v>
      </c>
      <c r="V238">
        <f t="shared" si="11"/>
        <v>0</v>
      </c>
    </row>
    <row r="239" spans="1:22" ht="14.25" customHeight="1" x14ac:dyDescent="0.35">
      <c r="A239" s="10" t="s">
        <v>547</v>
      </c>
      <c r="B239" s="11">
        <v>45389</v>
      </c>
      <c r="C239" s="10" t="s">
        <v>211</v>
      </c>
      <c r="D239" s="10" t="s">
        <v>328</v>
      </c>
      <c r="E239" s="10" t="s">
        <v>267</v>
      </c>
      <c r="F239" s="12">
        <v>2</v>
      </c>
      <c r="G239" s="12">
        <v>5330</v>
      </c>
      <c r="H239" s="12">
        <v>23.8</v>
      </c>
      <c r="I239" s="12">
        <v>8122.92</v>
      </c>
      <c r="J239" s="10" t="s">
        <v>57</v>
      </c>
      <c r="K239" s="10" t="s">
        <v>81</v>
      </c>
      <c r="L239" t="str">
        <f>IFERROR(VLOOKUP(D239,Products!A:F,3,0),"")</f>
        <v>Electronics</v>
      </c>
      <c r="M239" t="str">
        <f>IFERROR(VLOOKUP(E239,Sales_Reps!A:E,3,0),"")</f>
        <v>East</v>
      </c>
      <c r="N239" t="str">
        <f>IFERROR(VLOOKUP(C239,Customers!A:F,5,0),"")</f>
        <v>Retail</v>
      </c>
      <c r="O239">
        <f>IFERROR(VLOOKUP(C239,Customers!A:F,3,0),"")</f>
        <v>34</v>
      </c>
      <c r="P239">
        <f>IFERROR(VLOOKUP(D239,Products!A:F,4,0),"")</f>
        <v>2405</v>
      </c>
      <c r="Q239" t="b">
        <f>IFERROR(VLOOKUP(D239,Products!A:F,6,0),"")</f>
        <v>1</v>
      </c>
      <c r="R239">
        <f t="shared" si="9"/>
        <v>0.54878048780487809</v>
      </c>
      <c r="S239">
        <f t="shared" si="10"/>
        <v>1</v>
      </c>
      <c r="T239">
        <f>IF(AND(S239&gt;1,COUNTIF($A$2:A239,A239)=1),1,0)</f>
        <v>0</v>
      </c>
      <c r="U239">
        <f>COUNTIF(Customers!$A$2:$A$301,C239)</f>
        <v>1</v>
      </c>
      <c r="V239">
        <f t="shared" si="11"/>
        <v>0</v>
      </c>
    </row>
    <row r="240" spans="1:22" ht="14.25" customHeight="1" x14ac:dyDescent="0.35">
      <c r="A240" s="10" t="s">
        <v>548</v>
      </c>
      <c r="B240" s="11">
        <v>45344</v>
      </c>
      <c r="C240" s="10" t="s">
        <v>549</v>
      </c>
      <c r="D240" s="10" t="s">
        <v>228</v>
      </c>
      <c r="E240" s="10" t="s">
        <v>80</v>
      </c>
      <c r="F240" s="12">
        <v>2</v>
      </c>
      <c r="G240" s="12">
        <v>4070</v>
      </c>
      <c r="H240" s="12">
        <v>4.3</v>
      </c>
      <c r="I240" s="12">
        <v>7789.98</v>
      </c>
      <c r="J240" s="10" t="s">
        <v>51</v>
      </c>
      <c r="K240" s="10" t="s">
        <v>58</v>
      </c>
      <c r="L240" t="str">
        <f>IFERROR(VLOOKUP(D240,Products!A:F,3,0),"")</f>
        <v>Grocery</v>
      </c>
      <c r="M240" t="str">
        <f>IFERROR(VLOOKUP(E240,Sales_Reps!A:E,3,0),"")</f>
        <v>West</v>
      </c>
      <c r="N240" t="str">
        <f>IFERROR(VLOOKUP(C240,Customers!A:F,5,0),"")</f>
        <v>Retail</v>
      </c>
      <c r="O240">
        <f>IFERROR(VLOOKUP(C240,Customers!A:F,3,0),"")</f>
        <v>26</v>
      </c>
      <c r="P240">
        <f>IFERROR(VLOOKUP(D240,Products!A:F,4,0),"")</f>
        <v>2027</v>
      </c>
      <c r="Q240" t="b">
        <f>IFERROR(VLOOKUP(D240,Products!A:F,6,0),"")</f>
        <v>1</v>
      </c>
      <c r="R240">
        <f t="shared" si="9"/>
        <v>0.50196560196560192</v>
      </c>
      <c r="S240">
        <f t="shared" si="10"/>
        <v>1</v>
      </c>
      <c r="T240">
        <f>IF(AND(S240&gt;1,COUNTIF($A$2:A240,A240)=1),1,0)</f>
        <v>0</v>
      </c>
      <c r="U240">
        <f>COUNTIF(Customers!$A$2:$A$301,C240)</f>
        <v>1</v>
      </c>
      <c r="V240">
        <f t="shared" si="11"/>
        <v>0</v>
      </c>
    </row>
    <row r="241" spans="1:22" ht="14.25" customHeight="1" x14ac:dyDescent="0.35">
      <c r="A241" s="10" t="s">
        <v>550</v>
      </c>
      <c r="B241" s="11">
        <v>45480</v>
      </c>
      <c r="C241" s="10" t="s">
        <v>424</v>
      </c>
      <c r="D241" s="10" t="s">
        <v>246</v>
      </c>
      <c r="E241" s="10" t="s">
        <v>103</v>
      </c>
      <c r="F241" s="12">
        <v>6</v>
      </c>
      <c r="G241" s="12">
        <v>300</v>
      </c>
      <c r="H241" s="12">
        <v>17.399999999999999</v>
      </c>
      <c r="I241" s="12">
        <v>1486.8</v>
      </c>
      <c r="J241" s="10" t="s">
        <v>104</v>
      </c>
      <c r="K241" s="10" t="s">
        <v>52</v>
      </c>
      <c r="L241" t="str">
        <f>IFERROR(VLOOKUP(D241,Products!A:F,3,0),"")</f>
        <v>Electronics</v>
      </c>
      <c r="M241" t="str">
        <f>IFERROR(VLOOKUP(E241,Sales_Reps!A:E,3,0),"")</f>
        <v>North</v>
      </c>
      <c r="N241" t="str">
        <f>IFERROR(VLOOKUP(C241,Customers!A:F,5,0),"")</f>
        <v>Corporate</v>
      </c>
      <c r="O241">
        <f>IFERROR(VLOOKUP(C241,Customers!A:F,3,0),"")</f>
        <v>37</v>
      </c>
      <c r="P241">
        <f>IFERROR(VLOOKUP(D241,Products!A:F,4,0),"")</f>
        <v>128</v>
      </c>
      <c r="Q241" t="b">
        <f>IFERROR(VLOOKUP(D241,Products!A:F,6,0),"")</f>
        <v>1</v>
      </c>
      <c r="R241">
        <f t="shared" si="9"/>
        <v>0.57333333333333336</v>
      </c>
      <c r="S241">
        <f t="shared" si="10"/>
        <v>1</v>
      </c>
      <c r="T241">
        <f>IF(AND(S241&gt;1,COUNTIF($A$2:A241,A241)=1),1,0)</f>
        <v>0</v>
      </c>
      <c r="U241">
        <f>COUNTIF(Customers!$A$2:$A$301,C241)</f>
        <v>1</v>
      </c>
      <c r="V241">
        <f t="shared" si="11"/>
        <v>0</v>
      </c>
    </row>
    <row r="242" spans="1:22" ht="14.25" customHeight="1" x14ac:dyDescent="0.35">
      <c r="A242" s="10" t="s">
        <v>551</v>
      </c>
      <c r="B242" s="11">
        <v>45488</v>
      </c>
      <c r="C242" s="10" t="s">
        <v>90</v>
      </c>
      <c r="D242" s="10" t="s">
        <v>148</v>
      </c>
      <c r="E242" s="10" t="s">
        <v>62</v>
      </c>
      <c r="F242" s="12">
        <v>1</v>
      </c>
      <c r="G242" s="12">
        <v>4880</v>
      </c>
      <c r="H242" s="12">
        <v>17.5</v>
      </c>
      <c r="I242" s="12">
        <v>4026</v>
      </c>
      <c r="J242" s="10" t="s">
        <v>51</v>
      </c>
      <c r="K242" s="10" t="s">
        <v>52</v>
      </c>
      <c r="L242" t="str">
        <f>IFERROR(VLOOKUP(D242,Products!A:F,3,0),"")</f>
        <v>Beauty</v>
      </c>
      <c r="M242" t="str">
        <f>IFERROR(VLOOKUP(E242,Sales_Reps!A:E,3,0),"")</f>
        <v>South</v>
      </c>
      <c r="N242" t="str">
        <f>IFERROR(VLOOKUP(C242,Customers!A:F,5,0),"")</f>
        <v>Retail</v>
      </c>
      <c r="O242">
        <f>IFERROR(VLOOKUP(C242,Customers!A:F,3,0),"")</f>
        <v>56</v>
      </c>
      <c r="P242">
        <f>IFERROR(VLOOKUP(D242,Products!A:F,4,0),"")</f>
        <v>2768</v>
      </c>
      <c r="Q242" t="b">
        <f>IFERROR(VLOOKUP(D242,Products!A:F,6,0),"")</f>
        <v>1</v>
      </c>
      <c r="R242">
        <f t="shared" si="9"/>
        <v>0.43278688524590164</v>
      </c>
      <c r="S242">
        <f t="shared" si="10"/>
        <v>1</v>
      </c>
      <c r="T242">
        <f>IF(AND(S242&gt;1,COUNTIF($A$2:A242,A242)=1),1,0)</f>
        <v>0</v>
      </c>
      <c r="U242">
        <f>COUNTIF(Customers!$A$2:$A$301,C242)</f>
        <v>1</v>
      </c>
      <c r="V242">
        <f t="shared" si="11"/>
        <v>0</v>
      </c>
    </row>
    <row r="243" spans="1:22" ht="14.25" customHeight="1" x14ac:dyDescent="0.35">
      <c r="A243" s="10" t="s">
        <v>552</v>
      </c>
      <c r="B243" s="11">
        <v>45326</v>
      </c>
      <c r="C243" s="10" t="s">
        <v>553</v>
      </c>
      <c r="D243" s="10" t="s">
        <v>159</v>
      </c>
      <c r="E243" s="10" t="s">
        <v>307</v>
      </c>
      <c r="F243" s="12">
        <v>3</v>
      </c>
      <c r="G243" s="12">
        <v>2860</v>
      </c>
      <c r="H243" s="12">
        <v>20.100000000000001</v>
      </c>
      <c r="I243" s="12">
        <v>6855.42</v>
      </c>
      <c r="J243" s="10" t="s">
        <v>51</v>
      </c>
      <c r="K243" s="10" t="s">
        <v>58</v>
      </c>
      <c r="L243" t="str">
        <f>IFERROR(VLOOKUP(D243,Products!A:F,3,0),"")</f>
        <v>Sports</v>
      </c>
      <c r="M243" t="str">
        <f>IFERROR(VLOOKUP(E243,Sales_Reps!A:E,3,0),"")</f>
        <v>West</v>
      </c>
      <c r="N243" t="str">
        <f>IFERROR(VLOOKUP(C243,Customers!A:F,5,0),"")</f>
        <v>Corporate</v>
      </c>
      <c r="O243">
        <f>IFERROR(VLOOKUP(C243,Customers!A:F,3,0),"")</f>
        <v>30</v>
      </c>
      <c r="P243">
        <f>IFERROR(VLOOKUP(D243,Products!A:F,4,0),"")</f>
        <v>2028</v>
      </c>
      <c r="Q243" t="b">
        <f>IFERROR(VLOOKUP(D243,Products!A:F,6,0),"")</f>
        <v>1</v>
      </c>
      <c r="R243">
        <f t="shared" si="9"/>
        <v>0.29090909090909089</v>
      </c>
      <c r="S243">
        <f t="shared" si="10"/>
        <v>1</v>
      </c>
      <c r="T243">
        <f>IF(AND(S243&gt;1,COUNTIF($A$2:A243,A243)=1),1,0)</f>
        <v>0</v>
      </c>
      <c r="U243">
        <f>COUNTIF(Customers!$A$2:$A$301,C243)</f>
        <v>1</v>
      </c>
      <c r="V243">
        <f t="shared" si="11"/>
        <v>0</v>
      </c>
    </row>
    <row r="244" spans="1:22" ht="14.25" customHeight="1" x14ac:dyDescent="0.35">
      <c r="A244" s="10" t="s">
        <v>554</v>
      </c>
      <c r="B244" s="11">
        <v>45627</v>
      </c>
      <c r="C244" s="10" t="s">
        <v>272</v>
      </c>
      <c r="D244" s="10" t="s">
        <v>223</v>
      </c>
      <c r="E244" s="10" t="s">
        <v>261</v>
      </c>
      <c r="F244" s="12">
        <v>3</v>
      </c>
      <c r="G244" s="12">
        <v>1540</v>
      </c>
      <c r="H244" s="12">
        <v>20.9</v>
      </c>
      <c r="I244" s="12">
        <v>3654.42</v>
      </c>
      <c r="J244" s="10" t="s">
        <v>51</v>
      </c>
      <c r="K244" s="10" t="s">
        <v>52</v>
      </c>
      <c r="L244" t="str">
        <f>IFERROR(VLOOKUP(D244,Products!A:F,3,0),"")</f>
        <v>Beauty</v>
      </c>
      <c r="M244" t="str">
        <f>IFERROR(VLOOKUP(E244,Sales_Reps!A:E,3,0),"")</f>
        <v>North</v>
      </c>
      <c r="N244" t="str">
        <f>IFERROR(VLOOKUP(C244,Customers!A:F,5,0),"")</f>
        <v>SMB</v>
      </c>
      <c r="O244">
        <f>IFERROR(VLOOKUP(C244,Customers!A:F,3,0),"")</f>
        <v>54</v>
      </c>
      <c r="P244">
        <f>IFERROR(VLOOKUP(D244,Products!A:F,4,0),"")</f>
        <v>647</v>
      </c>
      <c r="Q244" t="b">
        <f>IFERROR(VLOOKUP(D244,Products!A:F,6,0),"")</f>
        <v>0</v>
      </c>
      <c r="R244">
        <f t="shared" si="9"/>
        <v>0.57987012987012987</v>
      </c>
      <c r="S244">
        <f t="shared" si="10"/>
        <v>1</v>
      </c>
      <c r="T244">
        <f>IF(AND(S244&gt;1,COUNTIF($A$2:A244,A244)=1),1,0)</f>
        <v>0</v>
      </c>
      <c r="U244">
        <f>COUNTIF(Customers!$A$2:$A$301,C244)</f>
        <v>1</v>
      </c>
      <c r="V244">
        <f t="shared" si="11"/>
        <v>0</v>
      </c>
    </row>
    <row r="245" spans="1:22" ht="14.25" customHeight="1" x14ac:dyDescent="0.35">
      <c r="A245" s="10" t="s">
        <v>555</v>
      </c>
      <c r="B245" s="11">
        <v>45576</v>
      </c>
      <c r="C245" s="10" t="s">
        <v>556</v>
      </c>
      <c r="D245" s="10" t="s">
        <v>99</v>
      </c>
      <c r="E245" s="10" t="s">
        <v>96</v>
      </c>
      <c r="F245" s="12">
        <v>10</v>
      </c>
      <c r="G245" s="12">
        <v>2640</v>
      </c>
      <c r="H245" s="12">
        <v>11.2</v>
      </c>
      <c r="I245" s="12">
        <v>23443.200000000001</v>
      </c>
      <c r="J245" s="10" t="s">
        <v>57</v>
      </c>
      <c r="K245" s="10" t="s">
        <v>97</v>
      </c>
      <c r="L245" t="str">
        <f>IFERROR(VLOOKUP(D245,Products!A:F,3,0),"")</f>
        <v>Electronics</v>
      </c>
      <c r="M245" t="str">
        <f>IFERROR(VLOOKUP(E245,Sales_Reps!A:E,3,0),"")</f>
        <v>South</v>
      </c>
      <c r="N245" t="str">
        <f>IFERROR(VLOOKUP(C245,Customers!A:F,5,0),"")</f>
        <v>Retail</v>
      </c>
      <c r="O245">
        <f>IFERROR(VLOOKUP(C245,Customers!A:F,3,0),"")</f>
        <v>22</v>
      </c>
      <c r="P245">
        <f>IFERROR(VLOOKUP(D245,Products!A:F,4,0),"")</f>
        <v>1149</v>
      </c>
      <c r="Q245" t="b">
        <f>IFERROR(VLOOKUP(D245,Products!A:F,6,0),"")</f>
        <v>1</v>
      </c>
      <c r="R245">
        <f t="shared" si="9"/>
        <v>0.56477272727272732</v>
      </c>
      <c r="S245">
        <f t="shared" si="10"/>
        <v>1</v>
      </c>
      <c r="T245">
        <f>IF(AND(S245&gt;1,COUNTIF($A$2:A245,A245)=1),1,0)</f>
        <v>0</v>
      </c>
      <c r="U245">
        <f>COUNTIF(Customers!$A$2:$A$301,C245)</f>
        <v>1</v>
      </c>
      <c r="V245">
        <f t="shared" si="11"/>
        <v>0</v>
      </c>
    </row>
    <row r="246" spans="1:22" ht="14.25" customHeight="1" x14ac:dyDescent="0.35">
      <c r="A246" s="10" t="s">
        <v>557</v>
      </c>
      <c r="B246" s="11">
        <v>45317</v>
      </c>
      <c r="C246" s="10" t="s">
        <v>380</v>
      </c>
      <c r="D246" s="10" t="s">
        <v>70</v>
      </c>
      <c r="E246" s="10" t="s">
        <v>216</v>
      </c>
      <c r="F246" s="12">
        <v>1</v>
      </c>
      <c r="G246" s="12">
        <v>3160</v>
      </c>
      <c r="H246" s="12">
        <v>11.5</v>
      </c>
      <c r="I246" s="12">
        <v>2796.6</v>
      </c>
      <c r="J246" s="10" t="s">
        <v>51</v>
      </c>
      <c r="K246" s="10" t="s">
        <v>81</v>
      </c>
      <c r="L246" t="str">
        <f>IFERROR(VLOOKUP(D246,Products!A:F,3,0),"")</f>
        <v>Apparel</v>
      </c>
      <c r="M246" t="str">
        <f>IFERROR(VLOOKUP(E246,Sales_Reps!A:E,3,0),"")</f>
        <v>South</v>
      </c>
      <c r="N246" t="str">
        <f>IFERROR(VLOOKUP(C246,Customers!A:F,5,0),"")</f>
        <v>Corporate</v>
      </c>
      <c r="O246">
        <f>IFERROR(VLOOKUP(C246,Customers!A:F,3,0),"")</f>
        <v>42</v>
      </c>
      <c r="P246">
        <f>IFERROR(VLOOKUP(D246,Products!A:F,4,0),"")</f>
        <v>1886</v>
      </c>
      <c r="Q246" t="b">
        <f>IFERROR(VLOOKUP(D246,Products!A:F,6,0),"")</f>
        <v>1</v>
      </c>
      <c r="R246">
        <f t="shared" si="9"/>
        <v>0.4031645569620253</v>
      </c>
      <c r="S246">
        <f t="shared" si="10"/>
        <v>1</v>
      </c>
      <c r="T246">
        <f>IF(AND(S246&gt;1,COUNTIF($A$2:A246,A246)=1),1,0)</f>
        <v>0</v>
      </c>
      <c r="U246">
        <f>COUNTIF(Customers!$A$2:$A$301,C246)</f>
        <v>1</v>
      </c>
      <c r="V246">
        <f t="shared" si="11"/>
        <v>0</v>
      </c>
    </row>
    <row r="247" spans="1:22" ht="14.25" customHeight="1" x14ac:dyDescent="0.35">
      <c r="A247" s="10" t="s">
        <v>558</v>
      </c>
      <c r="B247" s="11">
        <v>45650</v>
      </c>
      <c r="C247" s="10" t="s">
        <v>559</v>
      </c>
      <c r="D247" s="10" t="s">
        <v>128</v>
      </c>
      <c r="E247" s="10" t="s">
        <v>50</v>
      </c>
      <c r="F247" s="12">
        <v>4</v>
      </c>
      <c r="G247" s="12">
        <v>1080</v>
      </c>
      <c r="H247" s="12">
        <v>20.7</v>
      </c>
      <c r="I247" s="12">
        <v>3425.76</v>
      </c>
      <c r="J247" s="10" t="s">
        <v>57</v>
      </c>
      <c r="K247" s="10" t="s">
        <v>63</v>
      </c>
      <c r="L247" t="str">
        <f>IFERROR(VLOOKUP(D247,Products!A:F,3,0),"")</f>
        <v>Home</v>
      </c>
      <c r="M247" t="str">
        <f>IFERROR(VLOOKUP(E247,Sales_Reps!A:E,3,0),"")</f>
        <v>North</v>
      </c>
      <c r="N247" t="str">
        <f>IFERROR(VLOOKUP(C247,Customers!A:F,5,0),"")</f>
        <v>SMB</v>
      </c>
      <c r="O247">
        <f>IFERROR(VLOOKUP(C247,Customers!A:F,3,0),"")</f>
        <v>48</v>
      </c>
      <c r="P247">
        <f>IFERROR(VLOOKUP(D247,Products!A:F,4,0),"")</f>
        <v>519</v>
      </c>
      <c r="Q247" t="b">
        <f>IFERROR(VLOOKUP(D247,Products!A:F,6,0),"")</f>
        <v>1</v>
      </c>
      <c r="R247">
        <f t="shared" si="9"/>
        <v>0.51944444444444449</v>
      </c>
      <c r="S247">
        <f t="shared" si="10"/>
        <v>1</v>
      </c>
      <c r="T247">
        <f>IF(AND(S247&gt;1,COUNTIF($A$2:A247,A247)=1),1,0)</f>
        <v>0</v>
      </c>
      <c r="U247">
        <f>COUNTIF(Customers!$A$2:$A$301,C247)</f>
        <v>1</v>
      </c>
      <c r="V247">
        <f t="shared" si="11"/>
        <v>0</v>
      </c>
    </row>
    <row r="248" spans="1:22" ht="14.25" customHeight="1" x14ac:dyDescent="0.35">
      <c r="A248" s="10" t="s">
        <v>560</v>
      </c>
      <c r="B248" s="11">
        <v>45585</v>
      </c>
      <c r="C248" s="10" t="s">
        <v>561</v>
      </c>
      <c r="D248" s="10" t="s">
        <v>146</v>
      </c>
      <c r="E248" s="10" t="s">
        <v>216</v>
      </c>
      <c r="F248" s="12">
        <v>4</v>
      </c>
      <c r="G248" s="12">
        <v>1010</v>
      </c>
      <c r="H248" s="12">
        <v>29.5</v>
      </c>
      <c r="I248" s="12">
        <v>2848.2</v>
      </c>
      <c r="J248" s="10" t="s">
        <v>57</v>
      </c>
      <c r="K248" s="10" t="s">
        <v>76</v>
      </c>
      <c r="L248" t="str">
        <f>IFERROR(VLOOKUP(D248,Products!A:F,3,0),"")</f>
        <v>Sports</v>
      </c>
      <c r="M248" t="str">
        <f>IFERROR(VLOOKUP(E248,Sales_Reps!A:E,3,0),"")</f>
        <v>South</v>
      </c>
      <c r="N248" t="str">
        <f>IFERROR(VLOOKUP(C248,Customers!A:F,5,0),"")</f>
        <v>Retail</v>
      </c>
      <c r="O248">
        <f>IFERROR(VLOOKUP(C248,Customers!A:F,3,0),"")</f>
        <v>39</v>
      </c>
      <c r="P248">
        <f>IFERROR(VLOOKUP(D248,Products!A:F,4,0),"")</f>
        <v>516</v>
      </c>
      <c r="Q248" t="b">
        <f>IFERROR(VLOOKUP(D248,Products!A:F,6,0),"")</f>
        <v>1</v>
      </c>
      <c r="R248">
        <f t="shared" si="9"/>
        <v>0.4891089108910891</v>
      </c>
      <c r="S248">
        <f t="shared" si="10"/>
        <v>1</v>
      </c>
      <c r="T248">
        <f>IF(AND(S248&gt;1,COUNTIF($A$2:A248,A248)=1),1,0)</f>
        <v>0</v>
      </c>
      <c r="U248">
        <f>COUNTIF(Customers!$A$2:$A$301,C248)</f>
        <v>1</v>
      </c>
      <c r="V248">
        <f t="shared" si="11"/>
        <v>0</v>
      </c>
    </row>
    <row r="249" spans="1:22" ht="14.25" customHeight="1" x14ac:dyDescent="0.35">
      <c r="A249" s="10" t="s">
        <v>562</v>
      </c>
      <c r="B249" s="11">
        <v>45545</v>
      </c>
      <c r="C249" s="10" t="s">
        <v>563</v>
      </c>
      <c r="D249" s="10" t="s">
        <v>102</v>
      </c>
      <c r="E249" s="10" t="s">
        <v>307</v>
      </c>
      <c r="F249" s="12">
        <v>7</v>
      </c>
      <c r="G249" s="12">
        <v>2600</v>
      </c>
      <c r="H249" s="12">
        <v>6.6</v>
      </c>
      <c r="I249" s="12">
        <v>16998.8</v>
      </c>
      <c r="J249" s="10" t="s">
        <v>51</v>
      </c>
      <c r="K249" s="10" t="s">
        <v>81</v>
      </c>
      <c r="L249" t="str">
        <f>IFERROR(VLOOKUP(D249,Products!A:F,3,0),"")</f>
        <v>Electronics</v>
      </c>
      <c r="M249" t="str">
        <f>IFERROR(VLOOKUP(E249,Sales_Reps!A:E,3,0),"")</f>
        <v>West</v>
      </c>
      <c r="N249" t="str">
        <f>IFERROR(VLOOKUP(C249,Customers!A:F,5,0),"")</f>
        <v>Corporate</v>
      </c>
      <c r="O249">
        <f>IFERROR(VLOOKUP(C249,Customers!A:F,3,0),"")</f>
        <v>26</v>
      </c>
      <c r="P249">
        <f>IFERROR(VLOOKUP(D249,Products!A:F,4,0),"")</f>
        <v>1052</v>
      </c>
      <c r="Q249" t="b">
        <f>IFERROR(VLOOKUP(D249,Products!A:F,6,0),"")</f>
        <v>1</v>
      </c>
      <c r="R249">
        <f t="shared" si="9"/>
        <v>0.5953846153846154</v>
      </c>
      <c r="S249">
        <f t="shared" si="10"/>
        <v>1</v>
      </c>
      <c r="T249">
        <f>IF(AND(S249&gt;1,COUNTIF($A$2:A249,A249)=1),1,0)</f>
        <v>0</v>
      </c>
      <c r="U249">
        <f>COUNTIF(Customers!$A$2:$A$301,C249)</f>
        <v>1</v>
      </c>
      <c r="V249">
        <f t="shared" si="11"/>
        <v>0</v>
      </c>
    </row>
    <row r="250" spans="1:22" ht="14.25" customHeight="1" x14ac:dyDescent="0.35">
      <c r="A250" s="10" t="s">
        <v>564</v>
      </c>
      <c r="B250" s="11">
        <v>45395</v>
      </c>
      <c r="C250" s="10" t="s">
        <v>222</v>
      </c>
      <c r="D250" s="10" t="s">
        <v>319</v>
      </c>
      <c r="E250" s="10" t="s">
        <v>168</v>
      </c>
      <c r="F250" s="12">
        <v>4</v>
      </c>
      <c r="G250" s="12">
        <v>2510</v>
      </c>
      <c r="H250" s="12">
        <v>1</v>
      </c>
      <c r="I250" s="12">
        <v>9939.6</v>
      </c>
      <c r="J250" s="10" t="s">
        <v>51</v>
      </c>
      <c r="K250" s="10" t="s">
        <v>63</v>
      </c>
      <c r="L250" t="str">
        <f>IFERROR(VLOOKUP(D250,Products!A:F,3,0),"")</f>
        <v>Apparel</v>
      </c>
      <c r="M250" t="str">
        <f>IFERROR(VLOOKUP(E250,Sales_Reps!A:E,3,0),"")</f>
        <v>South</v>
      </c>
      <c r="N250" t="str">
        <f>IFERROR(VLOOKUP(C250,Customers!A:F,5,0),"")</f>
        <v>SMB</v>
      </c>
      <c r="O250">
        <f>IFERROR(VLOOKUP(C250,Customers!A:F,3,0),"")</f>
        <v>55</v>
      </c>
      <c r="P250">
        <f>IFERROR(VLOOKUP(D250,Products!A:F,4,0),"")</f>
        <v>1075</v>
      </c>
      <c r="Q250" t="b">
        <f>IFERROR(VLOOKUP(D250,Products!A:F,6,0),"")</f>
        <v>0</v>
      </c>
      <c r="R250">
        <f t="shared" si="9"/>
        <v>0.57171314741035861</v>
      </c>
      <c r="S250">
        <f t="shared" si="10"/>
        <v>1</v>
      </c>
      <c r="T250">
        <f>IF(AND(S250&gt;1,COUNTIF($A$2:A250,A250)=1),1,0)</f>
        <v>0</v>
      </c>
      <c r="U250">
        <f>COUNTIF(Customers!$A$2:$A$301,C250)</f>
        <v>1</v>
      </c>
      <c r="V250">
        <f t="shared" si="11"/>
        <v>0</v>
      </c>
    </row>
    <row r="251" spans="1:22" ht="14.25" customHeight="1" x14ac:dyDescent="0.35">
      <c r="A251" s="10" t="s">
        <v>565</v>
      </c>
      <c r="B251" s="11">
        <v>45636</v>
      </c>
      <c r="C251" s="10" t="s">
        <v>566</v>
      </c>
      <c r="D251" s="10" t="s">
        <v>228</v>
      </c>
      <c r="E251" s="10" t="s">
        <v>249</v>
      </c>
      <c r="F251" s="12">
        <v>9</v>
      </c>
      <c r="G251" s="12">
        <v>4070</v>
      </c>
      <c r="H251" s="12">
        <v>6.7</v>
      </c>
      <c r="I251" s="12">
        <v>34175.79</v>
      </c>
      <c r="J251" s="10" t="s">
        <v>104</v>
      </c>
      <c r="K251" s="10" t="s">
        <v>58</v>
      </c>
      <c r="L251" t="str">
        <f>IFERROR(VLOOKUP(D251,Products!A:F,3,0),"")</f>
        <v>Grocery</v>
      </c>
      <c r="M251" t="str">
        <f>IFERROR(VLOOKUP(E251,Sales_Reps!A:E,3,0),"")</f>
        <v>East</v>
      </c>
      <c r="N251" t="str">
        <f>IFERROR(VLOOKUP(C251,Customers!A:F,5,0),"")</f>
        <v>Retail</v>
      </c>
      <c r="O251">
        <f>IFERROR(VLOOKUP(C251,Customers!A:F,3,0),"")</f>
        <v>61</v>
      </c>
      <c r="P251">
        <f>IFERROR(VLOOKUP(D251,Products!A:F,4,0),"")</f>
        <v>2027</v>
      </c>
      <c r="Q251" t="b">
        <f>IFERROR(VLOOKUP(D251,Products!A:F,6,0),"")</f>
        <v>1</v>
      </c>
      <c r="R251">
        <f t="shared" si="9"/>
        <v>0.50196560196560192</v>
      </c>
      <c r="S251">
        <f t="shared" si="10"/>
        <v>1</v>
      </c>
      <c r="T251">
        <f>IF(AND(S251&gt;1,COUNTIF($A$2:A251,A251)=1),1,0)</f>
        <v>0</v>
      </c>
      <c r="U251">
        <f>COUNTIF(Customers!$A$2:$A$301,C251)</f>
        <v>1</v>
      </c>
      <c r="V251">
        <f t="shared" si="11"/>
        <v>0</v>
      </c>
    </row>
    <row r="252" spans="1:22" ht="14.25" customHeight="1" x14ac:dyDescent="0.35">
      <c r="A252" s="10" t="s">
        <v>567</v>
      </c>
      <c r="B252" s="11">
        <v>45612</v>
      </c>
      <c r="C252" s="10" t="s">
        <v>568</v>
      </c>
      <c r="D252" s="10" t="s">
        <v>55</v>
      </c>
      <c r="E252" s="10" t="s">
        <v>96</v>
      </c>
      <c r="F252" s="12">
        <v>6</v>
      </c>
      <c r="G252" s="12">
        <v>820</v>
      </c>
      <c r="H252" s="12">
        <v>14</v>
      </c>
      <c r="I252" s="12">
        <v>4231.2</v>
      </c>
      <c r="J252" s="10" t="s">
        <v>51</v>
      </c>
      <c r="K252" s="10" t="s">
        <v>81</v>
      </c>
      <c r="L252" t="str">
        <f>IFERROR(VLOOKUP(D252,Products!A:F,3,0),"")</f>
        <v>Apparel</v>
      </c>
      <c r="M252" t="str">
        <f>IFERROR(VLOOKUP(E252,Sales_Reps!A:E,3,0),"")</f>
        <v>South</v>
      </c>
      <c r="N252" t="str">
        <f>IFERROR(VLOOKUP(C252,Customers!A:F,5,0),"")</f>
        <v>Retail</v>
      </c>
      <c r="O252">
        <f>IFERROR(VLOOKUP(C252,Customers!A:F,3,0),"")</f>
        <v>34</v>
      </c>
      <c r="P252">
        <f>IFERROR(VLOOKUP(D252,Products!A:F,4,0),"")</f>
        <v>391</v>
      </c>
      <c r="Q252" t="b">
        <f>IFERROR(VLOOKUP(D252,Products!A:F,6,0),"")</f>
        <v>1</v>
      </c>
      <c r="R252">
        <f t="shared" si="9"/>
        <v>0.52317073170731709</v>
      </c>
      <c r="S252">
        <f t="shared" si="10"/>
        <v>1</v>
      </c>
      <c r="T252">
        <f>IF(AND(S252&gt;1,COUNTIF($A$2:A252,A252)=1),1,0)</f>
        <v>0</v>
      </c>
      <c r="U252">
        <f>COUNTIF(Customers!$A$2:$A$301,C252)</f>
        <v>1</v>
      </c>
      <c r="V252">
        <f t="shared" si="11"/>
        <v>0</v>
      </c>
    </row>
    <row r="253" spans="1:22" ht="14.25" customHeight="1" x14ac:dyDescent="0.35">
      <c r="A253" s="10" t="s">
        <v>569</v>
      </c>
      <c r="B253" s="11">
        <v>45495</v>
      </c>
      <c r="C253" s="10" t="s">
        <v>570</v>
      </c>
      <c r="D253" s="10" t="s">
        <v>91</v>
      </c>
      <c r="E253" s="10" t="s">
        <v>56</v>
      </c>
      <c r="F253" s="12">
        <v>2</v>
      </c>
      <c r="G253" s="12">
        <v>970</v>
      </c>
      <c r="H253" s="12">
        <v>23.8</v>
      </c>
      <c r="I253" s="12">
        <v>1478.28</v>
      </c>
      <c r="J253" s="10" t="s">
        <v>51</v>
      </c>
      <c r="K253" s="10" t="s">
        <v>76</v>
      </c>
      <c r="L253" t="str">
        <f>IFERROR(VLOOKUP(D253,Products!A:F,3,0),"")</f>
        <v>Grocery</v>
      </c>
      <c r="M253" t="str">
        <f>IFERROR(VLOOKUP(E253,Sales_Reps!A:E,3,0),"")</f>
        <v>North</v>
      </c>
      <c r="N253" t="str">
        <f>IFERROR(VLOOKUP(C253,Customers!A:F,5,0),"")</f>
        <v>Retail</v>
      </c>
      <c r="O253">
        <f>IFERROR(VLOOKUP(C253,Customers!A:F,3,0),"")</f>
        <v>52</v>
      </c>
      <c r="P253">
        <f>IFERROR(VLOOKUP(D253,Products!A:F,4,0),"")</f>
        <v>434</v>
      </c>
      <c r="Q253" t="b">
        <f>IFERROR(VLOOKUP(D253,Products!A:F,6,0),"")</f>
        <v>1</v>
      </c>
      <c r="R253">
        <f t="shared" si="9"/>
        <v>0.5525773195876289</v>
      </c>
      <c r="S253">
        <f t="shared" si="10"/>
        <v>1</v>
      </c>
      <c r="T253">
        <f>IF(AND(S253&gt;1,COUNTIF($A$2:A253,A253)=1),1,0)</f>
        <v>0</v>
      </c>
      <c r="U253">
        <f>COUNTIF(Customers!$A$2:$A$301,C253)</f>
        <v>1</v>
      </c>
      <c r="V253">
        <f t="shared" si="11"/>
        <v>0</v>
      </c>
    </row>
    <row r="254" spans="1:22" ht="14.25" customHeight="1" x14ac:dyDescent="0.35">
      <c r="A254" s="10" t="s">
        <v>571</v>
      </c>
      <c r="B254" s="11">
        <v>45337</v>
      </c>
      <c r="C254" s="10" t="s">
        <v>572</v>
      </c>
      <c r="D254" s="10" t="s">
        <v>228</v>
      </c>
      <c r="E254" s="10" t="s">
        <v>289</v>
      </c>
      <c r="F254" s="12">
        <v>4</v>
      </c>
      <c r="G254" s="12">
        <v>4070</v>
      </c>
      <c r="H254" s="12">
        <v>19</v>
      </c>
      <c r="I254" s="12">
        <v>13186.8</v>
      </c>
      <c r="J254" s="10" t="s">
        <v>57</v>
      </c>
      <c r="K254" s="10" t="s">
        <v>52</v>
      </c>
      <c r="L254" t="str">
        <f>IFERROR(VLOOKUP(D254,Products!A:F,3,0),"")</f>
        <v>Grocery</v>
      </c>
      <c r="M254" t="str">
        <f>IFERROR(VLOOKUP(E254,Sales_Reps!A:E,3,0),"")</f>
        <v>South</v>
      </c>
      <c r="N254" t="str">
        <f>IFERROR(VLOOKUP(C254,Customers!A:F,5,0),"")</f>
        <v>Corporate</v>
      </c>
      <c r="O254">
        <f>IFERROR(VLOOKUP(C254,Customers!A:F,3,0),"")</f>
        <v>40</v>
      </c>
      <c r="P254">
        <f>IFERROR(VLOOKUP(D254,Products!A:F,4,0),"")</f>
        <v>2027</v>
      </c>
      <c r="Q254" t="b">
        <f>IFERROR(VLOOKUP(D254,Products!A:F,6,0),"")</f>
        <v>1</v>
      </c>
      <c r="R254">
        <f t="shared" si="9"/>
        <v>0.50196560196560192</v>
      </c>
      <c r="S254">
        <f t="shared" si="10"/>
        <v>1</v>
      </c>
      <c r="T254">
        <f>IF(AND(S254&gt;1,COUNTIF($A$2:A254,A254)=1),1,0)</f>
        <v>0</v>
      </c>
      <c r="U254">
        <f>COUNTIF(Customers!$A$2:$A$301,C254)</f>
        <v>1</v>
      </c>
      <c r="V254">
        <f t="shared" si="11"/>
        <v>0</v>
      </c>
    </row>
    <row r="255" spans="1:22" ht="14.25" customHeight="1" x14ac:dyDescent="0.35">
      <c r="A255" s="10" t="s">
        <v>573</v>
      </c>
      <c r="B255" s="11">
        <v>45333</v>
      </c>
      <c r="C255" s="10" t="s">
        <v>574</v>
      </c>
      <c r="D255" s="10" t="s">
        <v>121</v>
      </c>
      <c r="E255" s="10" t="s">
        <v>202</v>
      </c>
      <c r="F255" s="12">
        <v>3</v>
      </c>
      <c r="G255" s="12">
        <v>3450</v>
      </c>
      <c r="H255" s="12">
        <v>4.4000000000000004</v>
      </c>
      <c r="I255" s="12">
        <v>9894.6</v>
      </c>
      <c r="J255" s="10" t="s">
        <v>104</v>
      </c>
      <c r="K255" s="10" t="s">
        <v>81</v>
      </c>
      <c r="L255" t="str">
        <f>IFERROR(VLOOKUP(D255,Products!A:F,3,0),"")</f>
        <v>Beauty</v>
      </c>
      <c r="M255" t="str">
        <f>IFERROR(VLOOKUP(E255,Sales_Reps!A:E,3,0),"")</f>
        <v>East</v>
      </c>
      <c r="N255" t="str">
        <f>IFERROR(VLOOKUP(C255,Customers!A:F,5,0),"")</f>
        <v>SMB</v>
      </c>
      <c r="O255">
        <f>IFERROR(VLOOKUP(C255,Customers!A:F,3,0),"")</f>
        <v>42</v>
      </c>
      <c r="P255">
        <f>IFERROR(VLOOKUP(D255,Products!A:F,4,0),"")</f>
        <v>2420</v>
      </c>
      <c r="Q255" t="b">
        <f>IFERROR(VLOOKUP(D255,Products!A:F,6,0),"")</f>
        <v>1</v>
      </c>
      <c r="R255">
        <f t="shared" si="9"/>
        <v>0.29855072463768118</v>
      </c>
      <c r="S255">
        <f t="shared" si="10"/>
        <v>1</v>
      </c>
      <c r="T255">
        <f>IF(AND(S255&gt;1,COUNTIF($A$2:A255,A255)=1),1,0)</f>
        <v>0</v>
      </c>
      <c r="U255">
        <f>COUNTIF(Customers!$A$2:$A$301,C255)</f>
        <v>1</v>
      </c>
      <c r="V255">
        <f t="shared" si="11"/>
        <v>0</v>
      </c>
    </row>
    <row r="256" spans="1:22" ht="14.25" customHeight="1" x14ac:dyDescent="0.35">
      <c r="A256" s="10" t="s">
        <v>575</v>
      </c>
      <c r="B256" s="11">
        <v>45511</v>
      </c>
      <c r="C256" s="10" t="s">
        <v>300</v>
      </c>
      <c r="D256" s="10" t="s">
        <v>198</v>
      </c>
      <c r="E256" s="10" t="s">
        <v>96</v>
      </c>
      <c r="F256" s="12">
        <v>5</v>
      </c>
      <c r="G256" s="12">
        <v>3780</v>
      </c>
      <c r="H256" s="12">
        <v>13.5</v>
      </c>
      <c r="I256" s="12">
        <v>16348.5</v>
      </c>
      <c r="J256" s="10" t="s">
        <v>51</v>
      </c>
      <c r="K256" s="10" t="s">
        <v>76</v>
      </c>
      <c r="L256" t="str">
        <f>IFERROR(VLOOKUP(D256,Products!A:F,3,0),"")</f>
        <v>Grocery</v>
      </c>
      <c r="M256" t="str">
        <f>IFERROR(VLOOKUP(E256,Sales_Reps!A:E,3,0),"")</f>
        <v>South</v>
      </c>
      <c r="N256" t="str">
        <f>IFERROR(VLOOKUP(C256,Customers!A:F,5,0),"")</f>
        <v>Retail</v>
      </c>
      <c r="O256">
        <f>IFERROR(VLOOKUP(C256,Customers!A:F,3,0),"")</f>
        <v>49</v>
      </c>
      <c r="P256">
        <f>IFERROR(VLOOKUP(D256,Products!A:F,4,0),"")</f>
        <v>2436</v>
      </c>
      <c r="Q256" t="b">
        <f>IFERROR(VLOOKUP(D256,Products!A:F,6,0),"")</f>
        <v>1</v>
      </c>
      <c r="R256">
        <f t="shared" si="9"/>
        <v>0.35555555555555557</v>
      </c>
      <c r="S256">
        <f t="shared" si="10"/>
        <v>1</v>
      </c>
      <c r="T256">
        <f>IF(AND(S256&gt;1,COUNTIF($A$2:A256,A256)=1),1,0)</f>
        <v>0</v>
      </c>
      <c r="U256">
        <f>COUNTIF(Customers!$A$2:$A$301,C256)</f>
        <v>1</v>
      </c>
      <c r="V256">
        <f t="shared" si="11"/>
        <v>0</v>
      </c>
    </row>
    <row r="257" spans="1:22" ht="14.25" customHeight="1" x14ac:dyDescent="0.35">
      <c r="A257" s="10" t="s">
        <v>576</v>
      </c>
      <c r="B257" s="11">
        <v>45595</v>
      </c>
      <c r="C257" s="10" t="s">
        <v>577</v>
      </c>
      <c r="D257" s="10" t="s">
        <v>79</v>
      </c>
      <c r="E257" s="10" t="s">
        <v>103</v>
      </c>
      <c r="F257" s="12">
        <v>1</v>
      </c>
      <c r="G257" s="12">
        <v>960</v>
      </c>
      <c r="H257" s="12">
        <v>29.2</v>
      </c>
      <c r="I257" s="12">
        <v>679.68</v>
      </c>
      <c r="J257" s="10" t="s">
        <v>51</v>
      </c>
      <c r="K257" s="10" t="s">
        <v>76</v>
      </c>
      <c r="L257" t="str">
        <f>IFERROR(VLOOKUP(D257,Products!A:F,3,0),"")</f>
        <v>Sports</v>
      </c>
      <c r="M257" t="str">
        <f>IFERROR(VLOOKUP(E257,Sales_Reps!A:E,3,0),"")</f>
        <v>North</v>
      </c>
      <c r="N257" t="str">
        <f>IFERROR(VLOOKUP(C257,Customers!A:F,5,0),"")</f>
        <v>Retail</v>
      </c>
      <c r="O257">
        <f>IFERROR(VLOOKUP(C257,Customers!A:F,3,0),"")</f>
        <v>44</v>
      </c>
      <c r="P257">
        <f>IFERROR(VLOOKUP(D257,Products!A:F,4,0),"")</f>
        <v>705</v>
      </c>
      <c r="Q257" t="b">
        <f>IFERROR(VLOOKUP(D257,Products!A:F,6,0),"")</f>
        <v>1</v>
      </c>
      <c r="R257">
        <f t="shared" si="9"/>
        <v>0.265625</v>
      </c>
      <c r="S257">
        <f t="shared" si="10"/>
        <v>1</v>
      </c>
      <c r="T257">
        <f>IF(AND(S257&gt;1,COUNTIF($A$2:A257,A257)=1),1,0)</f>
        <v>0</v>
      </c>
      <c r="U257">
        <f>COUNTIF(Customers!$A$2:$A$301,C257)</f>
        <v>1</v>
      </c>
      <c r="V257">
        <f t="shared" si="11"/>
        <v>0</v>
      </c>
    </row>
    <row r="258" spans="1:22" ht="14.25" customHeight="1" x14ac:dyDescent="0.35">
      <c r="A258" s="10" t="s">
        <v>578</v>
      </c>
      <c r="B258" s="11">
        <v>45321</v>
      </c>
      <c r="C258" s="10" t="s">
        <v>579</v>
      </c>
      <c r="D258" s="10" t="s">
        <v>151</v>
      </c>
      <c r="E258" s="10" t="s">
        <v>249</v>
      </c>
      <c r="F258" s="12">
        <v>10</v>
      </c>
      <c r="G258" s="12">
        <v>3570</v>
      </c>
      <c r="H258" s="12">
        <v>10.7</v>
      </c>
      <c r="I258" s="12">
        <v>31880.1</v>
      </c>
      <c r="J258" s="10" t="s">
        <v>51</v>
      </c>
      <c r="K258" s="10" t="s">
        <v>76</v>
      </c>
      <c r="L258" t="str">
        <f>IFERROR(VLOOKUP(D258,Products!A:F,3,0),"")</f>
        <v>Electronics</v>
      </c>
      <c r="M258" t="str">
        <f>IFERROR(VLOOKUP(E258,Sales_Reps!A:E,3,0),"")</f>
        <v>East</v>
      </c>
      <c r="N258" t="str">
        <f>IFERROR(VLOOKUP(C258,Customers!A:F,5,0),"")</f>
        <v>Retail</v>
      </c>
      <c r="O258">
        <f>IFERROR(VLOOKUP(C258,Customers!A:F,3,0),"")</f>
        <v>53</v>
      </c>
      <c r="P258">
        <f>IFERROR(VLOOKUP(D258,Products!A:F,4,0),"")</f>
        <v>1665</v>
      </c>
      <c r="Q258" t="b">
        <f>IFERROR(VLOOKUP(D258,Products!A:F,6,0),"")</f>
        <v>1</v>
      </c>
      <c r="R258">
        <f t="shared" ref="R258:R321" si="12">IFERROR((G258-P258)/G258,"")</f>
        <v>0.53361344537815125</v>
      </c>
      <c r="S258">
        <f t="shared" ref="S258:S321" si="13">COUNTIF($A$2:$A$2001,A258)</f>
        <v>1</v>
      </c>
      <c r="T258">
        <f>IF(AND(S258&gt;1,COUNTIF($A$2:A258,A258)=1),1,0)</f>
        <v>0</v>
      </c>
      <c r="U258">
        <f>COUNTIF(Customers!$A$2:$A$301,C258)</f>
        <v>1</v>
      </c>
      <c r="V258">
        <f t="shared" ref="V258:V321" si="14">IF(AND(K258="Bengaluru",L258="Grocery"),I258,0)</f>
        <v>0</v>
      </c>
    </row>
    <row r="259" spans="1:22" ht="14.25" customHeight="1" x14ac:dyDescent="0.35">
      <c r="A259" s="10" t="s">
        <v>580</v>
      </c>
      <c r="B259" s="11">
        <v>45511</v>
      </c>
      <c r="C259" s="10" t="s">
        <v>581</v>
      </c>
      <c r="D259" s="10" t="s">
        <v>151</v>
      </c>
      <c r="E259" s="10" t="s">
        <v>80</v>
      </c>
      <c r="F259" s="12">
        <v>7</v>
      </c>
      <c r="G259" s="12">
        <v>3570</v>
      </c>
      <c r="H259" s="12">
        <v>12.2</v>
      </c>
      <c r="I259" s="12">
        <v>21941.22</v>
      </c>
      <c r="J259" s="10" t="s">
        <v>51</v>
      </c>
      <c r="K259" s="10" t="s">
        <v>76</v>
      </c>
      <c r="L259" t="str">
        <f>IFERROR(VLOOKUP(D259,Products!A:F,3,0),"")</f>
        <v>Electronics</v>
      </c>
      <c r="M259" t="str">
        <f>IFERROR(VLOOKUP(E259,Sales_Reps!A:E,3,0),"")</f>
        <v>West</v>
      </c>
      <c r="N259" t="str">
        <f>IFERROR(VLOOKUP(C259,Customers!A:F,5,0),"")</f>
        <v>SMB</v>
      </c>
      <c r="O259">
        <f>IFERROR(VLOOKUP(C259,Customers!A:F,3,0),"")</f>
        <v>65</v>
      </c>
      <c r="P259">
        <f>IFERROR(VLOOKUP(D259,Products!A:F,4,0),"")</f>
        <v>1665</v>
      </c>
      <c r="Q259" t="b">
        <f>IFERROR(VLOOKUP(D259,Products!A:F,6,0),"")</f>
        <v>1</v>
      </c>
      <c r="R259">
        <f t="shared" si="12"/>
        <v>0.53361344537815125</v>
      </c>
      <c r="S259">
        <f t="shared" si="13"/>
        <v>1</v>
      </c>
      <c r="T259">
        <f>IF(AND(S259&gt;1,COUNTIF($A$2:A259,A259)=1),1,0)</f>
        <v>0</v>
      </c>
      <c r="U259">
        <f>COUNTIF(Customers!$A$2:$A$301,C259)</f>
        <v>1</v>
      </c>
      <c r="V259">
        <f t="shared" si="14"/>
        <v>0</v>
      </c>
    </row>
    <row r="260" spans="1:22" ht="14.25" customHeight="1" x14ac:dyDescent="0.35">
      <c r="A260" s="10" t="s">
        <v>582</v>
      </c>
      <c r="B260" s="11">
        <v>45575</v>
      </c>
      <c r="C260" s="10" t="s">
        <v>474</v>
      </c>
      <c r="D260" s="10" t="s">
        <v>128</v>
      </c>
      <c r="E260" s="10" t="s">
        <v>62</v>
      </c>
      <c r="F260" s="12">
        <v>6</v>
      </c>
      <c r="G260" s="12">
        <v>1080</v>
      </c>
      <c r="H260" s="12">
        <v>19.8</v>
      </c>
      <c r="I260" s="12">
        <v>5196.96</v>
      </c>
      <c r="J260" s="10" t="s">
        <v>51</v>
      </c>
      <c r="K260" s="10" t="s">
        <v>81</v>
      </c>
      <c r="L260" t="str">
        <f>IFERROR(VLOOKUP(D260,Products!A:F,3,0),"")</f>
        <v>Home</v>
      </c>
      <c r="M260" t="str">
        <f>IFERROR(VLOOKUP(E260,Sales_Reps!A:E,3,0),"")</f>
        <v>South</v>
      </c>
      <c r="N260" t="str">
        <f>IFERROR(VLOOKUP(C260,Customers!A:F,5,0),"")</f>
        <v>SMB</v>
      </c>
      <c r="O260">
        <f>IFERROR(VLOOKUP(C260,Customers!A:F,3,0),"")</f>
        <v>26</v>
      </c>
      <c r="P260">
        <f>IFERROR(VLOOKUP(D260,Products!A:F,4,0),"")</f>
        <v>519</v>
      </c>
      <c r="Q260" t="b">
        <f>IFERROR(VLOOKUP(D260,Products!A:F,6,0),"")</f>
        <v>1</v>
      </c>
      <c r="R260">
        <f t="shared" si="12"/>
        <v>0.51944444444444449</v>
      </c>
      <c r="S260">
        <f t="shared" si="13"/>
        <v>1</v>
      </c>
      <c r="T260">
        <f>IF(AND(S260&gt;1,COUNTIF($A$2:A260,A260)=1),1,0)</f>
        <v>0</v>
      </c>
      <c r="U260">
        <f>COUNTIF(Customers!$A$2:$A$301,C260)</f>
        <v>1</v>
      </c>
      <c r="V260">
        <f t="shared" si="14"/>
        <v>0</v>
      </c>
    </row>
    <row r="261" spans="1:22" ht="14.25" customHeight="1" x14ac:dyDescent="0.35">
      <c r="A261" s="10" t="s">
        <v>583</v>
      </c>
      <c r="B261" s="11">
        <v>45649</v>
      </c>
      <c r="C261" s="10" t="s">
        <v>139</v>
      </c>
      <c r="D261" s="10" t="s">
        <v>416</v>
      </c>
      <c r="E261" s="10" t="s">
        <v>96</v>
      </c>
      <c r="F261" s="12">
        <v>8</v>
      </c>
      <c r="G261" s="12">
        <v>3450</v>
      </c>
      <c r="H261" s="12">
        <v>19</v>
      </c>
      <c r="I261" s="12">
        <v>22356</v>
      </c>
      <c r="J261" s="10" t="s">
        <v>51</v>
      </c>
      <c r="K261" s="10" t="s">
        <v>97</v>
      </c>
      <c r="L261" t="str">
        <f>IFERROR(VLOOKUP(D261,Products!A:F,3,0),"")</f>
        <v>Apparel</v>
      </c>
      <c r="M261" t="str">
        <f>IFERROR(VLOOKUP(E261,Sales_Reps!A:E,3,0),"")</f>
        <v>South</v>
      </c>
      <c r="N261" t="str">
        <f>IFERROR(VLOOKUP(C261,Customers!A:F,5,0),"")</f>
        <v>SMB</v>
      </c>
      <c r="O261">
        <f>IFERROR(VLOOKUP(C261,Customers!A:F,3,0),"")</f>
        <v>40</v>
      </c>
      <c r="P261">
        <f>IFERROR(VLOOKUP(D261,Products!A:F,4,0),"")</f>
        <v>1748</v>
      </c>
      <c r="Q261" t="b">
        <f>IFERROR(VLOOKUP(D261,Products!A:F,6,0),"")</f>
        <v>1</v>
      </c>
      <c r="R261">
        <f t="shared" si="12"/>
        <v>0.49333333333333335</v>
      </c>
      <c r="S261">
        <f t="shared" si="13"/>
        <v>1</v>
      </c>
      <c r="T261">
        <f>IF(AND(S261&gt;1,COUNTIF($A$2:A261,A261)=1),1,0)</f>
        <v>0</v>
      </c>
      <c r="U261">
        <f>COUNTIF(Customers!$A$2:$A$301,C261)</f>
        <v>1</v>
      </c>
      <c r="V261">
        <f t="shared" si="14"/>
        <v>0</v>
      </c>
    </row>
    <row r="262" spans="1:22" ht="14.25" customHeight="1" x14ac:dyDescent="0.35">
      <c r="A262" s="10" t="s">
        <v>584</v>
      </c>
      <c r="B262" s="11">
        <v>45371</v>
      </c>
      <c r="C262" s="10" t="s">
        <v>585</v>
      </c>
      <c r="D262" s="10" t="s">
        <v>243</v>
      </c>
      <c r="E262" s="10" t="s">
        <v>118</v>
      </c>
      <c r="F262" s="12">
        <v>4</v>
      </c>
      <c r="G262" s="12">
        <v>2660</v>
      </c>
      <c r="H262" s="12">
        <v>18.8</v>
      </c>
      <c r="I262" s="12">
        <v>8639.68</v>
      </c>
      <c r="J262" s="10" t="s">
        <v>57</v>
      </c>
      <c r="K262" s="10" t="s">
        <v>58</v>
      </c>
      <c r="L262" t="str">
        <f>IFERROR(VLOOKUP(D262,Products!A:F,3,0),"")</f>
        <v>Electronics</v>
      </c>
      <c r="M262" t="str">
        <f>IFERROR(VLOOKUP(E262,Sales_Reps!A:E,3,0),"")</f>
        <v>East</v>
      </c>
      <c r="N262" t="str">
        <f>IFERROR(VLOOKUP(C262,Customers!A:F,5,0),"")</f>
        <v>Corporate</v>
      </c>
      <c r="O262">
        <f>IFERROR(VLOOKUP(C262,Customers!A:F,3,0),"")</f>
        <v>22</v>
      </c>
      <c r="P262">
        <f>IFERROR(VLOOKUP(D262,Products!A:F,4,0),"")</f>
        <v>1259</v>
      </c>
      <c r="Q262" t="b">
        <f>IFERROR(VLOOKUP(D262,Products!A:F,6,0),"")</f>
        <v>0</v>
      </c>
      <c r="R262">
        <f t="shared" si="12"/>
        <v>0.52669172932330832</v>
      </c>
      <c r="S262">
        <f t="shared" si="13"/>
        <v>1</v>
      </c>
      <c r="T262">
        <f>IF(AND(S262&gt;1,COUNTIF($A$2:A262,A262)=1),1,0)</f>
        <v>0</v>
      </c>
      <c r="U262">
        <f>COUNTIF(Customers!$A$2:$A$301,C262)</f>
        <v>1</v>
      </c>
      <c r="V262">
        <f t="shared" si="14"/>
        <v>0</v>
      </c>
    </row>
    <row r="263" spans="1:22" ht="14.25" customHeight="1" x14ac:dyDescent="0.35">
      <c r="A263" s="10" t="s">
        <v>586</v>
      </c>
      <c r="B263" s="11">
        <v>45522</v>
      </c>
      <c r="C263" s="10" t="s">
        <v>269</v>
      </c>
      <c r="D263" s="10" t="s">
        <v>115</v>
      </c>
      <c r="E263" s="10" t="s">
        <v>168</v>
      </c>
      <c r="F263" s="12">
        <v>4</v>
      </c>
      <c r="G263" s="12">
        <v>2400</v>
      </c>
      <c r="H263" s="12">
        <v>5.6</v>
      </c>
      <c r="I263" s="12">
        <v>9062.4</v>
      </c>
      <c r="J263" s="10" t="s">
        <v>51</v>
      </c>
      <c r="K263" s="10" t="s">
        <v>97</v>
      </c>
      <c r="L263" t="str">
        <f>IFERROR(VLOOKUP(D263,Products!A:F,3,0),"")</f>
        <v>Sports</v>
      </c>
      <c r="M263" t="str">
        <f>IFERROR(VLOOKUP(E263,Sales_Reps!A:E,3,0),"")</f>
        <v>South</v>
      </c>
      <c r="N263" t="str">
        <f>IFERROR(VLOOKUP(C263,Customers!A:F,5,0),"")</f>
        <v>Corporate</v>
      </c>
      <c r="O263">
        <f>IFERROR(VLOOKUP(C263,Customers!A:F,3,0),"")</f>
        <v>46</v>
      </c>
      <c r="P263">
        <f>IFERROR(VLOOKUP(D263,Products!A:F,4,0),"")</f>
        <v>974</v>
      </c>
      <c r="Q263" t="b">
        <f>IFERROR(VLOOKUP(D263,Products!A:F,6,0),"")</f>
        <v>1</v>
      </c>
      <c r="R263">
        <f t="shared" si="12"/>
        <v>0.59416666666666662</v>
      </c>
      <c r="S263">
        <f t="shared" si="13"/>
        <v>1</v>
      </c>
      <c r="T263">
        <f>IF(AND(S263&gt;1,COUNTIF($A$2:A263,A263)=1),1,0)</f>
        <v>0</v>
      </c>
      <c r="U263">
        <f>COUNTIF(Customers!$A$2:$A$301,C263)</f>
        <v>1</v>
      </c>
      <c r="V263">
        <f t="shared" si="14"/>
        <v>0</v>
      </c>
    </row>
    <row r="264" spans="1:22" ht="14.25" customHeight="1" x14ac:dyDescent="0.35">
      <c r="A264" s="10" t="s">
        <v>587</v>
      </c>
      <c r="B264" s="11">
        <v>45513</v>
      </c>
      <c r="C264" s="10" t="s">
        <v>588</v>
      </c>
      <c r="D264" s="10" t="s">
        <v>102</v>
      </c>
      <c r="E264" s="10" t="s">
        <v>112</v>
      </c>
      <c r="F264" s="12">
        <v>10</v>
      </c>
      <c r="G264" s="12">
        <v>2600</v>
      </c>
      <c r="H264" s="12">
        <v>24.7</v>
      </c>
      <c r="I264" s="12">
        <v>19578</v>
      </c>
      <c r="J264" s="10" t="s">
        <v>51</v>
      </c>
      <c r="K264" s="10" t="s">
        <v>52</v>
      </c>
      <c r="L264" t="str">
        <f>IFERROR(VLOOKUP(D264,Products!A:F,3,0),"")</f>
        <v>Electronics</v>
      </c>
      <c r="M264" t="str">
        <f>IFERROR(VLOOKUP(E264,Sales_Reps!A:E,3,0),"")</f>
        <v>North</v>
      </c>
      <c r="N264" t="str">
        <f>IFERROR(VLOOKUP(C264,Customers!A:F,5,0),"")</f>
        <v>Corporate</v>
      </c>
      <c r="O264">
        <f>IFERROR(VLOOKUP(C264,Customers!A:F,3,0),"")</f>
        <v>31</v>
      </c>
      <c r="P264">
        <f>IFERROR(VLOOKUP(D264,Products!A:F,4,0),"")</f>
        <v>1052</v>
      </c>
      <c r="Q264" t="b">
        <f>IFERROR(VLOOKUP(D264,Products!A:F,6,0),"")</f>
        <v>1</v>
      </c>
      <c r="R264">
        <f t="shared" si="12"/>
        <v>0.5953846153846154</v>
      </c>
      <c r="S264">
        <f t="shared" si="13"/>
        <v>1</v>
      </c>
      <c r="T264">
        <f>IF(AND(S264&gt;1,COUNTIF($A$2:A264,A264)=1),1,0)</f>
        <v>0</v>
      </c>
      <c r="U264">
        <f>COUNTIF(Customers!$A$2:$A$301,C264)</f>
        <v>1</v>
      </c>
      <c r="V264">
        <f t="shared" si="14"/>
        <v>0</v>
      </c>
    </row>
    <row r="265" spans="1:22" ht="14.25" customHeight="1" x14ac:dyDescent="0.35">
      <c r="A265" s="10" t="s">
        <v>589</v>
      </c>
      <c r="B265" s="11">
        <v>45513</v>
      </c>
      <c r="C265" s="10" t="s">
        <v>590</v>
      </c>
      <c r="D265" s="10" t="s">
        <v>315</v>
      </c>
      <c r="E265" s="10" t="s">
        <v>103</v>
      </c>
      <c r="F265" s="12">
        <v>3</v>
      </c>
      <c r="G265" s="12">
        <v>4060</v>
      </c>
      <c r="H265" s="12">
        <v>6.9</v>
      </c>
      <c r="I265" s="12">
        <v>11339.58</v>
      </c>
      <c r="J265" s="10" t="s">
        <v>51</v>
      </c>
      <c r="K265" s="10" t="s">
        <v>63</v>
      </c>
      <c r="L265" t="str">
        <f>IFERROR(VLOOKUP(D265,Products!A:F,3,0),"")</f>
        <v>Grocery</v>
      </c>
      <c r="M265" t="str">
        <f>IFERROR(VLOOKUP(E265,Sales_Reps!A:E,3,0),"")</f>
        <v>North</v>
      </c>
      <c r="N265" t="str">
        <f>IFERROR(VLOOKUP(C265,Customers!A:F,5,0),"")</f>
        <v>Retail</v>
      </c>
      <c r="O265">
        <f>IFERROR(VLOOKUP(C265,Customers!A:F,3,0),"")</f>
        <v>40</v>
      </c>
      <c r="P265">
        <f>IFERROR(VLOOKUP(D265,Products!A:F,4,0),"")</f>
        <v>2911</v>
      </c>
      <c r="Q265" t="b">
        <f>IFERROR(VLOOKUP(D265,Products!A:F,6,0),"")</f>
        <v>1</v>
      </c>
      <c r="R265">
        <f t="shared" si="12"/>
        <v>0.28300492610837441</v>
      </c>
      <c r="S265">
        <f t="shared" si="13"/>
        <v>1</v>
      </c>
      <c r="T265">
        <f>IF(AND(S265&gt;1,COUNTIF($A$2:A265,A265)=1),1,0)</f>
        <v>0</v>
      </c>
      <c r="U265">
        <f>COUNTIF(Customers!$A$2:$A$301,C265)</f>
        <v>1</v>
      </c>
      <c r="V265">
        <f t="shared" si="14"/>
        <v>0</v>
      </c>
    </row>
    <row r="266" spans="1:22" ht="14.25" customHeight="1" x14ac:dyDescent="0.35">
      <c r="A266" s="10" t="s">
        <v>591</v>
      </c>
      <c r="B266" s="11">
        <v>45465</v>
      </c>
      <c r="C266" s="10" t="s">
        <v>592</v>
      </c>
      <c r="D266" s="10" t="s">
        <v>88</v>
      </c>
      <c r="E266" s="10" t="s">
        <v>118</v>
      </c>
      <c r="F266" s="12">
        <v>6</v>
      </c>
      <c r="G266" s="12">
        <v>5490</v>
      </c>
      <c r="H266" s="12">
        <v>8.4</v>
      </c>
      <c r="I266" s="12">
        <v>30173.040000000001</v>
      </c>
      <c r="J266" s="10" t="s">
        <v>51</v>
      </c>
      <c r="K266" s="10" t="s">
        <v>97</v>
      </c>
      <c r="L266" t="str">
        <f>IFERROR(VLOOKUP(D266,Products!A:F,3,0),"")</f>
        <v>Home</v>
      </c>
      <c r="M266" t="str">
        <f>IFERROR(VLOOKUP(E266,Sales_Reps!A:E,3,0),"")</f>
        <v>East</v>
      </c>
      <c r="N266" t="str">
        <f>IFERROR(VLOOKUP(C266,Customers!A:F,5,0),"")</f>
        <v>Corporate</v>
      </c>
      <c r="O266">
        <f>IFERROR(VLOOKUP(C266,Customers!A:F,3,0),"")</f>
        <v>22</v>
      </c>
      <c r="P266">
        <f>IFERROR(VLOOKUP(D266,Products!A:F,4,0),"")</f>
        <v>2549</v>
      </c>
      <c r="Q266" t="b">
        <f>IFERROR(VLOOKUP(D266,Products!A:F,6,0),"")</f>
        <v>1</v>
      </c>
      <c r="R266">
        <f t="shared" si="12"/>
        <v>0.53570127504553733</v>
      </c>
      <c r="S266">
        <f t="shared" si="13"/>
        <v>1</v>
      </c>
      <c r="T266">
        <f>IF(AND(S266&gt;1,COUNTIF($A$2:A266,A266)=1),1,0)</f>
        <v>0</v>
      </c>
      <c r="U266">
        <f>COUNTIF(Customers!$A$2:$A$301,C266)</f>
        <v>1</v>
      </c>
      <c r="V266">
        <f t="shared" si="14"/>
        <v>0</v>
      </c>
    </row>
    <row r="267" spans="1:22" ht="14.25" customHeight="1" x14ac:dyDescent="0.35">
      <c r="A267" s="10" t="s">
        <v>593</v>
      </c>
      <c r="B267" s="11">
        <v>45407</v>
      </c>
      <c r="C267" s="10" t="s">
        <v>449</v>
      </c>
      <c r="D267" s="10" t="s">
        <v>74</v>
      </c>
      <c r="E267" s="10" t="s">
        <v>267</v>
      </c>
      <c r="F267" s="12">
        <v>6</v>
      </c>
      <c r="G267" s="12">
        <v>370</v>
      </c>
      <c r="H267" s="12">
        <v>15.1</v>
      </c>
      <c r="I267" s="12">
        <v>1884.78</v>
      </c>
      <c r="J267" s="10" t="s">
        <v>51</v>
      </c>
      <c r="K267" s="10" t="s">
        <v>52</v>
      </c>
      <c r="L267" t="str">
        <f>IFERROR(VLOOKUP(D267,Products!A:F,3,0),"")</f>
        <v>Home</v>
      </c>
      <c r="M267" t="str">
        <f>IFERROR(VLOOKUP(E267,Sales_Reps!A:E,3,0),"")</f>
        <v>East</v>
      </c>
      <c r="N267" t="str">
        <f>IFERROR(VLOOKUP(C267,Customers!A:F,5,0),"")</f>
        <v>Retail</v>
      </c>
      <c r="O267">
        <f>IFERROR(VLOOKUP(C267,Customers!A:F,3,0),"")</f>
        <v>49</v>
      </c>
      <c r="P267">
        <f>IFERROR(VLOOKUP(D267,Products!A:F,4,0),"")</f>
        <v>288</v>
      </c>
      <c r="Q267" t="b">
        <f>IFERROR(VLOOKUP(D267,Products!A:F,6,0),"")</f>
        <v>1</v>
      </c>
      <c r="R267">
        <f t="shared" si="12"/>
        <v>0.22162162162162163</v>
      </c>
      <c r="S267">
        <f t="shared" si="13"/>
        <v>1</v>
      </c>
      <c r="T267">
        <f>IF(AND(S267&gt;1,COUNTIF($A$2:A267,A267)=1),1,0)</f>
        <v>0</v>
      </c>
      <c r="U267">
        <f>COUNTIF(Customers!$A$2:$A$301,C267)</f>
        <v>1</v>
      </c>
      <c r="V267">
        <f t="shared" si="14"/>
        <v>0</v>
      </c>
    </row>
    <row r="268" spans="1:22" ht="14.25" customHeight="1" x14ac:dyDescent="0.35">
      <c r="A268" s="10" t="s">
        <v>594</v>
      </c>
      <c r="B268" s="11">
        <v>45405</v>
      </c>
      <c r="C268" s="10" t="s">
        <v>321</v>
      </c>
      <c r="D268" s="10" t="s">
        <v>256</v>
      </c>
      <c r="E268" s="10" t="s">
        <v>118</v>
      </c>
      <c r="F268" s="12">
        <v>5</v>
      </c>
      <c r="G268" s="12">
        <v>620</v>
      </c>
      <c r="H268" s="12">
        <v>13.1</v>
      </c>
      <c r="I268" s="12">
        <v>2693.9</v>
      </c>
      <c r="J268" s="10" t="s">
        <v>104</v>
      </c>
      <c r="K268" s="10" t="s">
        <v>63</v>
      </c>
      <c r="L268" t="str">
        <f>IFERROR(VLOOKUP(D268,Products!A:F,3,0),"")</f>
        <v>Apparel</v>
      </c>
      <c r="M268" t="str">
        <f>IFERROR(VLOOKUP(E268,Sales_Reps!A:E,3,0),"")</f>
        <v>East</v>
      </c>
      <c r="N268" t="str">
        <f>IFERROR(VLOOKUP(C268,Customers!A:F,5,0),"")</f>
        <v>SMB</v>
      </c>
      <c r="O268">
        <f>IFERROR(VLOOKUP(C268,Customers!A:F,3,0),"")</f>
        <v>38</v>
      </c>
      <c r="P268">
        <f>IFERROR(VLOOKUP(D268,Products!A:F,4,0),"")</f>
        <v>396</v>
      </c>
      <c r="Q268" t="b">
        <f>IFERROR(VLOOKUP(D268,Products!A:F,6,0),"")</f>
        <v>1</v>
      </c>
      <c r="R268">
        <f t="shared" si="12"/>
        <v>0.36129032258064514</v>
      </c>
      <c r="S268">
        <f t="shared" si="13"/>
        <v>1</v>
      </c>
      <c r="T268">
        <f>IF(AND(S268&gt;1,COUNTIF($A$2:A268,A268)=1),1,0)</f>
        <v>0</v>
      </c>
      <c r="U268">
        <f>COUNTIF(Customers!$A$2:$A$301,C268)</f>
        <v>1</v>
      </c>
      <c r="V268">
        <f t="shared" si="14"/>
        <v>0</v>
      </c>
    </row>
    <row r="269" spans="1:22" ht="14.25" customHeight="1" x14ac:dyDescent="0.35">
      <c r="A269" s="10" t="s">
        <v>595</v>
      </c>
      <c r="B269" s="11">
        <v>45332</v>
      </c>
      <c r="C269" s="10" t="s">
        <v>306</v>
      </c>
      <c r="D269" s="10" t="s">
        <v>107</v>
      </c>
      <c r="E269" s="10" t="s">
        <v>193</v>
      </c>
      <c r="F269" s="12">
        <v>9</v>
      </c>
      <c r="G269" s="12">
        <v>3250</v>
      </c>
      <c r="H269" s="12">
        <v>16.5</v>
      </c>
      <c r="I269" s="12">
        <v>24423.75</v>
      </c>
      <c r="J269" s="10" t="s">
        <v>51</v>
      </c>
      <c r="K269" s="10" t="s">
        <v>58</v>
      </c>
      <c r="L269" t="str">
        <f>IFERROR(VLOOKUP(D269,Products!A:F,3,0),"")</f>
        <v>Home</v>
      </c>
      <c r="M269" t="str">
        <f>IFERROR(VLOOKUP(E269,Sales_Reps!A:E,3,0),"")</f>
        <v>West</v>
      </c>
      <c r="N269" t="str">
        <f>IFERROR(VLOOKUP(C269,Customers!A:F,5,0),"")</f>
        <v>Retail</v>
      </c>
      <c r="O269">
        <f>IFERROR(VLOOKUP(C269,Customers!A:F,3,0),"")</f>
        <v>26</v>
      </c>
      <c r="P269">
        <f>IFERROR(VLOOKUP(D269,Products!A:F,4,0),"")</f>
        <v>1556</v>
      </c>
      <c r="Q269" t="b">
        <f>IFERROR(VLOOKUP(D269,Products!A:F,6,0),"")</f>
        <v>1</v>
      </c>
      <c r="R269">
        <f t="shared" si="12"/>
        <v>0.52123076923076928</v>
      </c>
      <c r="S269">
        <f t="shared" si="13"/>
        <v>2</v>
      </c>
      <c r="T269">
        <f>IF(AND(S269&gt;1,COUNTIF($A$2:A269,A269)=1),1,0)</f>
        <v>1</v>
      </c>
      <c r="U269">
        <f>COUNTIF(Customers!$A$2:$A$301,C269)</f>
        <v>1</v>
      </c>
      <c r="V269">
        <f t="shared" si="14"/>
        <v>0</v>
      </c>
    </row>
    <row r="270" spans="1:22" ht="14.25" customHeight="1" x14ac:dyDescent="0.35">
      <c r="A270" s="10" t="s">
        <v>596</v>
      </c>
      <c r="B270" s="11">
        <v>45299</v>
      </c>
      <c r="C270" s="10" t="s">
        <v>192</v>
      </c>
      <c r="D270" s="10" t="s">
        <v>205</v>
      </c>
      <c r="E270" s="10" t="s">
        <v>237</v>
      </c>
      <c r="F270" s="12">
        <v>1</v>
      </c>
      <c r="G270" s="12">
        <v>6080</v>
      </c>
      <c r="H270" s="12">
        <v>0.1</v>
      </c>
      <c r="I270" s="12">
        <v>6073.92</v>
      </c>
      <c r="J270" s="10" t="s">
        <v>51</v>
      </c>
      <c r="K270" s="10" t="s">
        <v>76</v>
      </c>
      <c r="L270" t="str">
        <f>IFERROR(VLOOKUP(D270,Products!A:F,3,0),"")</f>
        <v>Beauty</v>
      </c>
      <c r="M270" t="str">
        <f>IFERROR(VLOOKUP(E270,Sales_Reps!A:E,3,0),"")</f>
        <v>South</v>
      </c>
      <c r="N270" t="str">
        <f>IFERROR(VLOOKUP(C270,Customers!A:F,5,0),"")</f>
        <v>SMB</v>
      </c>
      <c r="O270">
        <f>IFERROR(VLOOKUP(C270,Customers!A:F,3,0),"")</f>
        <v>54</v>
      </c>
      <c r="P270">
        <f>IFERROR(VLOOKUP(D270,Products!A:F,4,0),"")</f>
        <v>2617</v>
      </c>
      <c r="Q270" t="b">
        <f>IFERROR(VLOOKUP(D270,Products!A:F,6,0),"")</f>
        <v>1</v>
      </c>
      <c r="R270">
        <f t="shared" si="12"/>
        <v>0.56957236842105263</v>
      </c>
      <c r="S270">
        <f t="shared" si="13"/>
        <v>1</v>
      </c>
      <c r="T270">
        <f>IF(AND(S270&gt;1,COUNTIF($A$2:A270,A270)=1),1,0)</f>
        <v>0</v>
      </c>
      <c r="U270">
        <f>COUNTIF(Customers!$A$2:$A$301,C270)</f>
        <v>1</v>
      </c>
      <c r="V270">
        <f t="shared" si="14"/>
        <v>0</v>
      </c>
    </row>
    <row r="271" spans="1:22" ht="14.25" customHeight="1" x14ac:dyDescent="0.35">
      <c r="A271" s="10" t="s">
        <v>597</v>
      </c>
      <c r="B271" s="11">
        <v>45386</v>
      </c>
      <c r="C271" s="10" t="s">
        <v>553</v>
      </c>
      <c r="D271" s="10" t="s">
        <v>201</v>
      </c>
      <c r="E271" s="10" t="s">
        <v>62</v>
      </c>
      <c r="F271" s="12">
        <v>8</v>
      </c>
      <c r="G271" s="12">
        <v>3640</v>
      </c>
      <c r="H271" s="12">
        <v>13.5</v>
      </c>
      <c r="I271" s="12">
        <v>25188.799999999999</v>
      </c>
      <c r="J271" s="10" t="s">
        <v>51</v>
      </c>
      <c r="K271" s="10" t="s">
        <v>58</v>
      </c>
      <c r="L271" t="str">
        <f>IFERROR(VLOOKUP(D271,Products!A:F,3,0),"")</f>
        <v>Apparel</v>
      </c>
      <c r="M271" t="str">
        <f>IFERROR(VLOOKUP(E271,Sales_Reps!A:E,3,0),"")</f>
        <v>South</v>
      </c>
      <c r="N271" t="str">
        <f>IFERROR(VLOOKUP(C271,Customers!A:F,5,0),"")</f>
        <v>Corporate</v>
      </c>
      <c r="O271">
        <f>IFERROR(VLOOKUP(C271,Customers!A:F,3,0),"")</f>
        <v>30</v>
      </c>
      <c r="P271">
        <f>IFERROR(VLOOKUP(D271,Products!A:F,4,0),"")</f>
        <v>2611</v>
      </c>
      <c r="Q271" t="b">
        <f>IFERROR(VLOOKUP(D271,Products!A:F,6,0),"")</f>
        <v>1</v>
      </c>
      <c r="R271">
        <f t="shared" si="12"/>
        <v>0.28269230769230769</v>
      </c>
      <c r="S271">
        <f t="shared" si="13"/>
        <v>1</v>
      </c>
      <c r="T271">
        <f>IF(AND(S271&gt;1,COUNTIF($A$2:A271,A271)=1),1,0)</f>
        <v>0</v>
      </c>
      <c r="U271">
        <f>COUNTIF(Customers!$A$2:$A$301,C271)</f>
        <v>1</v>
      </c>
      <c r="V271">
        <f t="shared" si="14"/>
        <v>0</v>
      </c>
    </row>
    <row r="272" spans="1:22" ht="14.25" customHeight="1" x14ac:dyDescent="0.35">
      <c r="A272" s="10" t="s">
        <v>598</v>
      </c>
      <c r="B272" s="11">
        <v>45472</v>
      </c>
      <c r="C272" s="10" t="s">
        <v>599</v>
      </c>
      <c r="D272" s="10" t="s">
        <v>70</v>
      </c>
      <c r="E272" s="10" t="s">
        <v>56</v>
      </c>
      <c r="F272" s="12">
        <v>9</v>
      </c>
      <c r="G272" s="12">
        <v>3160</v>
      </c>
      <c r="H272" s="12">
        <v>29.7</v>
      </c>
      <c r="I272" s="12">
        <v>19993.32</v>
      </c>
      <c r="J272" s="10" t="s">
        <v>51</v>
      </c>
      <c r="K272" s="10" t="s">
        <v>63</v>
      </c>
      <c r="L272" t="str">
        <f>IFERROR(VLOOKUP(D272,Products!A:F,3,0),"")</f>
        <v>Apparel</v>
      </c>
      <c r="M272" t="str">
        <f>IFERROR(VLOOKUP(E272,Sales_Reps!A:E,3,0),"")</f>
        <v>North</v>
      </c>
      <c r="N272" t="str">
        <f>IFERROR(VLOOKUP(C272,Customers!A:F,5,0),"")</f>
        <v>Retail</v>
      </c>
      <c r="O272">
        <f>IFERROR(VLOOKUP(C272,Customers!A:F,3,0),"")</f>
        <v>49</v>
      </c>
      <c r="P272">
        <f>IFERROR(VLOOKUP(D272,Products!A:F,4,0),"")</f>
        <v>1886</v>
      </c>
      <c r="Q272" t="b">
        <f>IFERROR(VLOOKUP(D272,Products!A:F,6,0),"")</f>
        <v>1</v>
      </c>
      <c r="R272">
        <f t="shared" si="12"/>
        <v>0.4031645569620253</v>
      </c>
      <c r="S272">
        <f t="shared" si="13"/>
        <v>1</v>
      </c>
      <c r="T272">
        <f>IF(AND(S272&gt;1,COUNTIF($A$2:A272,A272)=1),1,0)</f>
        <v>0</v>
      </c>
      <c r="U272">
        <f>COUNTIF(Customers!$A$2:$A$301,C272)</f>
        <v>1</v>
      </c>
      <c r="V272">
        <f t="shared" si="14"/>
        <v>0</v>
      </c>
    </row>
    <row r="273" spans="1:22" ht="14.25" customHeight="1" x14ac:dyDescent="0.35">
      <c r="A273" s="10" t="s">
        <v>600</v>
      </c>
      <c r="B273" s="11">
        <v>45428</v>
      </c>
      <c r="C273" s="10" t="s">
        <v>525</v>
      </c>
      <c r="D273" s="10" t="s">
        <v>212</v>
      </c>
      <c r="E273" s="10" t="s">
        <v>50</v>
      </c>
      <c r="F273" s="12">
        <v>2</v>
      </c>
      <c r="G273" s="12">
        <v>3870</v>
      </c>
      <c r="H273" s="12">
        <v>18.100000000000001</v>
      </c>
      <c r="I273" s="12">
        <v>6339.06</v>
      </c>
      <c r="J273" s="10" t="s">
        <v>104</v>
      </c>
      <c r="K273" s="10" t="s">
        <v>97</v>
      </c>
      <c r="L273" t="str">
        <f>IFERROR(VLOOKUP(D273,Products!A:F,3,0),"")</f>
        <v>Electronics</v>
      </c>
      <c r="M273" t="str">
        <f>IFERROR(VLOOKUP(E273,Sales_Reps!A:E,3,0),"")</f>
        <v>North</v>
      </c>
      <c r="N273" t="str">
        <f>IFERROR(VLOOKUP(C273,Customers!A:F,5,0),"")</f>
        <v>SMB</v>
      </c>
      <c r="O273">
        <f>IFERROR(VLOOKUP(C273,Customers!A:F,3,0),"")</f>
        <v>43</v>
      </c>
      <c r="P273">
        <f>IFERROR(VLOOKUP(D273,Products!A:F,4,0),"")</f>
        <v>1559</v>
      </c>
      <c r="Q273" t="b">
        <f>IFERROR(VLOOKUP(D273,Products!A:F,6,0),"")</f>
        <v>1</v>
      </c>
      <c r="R273">
        <f t="shared" si="12"/>
        <v>0.59715762273901807</v>
      </c>
      <c r="S273">
        <f t="shared" si="13"/>
        <v>1</v>
      </c>
      <c r="T273">
        <f>IF(AND(S273&gt;1,COUNTIF($A$2:A273,A273)=1),1,0)</f>
        <v>0</v>
      </c>
      <c r="U273">
        <f>COUNTIF(Customers!$A$2:$A$301,C273)</f>
        <v>1</v>
      </c>
      <c r="V273">
        <f t="shared" si="14"/>
        <v>0</v>
      </c>
    </row>
    <row r="274" spans="1:22" ht="14.25" customHeight="1" x14ac:dyDescent="0.35">
      <c r="A274" s="10" t="s">
        <v>601</v>
      </c>
      <c r="B274" s="11">
        <v>45430</v>
      </c>
      <c r="C274" s="10" t="s">
        <v>602</v>
      </c>
      <c r="D274" s="10" t="s">
        <v>167</v>
      </c>
      <c r="E274" s="10" t="s">
        <v>134</v>
      </c>
      <c r="F274" s="12">
        <v>3</v>
      </c>
      <c r="G274" s="12">
        <v>660</v>
      </c>
      <c r="H274" s="12">
        <v>9.1999999999999993</v>
      </c>
      <c r="I274" s="12">
        <v>1797.84</v>
      </c>
      <c r="J274" s="10" t="s">
        <v>51</v>
      </c>
      <c r="K274" s="10" t="s">
        <v>63</v>
      </c>
      <c r="L274" t="str">
        <f>IFERROR(VLOOKUP(D274,Products!A:F,3,0),"")</f>
        <v>Home</v>
      </c>
      <c r="M274" t="str">
        <f>IFERROR(VLOOKUP(E274,Sales_Reps!A:E,3,0),"")</f>
        <v>West</v>
      </c>
      <c r="N274" t="str">
        <f>IFERROR(VLOOKUP(C274,Customers!A:F,5,0),"")</f>
        <v>Retail</v>
      </c>
      <c r="O274">
        <f>IFERROR(VLOOKUP(C274,Customers!A:F,3,0),"")</f>
        <v>43</v>
      </c>
      <c r="P274">
        <f>IFERROR(VLOOKUP(D274,Products!A:F,4,0),"")</f>
        <v>329</v>
      </c>
      <c r="Q274" t="b">
        <f>IFERROR(VLOOKUP(D274,Products!A:F,6,0),"")</f>
        <v>1</v>
      </c>
      <c r="R274">
        <f t="shared" si="12"/>
        <v>0.50151515151515147</v>
      </c>
      <c r="S274">
        <f t="shared" si="13"/>
        <v>1</v>
      </c>
      <c r="T274">
        <f>IF(AND(S274&gt;1,COUNTIF($A$2:A274,A274)=1),1,0)</f>
        <v>0</v>
      </c>
      <c r="U274">
        <f>COUNTIF(Customers!$A$2:$A$301,C274)</f>
        <v>1</v>
      </c>
      <c r="V274">
        <f t="shared" si="14"/>
        <v>0</v>
      </c>
    </row>
    <row r="275" spans="1:22" ht="14.25" customHeight="1" x14ac:dyDescent="0.35">
      <c r="A275" s="10" t="s">
        <v>603</v>
      </c>
      <c r="B275" s="11">
        <v>45418</v>
      </c>
      <c r="C275" s="10" t="s">
        <v>369</v>
      </c>
      <c r="D275" s="10" t="s">
        <v>315</v>
      </c>
      <c r="E275" s="10" t="s">
        <v>216</v>
      </c>
      <c r="F275" s="12">
        <v>4</v>
      </c>
      <c r="G275" s="12">
        <v>4060</v>
      </c>
      <c r="H275" s="12">
        <v>28</v>
      </c>
      <c r="I275" s="12">
        <v>11692.8</v>
      </c>
      <c r="J275" s="10" t="s">
        <v>51</v>
      </c>
      <c r="K275" s="10" t="s">
        <v>58</v>
      </c>
      <c r="L275" t="str">
        <f>IFERROR(VLOOKUP(D275,Products!A:F,3,0),"")</f>
        <v>Grocery</v>
      </c>
      <c r="M275" t="str">
        <f>IFERROR(VLOOKUP(E275,Sales_Reps!A:E,3,0),"")</f>
        <v>South</v>
      </c>
      <c r="N275" t="str">
        <f>IFERROR(VLOOKUP(C275,Customers!A:F,5,0),"")</f>
        <v>Corporate</v>
      </c>
      <c r="O275">
        <f>IFERROR(VLOOKUP(C275,Customers!A:F,3,0),"")</f>
        <v>24</v>
      </c>
      <c r="P275">
        <f>IFERROR(VLOOKUP(D275,Products!A:F,4,0),"")</f>
        <v>2911</v>
      </c>
      <c r="Q275" t="b">
        <f>IFERROR(VLOOKUP(D275,Products!A:F,6,0),"")</f>
        <v>1</v>
      </c>
      <c r="R275">
        <f t="shared" si="12"/>
        <v>0.28300492610837441</v>
      </c>
      <c r="S275">
        <f t="shared" si="13"/>
        <v>1</v>
      </c>
      <c r="T275">
        <f>IF(AND(S275&gt;1,COUNTIF($A$2:A275,A275)=1),1,0)</f>
        <v>0</v>
      </c>
      <c r="U275">
        <f>COUNTIF(Customers!$A$2:$A$301,C275)</f>
        <v>1</v>
      </c>
      <c r="V275">
        <f t="shared" si="14"/>
        <v>0</v>
      </c>
    </row>
    <row r="276" spans="1:22" ht="14.25" customHeight="1" x14ac:dyDescent="0.35">
      <c r="A276" s="10" t="s">
        <v>604</v>
      </c>
      <c r="B276" s="11">
        <v>45360</v>
      </c>
      <c r="C276" s="10" t="s">
        <v>321</v>
      </c>
      <c r="D276" s="10" t="s">
        <v>407</v>
      </c>
      <c r="E276" s="10" t="s">
        <v>310</v>
      </c>
      <c r="F276" s="12">
        <v>2</v>
      </c>
      <c r="G276" s="12">
        <v>5080</v>
      </c>
      <c r="H276" s="12">
        <v>7.7</v>
      </c>
      <c r="I276" s="12">
        <v>9377.68</v>
      </c>
      <c r="J276" s="10" t="s">
        <v>108</v>
      </c>
      <c r="K276" s="10" t="s">
        <v>63</v>
      </c>
      <c r="L276" t="str">
        <f>IFERROR(VLOOKUP(D276,Products!A:F,3,0),"")</f>
        <v>Home</v>
      </c>
      <c r="M276" t="str">
        <f>IFERROR(VLOOKUP(E276,Sales_Reps!A:E,3,0),"")</f>
        <v>South</v>
      </c>
      <c r="N276" t="str">
        <f>IFERROR(VLOOKUP(C276,Customers!A:F,5,0),"")</f>
        <v>SMB</v>
      </c>
      <c r="O276">
        <f>IFERROR(VLOOKUP(C276,Customers!A:F,3,0),"")</f>
        <v>38</v>
      </c>
      <c r="P276">
        <f>IFERROR(VLOOKUP(D276,Products!A:F,4,0),"")</f>
        <v>2459</v>
      </c>
      <c r="Q276" t="b">
        <f>IFERROR(VLOOKUP(D276,Products!A:F,6,0),"")</f>
        <v>1</v>
      </c>
      <c r="R276">
        <f t="shared" si="12"/>
        <v>0.51594488188976373</v>
      </c>
      <c r="S276">
        <f t="shared" si="13"/>
        <v>1</v>
      </c>
      <c r="T276">
        <f>IF(AND(S276&gt;1,COUNTIF($A$2:A276,A276)=1),1,0)</f>
        <v>0</v>
      </c>
      <c r="U276">
        <f>COUNTIF(Customers!$A$2:$A$301,C276)</f>
        <v>1</v>
      </c>
      <c r="V276">
        <f t="shared" si="14"/>
        <v>0</v>
      </c>
    </row>
    <row r="277" spans="1:22" ht="14.25" customHeight="1" x14ac:dyDescent="0.35">
      <c r="A277" s="10" t="s">
        <v>605</v>
      </c>
      <c r="B277" s="11">
        <v>45296</v>
      </c>
      <c r="C277" s="10" t="s">
        <v>276</v>
      </c>
      <c r="D277" s="10" t="s">
        <v>151</v>
      </c>
      <c r="E277" s="10" t="s">
        <v>56</v>
      </c>
      <c r="F277" s="12">
        <v>3</v>
      </c>
      <c r="G277" s="12">
        <v>3570</v>
      </c>
      <c r="H277" s="12">
        <v>9.5</v>
      </c>
      <c r="I277" s="12">
        <v>9692.5499999999993</v>
      </c>
      <c r="J277" s="10" t="s">
        <v>51</v>
      </c>
      <c r="K277" s="10" t="s">
        <v>97</v>
      </c>
      <c r="L277" t="str">
        <f>IFERROR(VLOOKUP(D277,Products!A:F,3,0),"")</f>
        <v>Electronics</v>
      </c>
      <c r="M277" t="str">
        <f>IFERROR(VLOOKUP(E277,Sales_Reps!A:E,3,0),"")</f>
        <v>North</v>
      </c>
      <c r="N277" t="str">
        <f>IFERROR(VLOOKUP(C277,Customers!A:F,5,0),"")</f>
        <v>Retail</v>
      </c>
      <c r="O277">
        <f>IFERROR(VLOOKUP(C277,Customers!A:F,3,0),"")</f>
        <v>46</v>
      </c>
      <c r="P277">
        <f>IFERROR(VLOOKUP(D277,Products!A:F,4,0),"")</f>
        <v>1665</v>
      </c>
      <c r="Q277" t="b">
        <f>IFERROR(VLOOKUP(D277,Products!A:F,6,0),"")</f>
        <v>1</v>
      </c>
      <c r="R277">
        <f t="shared" si="12"/>
        <v>0.53361344537815125</v>
      </c>
      <c r="S277">
        <f t="shared" si="13"/>
        <v>1</v>
      </c>
      <c r="T277">
        <f>IF(AND(S277&gt;1,COUNTIF($A$2:A277,A277)=1),1,0)</f>
        <v>0</v>
      </c>
      <c r="U277">
        <f>COUNTIF(Customers!$A$2:$A$301,C277)</f>
        <v>1</v>
      </c>
      <c r="V277">
        <f t="shared" si="14"/>
        <v>0</v>
      </c>
    </row>
    <row r="278" spans="1:22" ht="14.25" customHeight="1" x14ac:dyDescent="0.35">
      <c r="A278" s="10" t="s">
        <v>606</v>
      </c>
      <c r="B278" s="11">
        <v>45460</v>
      </c>
      <c r="C278" s="10" t="s">
        <v>607</v>
      </c>
      <c r="D278" s="10" t="s">
        <v>256</v>
      </c>
      <c r="E278" s="10" t="s">
        <v>156</v>
      </c>
      <c r="F278" s="12">
        <v>2</v>
      </c>
      <c r="G278" s="12">
        <v>620</v>
      </c>
      <c r="H278" s="12">
        <v>29.5</v>
      </c>
      <c r="I278" s="12">
        <v>874.2</v>
      </c>
      <c r="J278" s="10" t="s">
        <v>51</v>
      </c>
      <c r="K278" s="10" t="s">
        <v>76</v>
      </c>
      <c r="L278" t="str">
        <f>IFERROR(VLOOKUP(D278,Products!A:F,3,0),"")</f>
        <v>Apparel</v>
      </c>
      <c r="M278" t="str">
        <f>IFERROR(VLOOKUP(E278,Sales_Reps!A:E,3,0),"")</f>
        <v>East</v>
      </c>
      <c r="N278" t="str">
        <f>IFERROR(VLOOKUP(C278,Customers!A:F,5,0),"")</f>
        <v>SMB</v>
      </c>
      <c r="O278">
        <f>IFERROR(VLOOKUP(C278,Customers!A:F,3,0),"")</f>
        <v>27</v>
      </c>
      <c r="P278">
        <f>IFERROR(VLOOKUP(D278,Products!A:F,4,0),"")</f>
        <v>396</v>
      </c>
      <c r="Q278" t="b">
        <f>IFERROR(VLOOKUP(D278,Products!A:F,6,0),"")</f>
        <v>1</v>
      </c>
      <c r="R278">
        <f t="shared" si="12"/>
        <v>0.36129032258064514</v>
      </c>
      <c r="S278">
        <f t="shared" si="13"/>
        <v>1</v>
      </c>
      <c r="T278">
        <f>IF(AND(S278&gt;1,COUNTIF($A$2:A278,A278)=1),1,0)</f>
        <v>0</v>
      </c>
      <c r="U278">
        <f>COUNTIF(Customers!$A$2:$A$301,C278)</f>
        <v>1</v>
      </c>
      <c r="V278">
        <f t="shared" si="14"/>
        <v>0</v>
      </c>
    </row>
    <row r="279" spans="1:22" ht="14.25" customHeight="1" x14ac:dyDescent="0.35">
      <c r="A279" s="10" t="s">
        <v>608</v>
      </c>
      <c r="B279" s="11">
        <v>45638</v>
      </c>
      <c r="C279" s="10" t="s">
        <v>367</v>
      </c>
      <c r="D279" s="10" t="s">
        <v>416</v>
      </c>
      <c r="E279" s="10" t="s">
        <v>216</v>
      </c>
      <c r="F279" s="12">
        <v>3</v>
      </c>
      <c r="G279" s="12">
        <v>3450</v>
      </c>
      <c r="H279" s="12">
        <v>3</v>
      </c>
      <c r="I279" s="12">
        <v>10039.5</v>
      </c>
      <c r="J279" s="10" t="s">
        <v>51</v>
      </c>
      <c r="K279" s="10" t="s">
        <v>81</v>
      </c>
      <c r="L279" t="str">
        <f>IFERROR(VLOOKUP(D279,Products!A:F,3,0),"")</f>
        <v>Apparel</v>
      </c>
      <c r="M279" t="str">
        <f>IFERROR(VLOOKUP(E279,Sales_Reps!A:E,3,0),"")</f>
        <v>South</v>
      </c>
      <c r="N279" t="str">
        <f>IFERROR(VLOOKUP(C279,Customers!A:F,5,0),"")</f>
        <v>Retail</v>
      </c>
      <c r="O279">
        <f>IFERROR(VLOOKUP(C279,Customers!A:F,3,0),"")</f>
        <v>59</v>
      </c>
      <c r="P279">
        <f>IFERROR(VLOOKUP(D279,Products!A:F,4,0),"")</f>
        <v>1748</v>
      </c>
      <c r="Q279" t="b">
        <f>IFERROR(VLOOKUP(D279,Products!A:F,6,0),"")</f>
        <v>1</v>
      </c>
      <c r="R279">
        <f t="shared" si="12"/>
        <v>0.49333333333333335</v>
      </c>
      <c r="S279">
        <f t="shared" si="13"/>
        <v>1</v>
      </c>
      <c r="T279">
        <f>IF(AND(S279&gt;1,COUNTIF($A$2:A279,A279)=1),1,0)</f>
        <v>0</v>
      </c>
      <c r="U279">
        <f>COUNTIF(Customers!$A$2:$A$301,C279)</f>
        <v>1</v>
      </c>
      <c r="V279">
        <f t="shared" si="14"/>
        <v>0</v>
      </c>
    </row>
    <row r="280" spans="1:22" ht="14.25" customHeight="1" x14ac:dyDescent="0.35">
      <c r="A280" s="10" t="s">
        <v>609</v>
      </c>
      <c r="B280" s="11">
        <v>45408</v>
      </c>
      <c r="C280" s="10" t="s">
        <v>486</v>
      </c>
      <c r="D280" s="10" t="s">
        <v>155</v>
      </c>
      <c r="E280" s="10" t="s">
        <v>67</v>
      </c>
      <c r="F280" s="12">
        <v>7</v>
      </c>
      <c r="G280" s="12">
        <v>5100</v>
      </c>
      <c r="H280" s="12">
        <v>4.3</v>
      </c>
      <c r="I280" s="12">
        <v>34164.9</v>
      </c>
      <c r="J280" s="10" t="s">
        <v>51</v>
      </c>
      <c r="K280" s="10" t="s">
        <v>63</v>
      </c>
      <c r="L280" t="str">
        <f>IFERROR(VLOOKUP(D280,Products!A:F,3,0),"")</f>
        <v>Beauty</v>
      </c>
      <c r="M280" t="str">
        <f>IFERROR(VLOOKUP(E280,Sales_Reps!A:E,3,0),"")</f>
        <v>North</v>
      </c>
      <c r="N280" t="str">
        <f>IFERROR(VLOOKUP(C280,Customers!A:F,5,0),"")</f>
        <v>SMB</v>
      </c>
      <c r="O280">
        <f>IFERROR(VLOOKUP(C280,Customers!A:F,3,0),"")</f>
        <v>55</v>
      </c>
      <c r="P280">
        <f>IFERROR(VLOOKUP(D280,Products!A:F,4,0),"")</f>
        <v>2237</v>
      </c>
      <c r="Q280" t="b">
        <f>IFERROR(VLOOKUP(D280,Products!A:F,6,0),"")</f>
        <v>1</v>
      </c>
      <c r="R280">
        <f t="shared" si="12"/>
        <v>0.56137254901960787</v>
      </c>
      <c r="S280">
        <f t="shared" si="13"/>
        <v>1</v>
      </c>
      <c r="T280">
        <f>IF(AND(S280&gt;1,COUNTIF($A$2:A280,A280)=1),1,0)</f>
        <v>0</v>
      </c>
      <c r="U280">
        <f>COUNTIF(Customers!$A$2:$A$301,C280)</f>
        <v>1</v>
      </c>
      <c r="V280">
        <f t="shared" si="14"/>
        <v>0</v>
      </c>
    </row>
    <row r="281" spans="1:22" ht="14.25" customHeight="1" x14ac:dyDescent="0.35">
      <c r="A281" s="10" t="s">
        <v>610</v>
      </c>
      <c r="B281" s="11">
        <v>45541</v>
      </c>
      <c r="C281" s="10" t="s">
        <v>393</v>
      </c>
      <c r="D281" s="10" t="s">
        <v>212</v>
      </c>
      <c r="E281" s="10" t="s">
        <v>112</v>
      </c>
      <c r="F281" s="12">
        <v>9</v>
      </c>
      <c r="G281" s="12">
        <v>3870</v>
      </c>
      <c r="H281" s="12">
        <v>4.8</v>
      </c>
      <c r="I281" s="12">
        <v>33158.160000000003</v>
      </c>
      <c r="J281" s="10" t="s">
        <v>51</v>
      </c>
      <c r="K281" s="10" t="s">
        <v>81</v>
      </c>
      <c r="L281" t="str">
        <f>IFERROR(VLOOKUP(D281,Products!A:F,3,0),"")</f>
        <v>Electronics</v>
      </c>
      <c r="M281" t="str">
        <f>IFERROR(VLOOKUP(E281,Sales_Reps!A:E,3,0),"")</f>
        <v>North</v>
      </c>
      <c r="N281" t="str">
        <f>IFERROR(VLOOKUP(C281,Customers!A:F,5,0),"")</f>
        <v>Retail</v>
      </c>
      <c r="O281">
        <f>IFERROR(VLOOKUP(C281,Customers!A:F,3,0),"")</f>
        <v>55</v>
      </c>
      <c r="P281">
        <f>IFERROR(VLOOKUP(D281,Products!A:F,4,0),"")</f>
        <v>1559</v>
      </c>
      <c r="Q281" t="b">
        <f>IFERROR(VLOOKUP(D281,Products!A:F,6,0),"")</f>
        <v>1</v>
      </c>
      <c r="R281">
        <f t="shared" si="12"/>
        <v>0.59715762273901807</v>
      </c>
      <c r="S281">
        <f t="shared" si="13"/>
        <v>1</v>
      </c>
      <c r="T281">
        <f>IF(AND(S281&gt;1,COUNTIF($A$2:A281,A281)=1),1,0)</f>
        <v>0</v>
      </c>
      <c r="U281">
        <f>COUNTIF(Customers!$A$2:$A$301,C281)</f>
        <v>1</v>
      </c>
      <c r="V281">
        <f t="shared" si="14"/>
        <v>0</v>
      </c>
    </row>
    <row r="282" spans="1:22" ht="14.25" customHeight="1" x14ac:dyDescent="0.35">
      <c r="A282" s="10" t="s">
        <v>611</v>
      </c>
      <c r="B282" s="11">
        <v>45633</v>
      </c>
      <c r="C282" s="10" t="s">
        <v>572</v>
      </c>
      <c r="D282" s="10" t="s">
        <v>231</v>
      </c>
      <c r="E282" s="10" t="s">
        <v>193</v>
      </c>
      <c r="F282" s="12">
        <v>5</v>
      </c>
      <c r="G282" s="12">
        <v>1220</v>
      </c>
      <c r="H282" s="12">
        <v>4</v>
      </c>
      <c r="I282" s="12">
        <v>5856</v>
      </c>
      <c r="J282" s="10" t="s">
        <v>104</v>
      </c>
      <c r="K282" s="10" t="s">
        <v>52</v>
      </c>
      <c r="L282" t="str">
        <f>IFERROR(VLOOKUP(D282,Products!A:F,3,0),"")</f>
        <v>Electronics</v>
      </c>
      <c r="M282" t="str">
        <f>IFERROR(VLOOKUP(E282,Sales_Reps!A:E,3,0),"")</f>
        <v>West</v>
      </c>
      <c r="N282" t="str">
        <f>IFERROR(VLOOKUP(C282,Customers!A:F,5,0),"")</f>
        <v>Corporate</v>
      </c>
      <c r="O282">
        <f>IFERROR(VLOOKUP(C282,Customers!A:F,3,0),"")</f>
        <v>40</v>
      </c>
      <c r="P282">
        <f>IFERROR(VLOOKUP(D282,Products!A:F,4,0),"")</f>
        <v>517</v>
      </c>
      <c r="Q282" t="b">
        <f>IFERROR(VLOOKUP(D282,Products!A:F,6,0),"")</f>
        <v>1</v>
      </c>
      <c r="R282">
        <f t="shared" si="12"/>
        <v>0.57622950819672136</v>
      </c>
      <c r="S282">
        <f t="shared" si="13"/>
        <v>1</v>
      </c>
      <c r="T282">
        <f>IF(AND(S282&gt;1,COUNTIF($A$2:A282,A282)=1),1,0)</f>
        <v>0</v>
      </c>
      <c r="U282">
        <f>COUNTIF(Customers!$A$2:$A$301,C282)</f>
        <v>1</v>
      </c>
      <c r="V282">
        <f t="shared" si="14"/>
        <v>0</v>
      </c>
    </row>
    <row r="283" spans="1:22" ht="14.25" customHeight="1" x14ac:dyDescent="0.35">
      <c r="A283" s="10" t="s">
        <v>612</v>
      </c>
      <c r="B283" s="11">
        <v>45338</v>
      </c>
      <c r="C283" s="10" t="s">
        <v>130</v>
      </c>
      <c r="D283" s="10" t="s">
        <v>88</v>
      </c>
      <c r="E283" s="10" t="s">
        <v>118</v>
      </c>
      <c r="F283" s="12">
        <v>5</v>
      </c>
      <c r="G283" s="12">
        <v>5490</v>
      </c>
      <c r="H283" s="12">
        <v>19.8</v>
      </c>
      <c r="I283" s="12">
        <v>22014.9</v>
      </c>
      <c r="J283" s="10" t="s">
        <v>51</v>
      </c>
      <c r="K283" s="10" t="s">
        <v>97</v>
      </c>
      <c r="L283" t="str">
        <f>IFERROR(VLOOKUP(D283,Products!A:F,3,0),"")</f>
        <v>Home</v>
      </c>
      <c r="M283" t="str">
        <f>IFERROR(VLOOKUP(E283,Sales_Reps!A:E,3,0),"")</f>
        <v>East</v>
      </c>
      <c r="N283" t="str">
        <f>IFERROR(VLOOKUP(C283,Customers!A:F,5,0),"")</f>
        <v>Retail</v>
      </c>
      <c r="O283">
        <f>IFERROR(VLOOKUP(C283,Customers!A:F,3,0),"")</f>
        <v>32</v>
      </c>
      <c r="P283">
        <f>IFERROR(VLOOKUP(D283,Products!A:F,4,0),"")</f>
        <v>2549</v>
      </c>
      <c r="Q283" t="b">
        <f>IFERROR(VLOOKUP(D283,Products!A:F,6,0),"")</f>
        <v>1</v>
      </c>
      <c r="R283">
        <f t="shared" si="12"/>
        <v>0.53570127504553733</v>
      </c>
      <c r="S283">
        <f t="shared" si="13"/>
        <v>1</v>
      </c>
      <c r="T283">
        <f>IF(AND(S283&gt;1,COUNTIF($A$2:A283,A283)=1),1,0)</f>
        <v>0</v>
      </c>
      <c r="U283">
        <f>COUNTIF(Customers!$A$2:$A$301,C283)</f>
        <v>1</v>
      </c>
      <c r="V283">
        <f t="shared" si="14"/>
        <v>0</v>
      </c>
    </row>
    <row r="284" spans="1:22" ht="14.25" customHeight="1" x14ac:dyDescent="0.35">
      <c r="A284" s="10" t="s">
        <v>613</v>
      </c>
      <c r="B284" s="11">
        <v>45529</v>
      </c>
      <c r="C284" s="10" t="s">
        <v>349</v>
      </c>
      <c r="D284" s="10" t="s">
        <v>140</v>
      </c>
      <c r="E284" s="10" t="s">
        <v>179</v>
      </c>
      <c r="F284" s="12">
        <v>1</v>
      </c>
      <c r="G284" s="12">
        <v>1650</v>
      </c>
      <c r="H284" s="12">
        <v>26.2</v>
      </c>
      <c r="I284" s="12">
        <v>1217.7</v>
      </c>
      <c r="J284" s="10" t="s">
        <v>51</v>
      </c>
      <c r="K284" s="10" t="s">
        <v>81</v>
      </c>
      <c r="L284" t="str">
        <f>IFERROR(VLOOKUP(D284,Products!A:F,3,0),"")</f>
        <v>Beauty</v>
      </c>
      <c r="M284" t="str">
        <f>IFERROR(VLOOKUP(E284,Sales_Reps!A:E,3,0),"")</f>
        <v>North</v>
      </c>
      <c r="N284" t="str">
        <f>IFERROR(VLOOKUP(C284,Customers!A:F,5,0),"")</f>
        <v>Retail</v>
      </c>
      <c r="O284">
        <f>IFERROR(VLOOKUP(C284,Customers!A:F,3,0),"")</f>
        <v>23</v>
      </c>
      <c r="P284">
        <f>IFERROR(VLOOKUP(D284,Products!A:F,4,0),"")</f>
        <v>1222</v>
      </c>
      <c r="Q284" t="b">
        <f>IFERROR(VLOOKUP(D284,Products!A:F,6,0),"")</f>
        <v>1</v>
      </c>
      <c r="R284">
        <f t="shared" si="12"/>
        <v>0.2593939393939394</v>
      </c>
      <c r="S284">
        <f t="shared" si="13"/>
        <v>1</v>
      </c>
      <c r="T284">
        <f>IF(AND(S284&gt;1,COUNTIF($A$2:A284,A284)=1),1,0)</f>
        <v>0</v>
      </c>
      <c r="U284">
        <f>COUNTIF(Customers!$A$2:$A$301,C284)</f>
        <v>1</v>
      </c>
      <c r="V284">
        <f t="shared" si="14"/>
        <v>0</v>
      </c>
    </row>
    <row r="285" spans="1:22" ht="14.25" customHeight="1" x14ac:dyDescent="0.35">
      <c r="A285" s="10" t="s">
        <v>614</v>
      </c>
      <c r="B285" s="11">
        <v>45460</v>
      </c>
      <c r="C285" s="10" t="s">
        <v>615</v>
      </c>
      <c r="D285" s="10" t="s">
        <v>243</v>
      </c>
      <c r="E285" s="10" t="s">
        <v>112</v>
      </c>
      <c r="F285" s="12">
        <v>1</v>
      </c>
      <c r="G285" s="12">
        <v>2660</v>
      </c>
      <c r="H285" s="12">
        <v>21</v>
      </c>
      <c r="I285" s="12">
        <v>2101.4</v>
      </c>
      <c r="J285" s="10" t="s">
        <v>51</v>
      </c>
      <c r="K285" s="10" t="s">
        <v>97</v>
      </c>
      <c r="L285" t="str">
        <f>IFERROR(VLOOKUP(D285,Products!A:F,3,0),"")</f>
        <v>Electronics</v>
      </c>
      <c r="M285" t="str">
        <f>IFERROR(VLOOKUP(E285,Sales_Reps!A:E,3,0),"")</f>
        <v>North</v>
      </c>
      <c r="N285" t="str">
        <f>IFERROR(VLOOKUP(C285,Customers!A:F,5,0),"")</f>
        <v>Retail</v>
      </c>
      <c r="O285">
        <f>IFERROR(VLOOKUP(C285,Customers!A:F,3,0),"")</f>
        <v>50</v>
      </c>
      <c r="P285">
        <f>IFERROR(VLOOKUP(D285,Products!A:F,4,0),"")</f>
        <v>1259</v>
      </c>
      <c r="Q285" t="b">
        <f>IFERROR(VLOOKUP(D285,Products!A:F,6,0),"")</f>
        <v>0</v>
      </c>
      <c r="R285">
        <f t="shared" si="12"/>
        <v>0.52669172932330832</v>
      </c>
      <c r="S285">
        <f t="shared" si="13"/>
        <v>1</v>
      </c>
      <c r="T285">
        <f>IF(AND(S285&gt;1,COUNTIF($A$2:A285,A285)=1),1,0)</f>
        <v>0</v>
      </c>
      <c r="U285">
        <f>COUNTIF(Customers!$A$2:$A$301,C285)</f>
        <v>1</v>
      </c>
      <c r="V285">
        <f t="shared" si="14"/>
        <v>0</v>
      </c>
    </row>
    <row r="286" spans="1:22" ht="14.25" customHeight="1" x14ac:dyDescent="0.35">
      <c r="A286" s="10" t="s">
        <v>616</v>
      </c>
      <c r="B286" s="11">
        <v>45375</v>
      </c>
      <c r="C286" s="10" t="s">
        <v>295</v>
      </c>
      <c r="D286" s="10" t="s">
        <v>302</v>
      </c>
      <c r="E286" s="10" t="s">
        <v>112</v>
      </c>
      <c r="F286" s="12">
        <v>6</v>
      </c>
      <c r="G286" s="12">
        <v>2210</v>
      </c>
      <c r="H286" s="12">
        <v>9.8000000000000007</v>
      </c>
      <c r="I286" s="12">
        <v>11960.52</v>
      </c>
      <c r="J286" s="10" t="s">
        <v>57</v>
      </c>
      <c r="K286" s="10" t="s">
        <v>81</v>
      </c>
      <c r="L286" t="str">
        <f>IFERROR(VLOOKUP(D286,Products!A:F,3,0),"")</f>
        <v>Grocery</v>
      </c>
      <c r="M286" t="str">
        <f>IFERROR(VLOOKUP(E286,Sales_Reps!A:E,3,0),"")</f>
        <v>North</v>
      </c>
      <c r="N286" t="str">
        <f>IFERROR(VLOOKUP(C286,Customers!A:F,5,0),"")</f>
        <v>Corporate</v>
      </c>
      <c r="O286">
        <f>IFERROR(VLOOKUP(C286,Customers!A:F,3,0),"")</f>
        <v>59</v>
      </c>
      <c r="P286">
        <f>IFERROR(VLOOKUP(D286,Products!A:F,4,0),"")</f>
        <v>1010</v>
      </c>
      <c r="Q286" t="b">
        <f>IFERROR(VLOOKUP(D286,Products!A:F,6,0),"")</f>
        <v>1</v>
      </c>
      <c r="R286">
        <f t="shared" si="12"/>
        <v>0.54298642533936647</v>
      </c>
      <c r="S286">
        <f t="shared" si="13"/>
        <v>1</v>
      </c>
      <c r="T286">
        <f>IF(AND(S286&gt;1,COUNTIF($A$2:A286,A286)=1),1,0)</f>
        <v>0</v>
      </c>
      <c r="U286">
        <f>COUNTIF(Customers!$A$2:$A$301,C286)</f>
        <v>1</v>
      </c>
      <c r="V286">
        <f t="shared" si="14"/>
        <v>11960.52</v>
      </c>
    </row>
    <row r="287" spans="1:22" ht="14.25" customHeight="1" x14ac:dyDescent="0.35">
      <c r="A287" s="10" t="s">
        <v>617</v>
      </c>
      <c r="B287" s="11">
        <v>45310</v>
      </c>
      <c r="C287" s="10" t="s">
        <v>486</v>
      </c>
      <c r="D287" s="10" t="s">
        <v>102</v>
      </c>
      <c r="E287" s="10" t="s">
        <v>179</v>
      </c>
      <c r="F287" s="12">
        <v>9</v>
      </c>
      <c r="G287" s="12">
        <v>2600</v>
      </c>
      <c r="H287" s="12">
        <v>15.7</v>
      </c>
      <c r="I287" s="12">
        <v>19726.2</v>
      </c>
      <c r="J287" s="10" t="s">
        <v>51</v>
      </c>
      <c r="K287" s="10" t="s">
        <v>63</v>
      </c>
      <c r="L287" t="str">
        <f>IFERROR(VLOOKUP(D287,Products!A:F,3,0),"")</f>
        <v>Electronics</v>
      </c>
      <c r="M287" t="str">
        <f>IFERROR(VLOOKUP(E287,Sales_Reps!A:E,3,0),"")</f>
        <v>North</v>
      </c>
      <c r="N287" t="str">
        <f>IFERROR(VLOOKUP(C287,Customers!A:F,5,0),"")</f>
        <v>SMB</v>
      </c>
      <c r="O287">
        <f>IFERROR(VLOOKUP(C287,Customers!A:F,3,0),"")</f>
        <v>55</v>
      </c>
      <c r="P287">
        <f>IFERROR(VLOOKUP(D287,Products!A:F,4,0),"")</f>
        <v>1052</v>
      </c>
      <c r="Q287" t="b">
        <f>IFERROR(VLOOKUP(D287,Products!A:F,6,0),"")</f>
        <v>1</v>
      </c>
      <c r="R287">
        <f t="shared" si="12"/>
        <v>0.5953846153846154</v>
      </c>
      <c r="S287">
        <f t="shared" si="13"/>
        <v>1</v>
      </c>
      <c r="T287">
        <f>IF(AND(S287&gt;1,COUNTIF($A$2:A287,A287)=1),1,0)</f>
        <v>0</v>
      </c>
      <c r="U287">
        <f>COUNTIF(Customers!$A$2:$A$301,C287)</f>
        <v>1</v>
      </c>
      <c r="V287">
        <f t="shared" si="14"/>
        <v>0</v>
      </c>
    </row>
    <row r="288" spans="1:22" ht="14.25" customHeight="1" x14ac:dyDescent="0.35">
      <c r="A288" s="10" t="s">
        <v>618</v>
      </c>
      <c r="B288" s="11">
        <v>45314</v>
      </c>
      <c r="C288" s="10" t="s">
        <v>619</v>
      </c>
      <c r="D288" s="10" t="s">
        <v>240</v>
      </c>
      <c r="E288" s="10" t="s">
        <v>75</v>
      </c>
      <c r="F288" s="12">
        <v>3</v>
      </c>
      <c r="G288" s="12">
        <v>3020</v>
      </c>
      <c r="H288" s="12">
        <v>22.6</v>
      </c>
      <c r="I288" s="12">
        <v>7012.44</v>
      </c>
      <c r="J288" s="10" t="s">
        <v>51</v>
      </c>
      <c r="K288" s="10" t="s">
        <v>97</v>
      </c>
      <c r="L288" t="str">
        <f>IFERROR(VLOOKUP(D288,Products!A:F,3,0),"")</f>
        <v>Beauty</v>
      </c>
      <c r="M288" t="str">
        <f>IFERROR(VLOOKUP(E288,Sales_Reps!A:E,3,0),"")</f>
        <v>West</v>
      </c>
      <c r="N288" t="str">
        <f>IFERROR(VLOOKUP(C288,Customers!A:F,5,0),"")</f>
        <v>Retail</v>
      </c>
      <c r="O288">
        <f>IFERROR(VLOOKUP(C288,Customers!A:F,3,0),"")</f>
        <v>27</v>
      </c>
      <c r="P288">
        <f>IFERROR(VLOOKUP(D288,Products!A:F,4,0),"")</f>
        <v>1626</v>
      </c>
      <c r="Q288" t="b">
        <f>IFERROR(VLOOKUP(D288,Products!A:F,6,0),"")</f>
        <v>1</v>
      </c>
      <c r="R288">
        <f t="shared" si="12"/>
        <v>0.46158940397350995</v>
      </c>
      <c r="S288">
        <f t="shared" si="13"/>
        <v>1</v>
      </c>
      <c r="T288">
        <f>IF(AND(S288&gt;1,COUNTIF($A$2:A288,A288)=1),1,0)</f>
        <v>0</v>
      </c>
      <c r="U288">
        <f>COUNTIF(Customers!$A$2:$A$301,C288)</f>
        <v>1</v>
      </c>
      <c r="V288">
        <f t="shared" si="14"/>
        <v>0</v>
      </c>
    </row>
    <row r="289" spans="1:22" ht="14.25" customHeight="1" x14ac:dyDescent="0.35">
      <c r="A289" s="10" t="s">
        <v>620</v>
      </c>
      <c r="B289" s="11">
        <v>45459</v>
      </c>
      <c r="C289" s="10" t="s">
        <v>278</v>
      </c>
      <c r="D289" s="10" t="s">
        <v>74</v>
      </c>
      <c r="E289" s="10" t="s">
        <v>56</v>
      </c>
      <c r="F289" s="12">
        <v>6</v>
      </c>
      <c r="G289" s="12">
        <v>370</v>
      </c>
      <c r="H289" s="12">
        <v>12.4</v>
      </c>
      <c r="I289" s="12">
        <v>1944.72</v>
      </c>
      <c r="J289" s="10" t="s">
        <v>51</v>
      </c>
      <c r="K289" s="10" t="s">
        <v>52</v>
      </c>
      <c r="L289" t="str">
        <f>IFERROR(VLOOKUP(D289,Products!A:F,3,0),"")</f>
        <v>Home</v>
      </c>
      <c r="M289" t="str">
        <f>IFERROR(VLOOKUP(E289,Sales_Reps!A:E,3,0),"")</f>
        <v>North</v>
      </c>
      <c r="N289" t="str">
        <f>IFERROR(VLOOKUP(C289,Customers!A:F,5,0),"")</f>
        <v>Corporate</v>
      </c>
      <c r="O289">
        <f>IFERROR(VLOOKUP(C289,Customers!A:F,3,0),"")</f>
        <v>33</v>
      </c>
      <c r="P289">
        <f>IFERROR(VLOOKUP(D289,Products!A:F,4,0),"")</f>
        <v>288</v>
      </c>
      <c r="Q289" t="b">
        <f>IFERROR(VLOOKUP(D289,Products!A:F,6,0),"")</f>
        <v>1</v>
      </c>
      <c r="R289">
        <f t="shared" si="12"/>
        <v>0.22162162162162163</v>
      </c>
      <c r="S289">
        <f t="shared" si="13"/>
        <v>1</v>
      </c>
      <c r="T289">
        <f>IF(AND(S289&gt;1,COUNTIF($A$2:A289,A289)=1),1,0)</f>
        <v>0</v>
      </c>
      <c r="U289">
        <f>COUNTIF(Customers!$A$2:$A$301,C289)</f>
        <v>1</v>
      </c>
      <c r="V289">
        <f t="shared" si="14"/>
        <v>0</v>
      </c>
    </row>
    <row r="290" spans="1:22" ht="14.25" customHeight="1" x14ac:dyDescent="0.35">
      <c r="A290" s="10" t="s">
        <v>621</v>
      </c>
      <c r="B290" s="11">
        <v>45312</v>
      </c>
      <c r="C290" s="10" t="s">
        <v>579</v>
      </c>
      <c r="D290" s="10" t="s">
        <v>328</v>
      </c>
      <c r="E290" s="10" t="s">
        <v>67</v>
      </c>
      <c r="F290" s="12">
        <v>8</v>
      </c>
      <c r="G290" s="12">
        <v>5330</v>
      </c>
      <c r="H290" s="12">
        <v>16.2</v>
      </c>
      <c r="I290" s="12">
        <v>35732.32</v>
      </c>
      <c r="J290" s="10" t="s">
        <v>51</v>
      </c>
      <c r="K290" s="10" t="s">
        <v>76</v>
      </c>
      <c r="L290" t="str">
        <f>IFERROR(VLOOKUP(D290,Products!A:F,3,0),"")</f>
        <v>Electronics</v>
      </c>
      <c r="M290" t="str">
        <f>IFERROR(VLOOKUP(E290,Sales_Reps!A:E,3,0),"")</f>
        <v>North</v>
      </c>
      <c r="N290" t="str">
        <f>IFERROR(VLOOKUP(C290,Customers!A:F,5,0),"")</f>
        <v>Retail</v>
      </c>
      <c r="O290">
        <f>IFERROR(VLOOKUP(C290,Customers!A:F,3,0),"")</f>
        <v>53</v>
      </c>
      <c r="P290">
        <f>IFERROR(VLOOKUP(D290,Products!A:F,4,0),"")</f>
        <v>2405</v>
      </c>
      <c r="Q290" t="b">
        <f>IFERROR(VLOOKUP(D290,Products!A:F,6,0),"")</f>
        <v>1</v>
      </c>
      <c r="R290">
        <f t="shared" si="12"/>
        <v>0.54878048780487809</v>
      </c>
      <c r="S290">
        <f t="shared" si="13"/>
        <v>1</v>
      </c>
      <c r="T290">
        <f>IF(AND(S290&gt;1,COUNTIF($A$2:A290,A290)=1),1,0)</f>
        <v>0</v>
      </c>
      <c r="U290">
        <f>COUNTIF(Customers!$A$2:$A$301,C290)</f>
        <v>1</v>
      </c>
      <c r="V290">
        <f t="shared" si="14"/>
        <v>0</v>
      </c>
    </row>
    <row r="291" spans="1:22" ht="14.25" customHeight="1" x14ac:dyDescent="0.35">
      <c r="A291" s="10" t="s">
        <v>622</v>
      </c>
      <c r="B291" s="11">
        <v>45500</v>
      </c>
      <c r="C291" s="10" t="s">
        <v>189</v>
      </c>
      <c r="D291" s="10" t="s">
        <v>623</v>
      </c>
      <c r="E291" s="10" t="s">
        <v>134</v>
      </c>
      <c r="F291" s="12">
        <v>4</v>
      </c>
      <c r="G291" s="12">
        <v>3560</v>
      </c>
      <c r="H291" s="12">
        <v>10.5</v>
      </c>
      <c r="I291" s="12">
        <v>12744.8</v>
      </c>
      <c r="J291" s="10" t="s">
        <v>51</v>
      </c>
      <c r="K291" s="10" t="s">
        <v>58</v>
      </c>
      <c r="L291" t="str">
        <f>IFERROR(VLOOKUP(D291,Products!A:F,3,0),"")</f>
        <v>Apparel</v>
      </c>
      <c r="M291" t="str">
        <f>IFERROR(VLOOKUP(E291,Sales_Reps!A:E,3,0),"")</f>
        <v>West</v>
      </c>
      <c r="N291" t="str">
        <f>IFERROR(VLOOKUP(C291,Customers!A:F,5,0),"")</f>
        <v>Retail</v>
      </c>
      <c r="O291">
        <f>IFERROR(VLOOKUP(C291,Customers!A:F,3,0),"")</f>
        <v>37</v>
      </c>
      <c r="P291">
        <f>IFERROR(VLOOKUP(D291,Products!A:F,4,0),"")</f>
        <v>2629</v>
      </c>
      <c r="Q291" t="b">
        <f>IFERROR(VLOOKUP(D291,Products!A:F,6,0),"")</f>
        <v>1</v>
      </c>
      <c r="R291">
        <f t="shared" si="12"/>
        <v>0.26151685393258428</v>
      </c>
      <c r="S291">
        <f t="shared" si="13"/>
        <v>1</v>
      </c>
      <c r="T291">
        <f>IF(AND(S291&gt;1,COUNTIF($A$2:A291,A291)=1),1,0)</f>
        <v>0</v>
      </c>
      <c r="U291">
        <f>COUNTIF(Customers!$A$2:$A$301,C291)</f>
        <v>1</v>
      </c>
      <c r="V291">
        <f t="shared" si="14"/>
        <v>0</v>
      </c>
    </row>
    <row r="292" spans="1:22" ht="14.25" customHeight="1" x14ac:dyDescent="0.35">
      <c r="A292" s="10" t="s">
        <v>624</v>
      </c>
      <c r="B292" s="11">
        <v>45389</v>
      </c>
      <c r="C292" s="10" t="s">
        <v>568</v>
      </c>
      <c r="D292" s="10" t="s">
        <v>146</v>
      </c>
      <c r="E292" s="10" t="s">
        <v>134</v>
      </c>
      <c r="F292" s="12">
        <v>10</v>
      </c>
      <c r="G292" s="12">
        <v>1010</v>
      </c>
      <c r="H292" s="12">
        <v>10.8</v>
      </c>
      <c r="I292" s="12">
        <v>9009.2000000000007</v>
      </c>
      <c r="J292" s="10" t="s">
        <v>51</v>
      </c>
      <c r="K292" s="10" t="s">
        <v>81</v>
      </c>
      <c r="L292" t="str">
        <f>IFERROR(VLOOKUP(D292,Products!A:F,3,0),"")</f>
        <v>Sports</v>
      </c>
      <c r="M292" t="str">
        <f>IFERROR(VLOOKUP(E292,Sales_Reps!A:E,3,0),"")</f>
        <v>West</v>
      </c>
      <c r="N292" t="str">
        <f>IFERROR(VLOOKUP(C292,Customers!A:F,5,0),"")</f>
        <v>Retail</v>
      </c>
      <c r="O292">
        <f>IFERROR(VLOOKUP(C292,Customers!A:F,3,0),"")</f>
        <v>34</v>
      </c>
      <c r="P292">
        <f>IFERROR(VLOOKUP(D292,Products!A:F,4,0),"")</f>
        <v>516</v>
      </c>
      <c r="Q292" t="b">
        <f>IFERROR(VLOOKUP(D292,Products!A:F,6,0),"")</f>
        <v>1</v>
      </c>
      <c r="R292">
        <f t="shared" si="12"/>
        <v>0.4891089108910891</v>
      </c>
      <c r="S292">
        <f t="shared" si="13"/>
        <v>1</v>
      </c>
      <c r="T292">
        <f>IF(AND(S292&gt;1,COUNTIF($A$2:A292,A292)=1),1,0)</f>
        <v>0</v>
      </c>
      <c r="U292">
        <f>COUNTIF(Customers!$A$2:$A$301,C292)</f>
        <v>1</v>
      </c>
      <c r="V292">
        <f t="shared" si="14"/>
        <v>0</v>
      </c>
    </row>
    <row r="293" spans="1:22" ht="14.25" customHeight="1" x14ac:dyDescent="0.35">
      <c r="A293" s="10" t="s">
        <v>625</v>
      </c>
      <c r="B293" s="11">
        <v>45619</v>
      </c>
      <c r="C293" s="10" t="s">
        <v>626</v>
      </c>
      <c r="D293" s="10" t="s">
        <v>479</v>
      </c>
      <c r="E293" s="10" t="s">
        <v>67</v>
      </c>
      <c r="F293" s="12">
        <v>8</v>
      </c>
      <c r="G293" s="12">
        <v>6940</v>
      </c>
      <c r="H293" s="12">
        <v>3.2</v>
      </c>
      <c r="I293" s="12">
        <v>53743.360000000001</v>
      </c>
      <c r="J293" s="10" t="s">
        <v>104</v>
      </c>
      <c r="K293" s="10" t="s">
        <v>58</v>
      </c>
      <c r="L293" t="str">
        <f>IFERROR(VLOOKUP(D293,Products!A:F,3,0),"")</f>
        <v>Sports</v>
      </c>
      <c r="M293" t="str">
        <f>IFERROR(VLOOKUP(E293,Sales_Reps!A:E,3,0),"")</f>
        <v>North</v>
      </c>
      <c r="N293" t="str">
        <f>IFERROR(VLOOKUP(C293,Customers!A:F,5,0),"")</f>
        <v>Corporate</v>
      </c>
      <c r="O293">
        <f>IFERROR(VLOOKUP(C293,Customers!A:F,3,0),"")</f>
        <v>41</v>
      </c>
      <c r="P293">
        <f>IFERROR(VLOOKUP(D293,Products!A:F,4,0),"")</f>
        <v>2827</v>
      </c>
      <c r="Q293" t="b">
        <f>IFERROR(VLOOKUP(D293,Products!A:F,6,0),"")</f>
        <v>1</v>
      </c>
      <c r="R293">
        <f t="shared" si="12"/>
        <v>0.5926512968299712</v>
      </c>
      <c r="S293">
        <f t="shared" si="13"/>
        <v>1</v>
      </c>
      <c r="T293">
        <f>IF(AND(S293&gt;1,COUNTIF($A$2:A293,A293)=1),1,0)</f>
        <v>0</v>
      </c>
      <c r="U293">
        <f>COUNTIF(Customers!$A$2:$A$301,C293)</f>
        <v>1</v>
      </c>
      <c r="V293">
        <f t="shared" si="14"/>
        <v>0</v>
      </c>
    </row>
    <row r="294" spans="1:22" ht="14.25" customHeight="1" x14ac:dyDescent="0.35">
      <c r="A294" s="10" t="s">
        <v>627</v>
      </c>
      <c r="B294" s="11">
        <v>45617</v>
      </c>
      <c r="C294" s="10" t="s">
        <v>276</v>
      </c>
      <c r="D294" s="10" t="s">
        <v>70</v>
      </c>
      <c r="E294" s="10" t="s">
        <v>152</v>
      </c>
      <c r="F294" s="12">
        <v>7</v>
      </c>
      <c r="G294" s="12">
        <v>3160</v>
      </c>
      <c r="H294" s="12">
        <v>3.6</v>
      </c>
      <c r="I294" s="12">
        <v>21323.68</v>
      </c>
      <c r="J294" s="10" t="s">
        <v>51</v>
      </c>
      <c r="K294" s="10" t="s">
        <v>97</v>
      </c>
      <c r="L294" t="str">
        <f>IFERROR(VLOOKUP(D294,Products!A:F,3,0),"")</f>
        <v>Apparel</v>
      </c>
      <c r="M294" t="str">
        <f>IFERROR(VLOOKUP(E294,Sales_Reps!A:E,3,0),"")</f>
        <v>South</v>
      </c>
      <c r="N294" t="str">
        <f>IFERROR(VLOOKUP(C294,Customers!A:F,5,0),"")</f>
        <v>Retail</v>
      </c>
      <c r="O294">
        <f>IFERROR(VLOOKUP(C294,Customers!A:F,3,0),"")</f>
        <v>46</v>
      </c>
      <c r="P294">
        <f>IFERROR(VLOOKUP(D294,Products!A:F,4,0),"")</f>
        <v>1886</v>
      </c>
      <c r="Q294" t="b">
        <f>IFERROR(VLOOKUP(D294,Products!A:F,6,0),"")</f>
        <v>1</v>
      </c>
      <c r="R294">
        <f t="shared" si="12"/>
        <v>0.4031645569620253</v>
      </c>
      <c r="S294">
        <f t="shared" si="13"/>
        <v>2</v>
      </c>
      <c r="T294">
        <f>IF(AND(S294&gt;1,COUNTIF($A$2:A294,A294)=1),1,0)</f>
        <v>1</v>
      </c>
      <c r="U294">
        <f>COUNTIF(Customers!$A$2:$A$301,C294)</f>
        <v>1</v>
      </c>
      <c r="V294">
        <f t="shared" si="14"/>
        <v>0</v>
      </c>
    </row>
    <row r="295" spans="1:22" ht="14.25" customHeight="1" x14ac:dyDescent="0.35">
      <c r="A295" s="10" t="s">
        <v>628</v>
      </c>
      <c r="B295" s="11">
        <v>45640</v>
      </c>
      <c r="C295" s="10" t="s">
        <v>449</v>
      </c>
      <c r="D295" s="10" t="s">
        <v>66</v>
      </c>
      <c r="E295" s="10" t="s">
        <v>71</v>
      </c>
      <c r="F295" s="12">
        <v>2</v>
      </c>
      <c r="G295" s="12">
        <v>3660</v>
      </c>
      <c r="H295" s="12">
        <v>30</v>
      </c>
      <c r="I295" s="12">
        <v>5124</v>
      </c>
      <c r="J295" s="10" t="s">
        <v>57</v>
      </c>
      <c r="K295" s="10" t="s">
        <v>52</v>
      </c>
      <c r="L295" t="str">
        <f>IFERROR(VLOOKUP(D295,Products!A:F,3,0),"")</f>
        <v>Grocery</v>
      </c>
      <c r="M295" t="str">
        <f>IFERROR(VLOOKUP(E295,Sales_Reps!A:E,3,0),"")</f>
        <v>North</v>
      </c>
      <c r="N295" t="str">
        <f>IFERROR(VLOOKUP(C295,Customers!A:F,5,0),"")</f>
        <v>Retail</v>
      </c>
      <c r="O295">
        <f>IFERROR(VLOOKUP(C295,Customers!A:F,3,0),"")</f>
        <v>49</v>
      </c>
      <c r="P295">
        <f>IFERROR(VLOOKUP(D295,Products!A:F,4,0),"")</f>
        <v>2214</v>
      </c>
      <c r="Q295" t="b">
        <f>IFERROR(VLOOKUP(D295,Products!A:F,6,0),"")</f>
        <v>0</v>
      </c>
      <c r="R295">
        <f t="shared" si="12"/>
        <v>0.39508196721311473</v>
      </c>
      <c r="S295">
        <f t="shared" si="13"/>
        <v>1</v>
      </c>
      <c r="T295">
        <f>IF(AND(S295&gt;1,COUNTIF($A$2:A295,A295)=1),1,0)</f>
        <v>0</v>
      </c>
      <c r="U295">
        <f>COUNTIF(Customers!$A$2:$A$301,C295)</f>
        <v>1</v>
      </c>
      <c r="V295">
        <f t="shared" si="14"/>
        <v>0</v>
      </c>
    </row>
    <row r="296" spans="1:22" ht="14.25" customHeight="1" x14ac:dyDescent="0.35">
      <c r="A296" s="10" t="s">
        <v>629</v>
      </c>
      <c r="B296" s="11">
        <v>45401</v>
      </c>
      <c r="C296" s="10" t="s">
        <v>330</v>
      </c>
      <c r="D296" s="10" t="s">
        <v>95</v>
      </c>
      <c r="E296" s="10" t="s">
        <v>56</v>
      </c>
      <c r="F296" s="12">
        <v>1</v>
      </c>
      <c r="G296" s="12">
        <v>2270</v>
      </c>
      <c r="H296" s="12">
        <v>4.8</v>
      </c>
      <c r="I296" s="12">
        <v>2161.04</v>
      </c>
      <c r="J296" s="10" t="s">
        <v>104</v>
      </c>
      <c r="K296" s="10" t="s">
        <v>76</v>
      </c>
      <c r="L296" t="str">
        <f>IFERROR(VLOOKUP(D296,Products!A:F,3,0),"")</f>
        <v>Grocery</v>
      </c>
      <c r="M296" t="str">
        <f>IFERROR(VLOOKUP(E296,Sales_Reps!A:E,3,0),"")</f>
        <v>North</v>
      </c>
      <c r="N296" t="str">
        <f>IFERROR(VLOOKUP(C296,Customers!A:F,5,0),"")</f>
        <v>Retail</v>
      </c>
      <c r="O296">
        <f>IFERROR(VLOOKUP(C296,Customers!A:F,3,0),"")</f>
        <v>25</v>
      </c>
      <c r="P296">
        <f>IFERROR(VLOOKUP(D296,Products!A:F,4,0),"")</f>
        <v>1203</v>
      </c>
      <c r="Q296" t="b">
        <f>IFERROR(VLOOKUP(D296,Products!A:F,6,0),"")</f>
        <v>1</v>
      </c>
      <c r="R296">
        <f t="shared" si="12"/>
        <v>0.47004405286343615</v>
      </c>
      <c r="S296">
        <f t="shared" si="13"/>
        <v>1</v>
      </c>
      <c r="T296">
        <f>IF(AND(S296&gt;1,COUNTIF($A$2:A296,A296)=1),1,0)</f>
        <v>0</v>
      </c>
      <c r="U296">
        <f>COUNTIF(Customers!$A$2:$A$301,C296)</f>
        <v>1</v>
      </c>
      <c r="V296">
        <f t="shared" si="14"/>
        <v>0</v>
      </c>
    </row>
    <row r="297" spans="1:22" ht="14.25" customHeight="1" x14ac:dyDescent="0.35">
      <c r="A297" s="10" t="s">
        <v>630</v>
      </c>
      <c r="B297" s="11">
        <v>45405</v>
      </c>
      <c r="C297" s="10" t="s">
        <v>187</v>
      </c>
      <c r="D297" s="10" t="s">
        <v>425</v>
      </c>
      <c r="E297" s="10" t="s">
        <v>75</v>
      </c>
      <c r="F297" s="12">
        <v>8</v>
      </c>
      <c r="G297" s="12">
        <v>3780</v>
      </c>
      <c r="H297" s="12">
        <v>13</v>
      </c>
      <c r="I297" s="12">
        <v>26308.799999999999</v>
      </c>
      <c r="J297" s="10" t="s">
        <v>51</v>
      </c>
      <c r="K297" s="10" t="s">
        <v>63</v>
      </c>
      <c r="L297" t="str">
        <f>IFERROR(VLOOKUP(D297,Products!A:F,3,0),"")</f>
        <v>Sports</v>
      </c>
      <c r="M297" t="str">
        <f>IFERROR(VLOOKUP(E297,Sales_Reps!A:E,3,0),"")</f>
        <v>West</v>
      </c>
      <c r="N297" t="str">
        <f>IFERROR(VLOOKUP(C297,Customers!A:F,5,0),"")</f>
        <v>Retail</v>
      </c>
      <c r="O297">
        <f>IFERROR(VLOOKUP(C297,Customers!A:F,3,0),"")</f>
        <v>53</v>
      </c>
      <c r="P297">
        <f>IFERROR(VLOOKUP(D297,Products!A:F,4,0),"")</f>
        <v>1860</v>
      </c>
      <c r="Q297" t="b">
        <f>IFERROR(VLOOKUP(D297,Products!A:F,6,0),"")</f>
        <v>1</v>
      </c>
      <c r="R297">
        <f t="shared" si="12"/>
        <v>0.50793650793650791</v>
      </c>
      <c r="S297">
        <f t="shared" si="13"/>
        <v>1</v>
      </c>
      <c r="T297">
        <f>IF(AND(S297&gt;1,COUNTIF($A$2:A297,A297)=1),1,0)</f>
        <v>0</v>
      </c>
      <c r="U297">
        <f>COUNTIF(Customers!$A$2:$A$301,C297)</f>
        <v>1</v>
      </c>
      <c r="V297">
        <f t="shared" si="14"/>
        <v>0</v>
      </c>
    </row>
    <row r="298" spans="1:22" ht="14.25" customHeight="1" x14ac:dyDescent="0.35">
      <c r="A298" s="10" t="s">
        <v>631</v>
      </c>
      <c r="B298" s="11">
        <v>45537</v>
      </c>
      <c r="C298" s="10" t="s">
        <v>581</v>
      </c>
      <c r="D298" s="10" t="s">
        <v>201</v>
      </c>
      <c r="E298" s="10" t="s">
        <v>289</v>
      </c>
      <c r="F298" s="12">
        <v>1</v>
      </c>
      <c r="G298" s="12">
        <v>3640</v>
      </c>
      <c r="H298" s="12">
        <v>15.3</v>
      </c>
      <c r="I298" s="12">
        <v>3083.08</v>
      </c>
      <c r="J298" s="10" t="s">
        <v>57</v>
      </c>
      <c r="K298" s="10" t="s">
        <v>76</v>
      </c>
      <c r="L298" t="str">
        <f>IFERROR(VLOOKUP(D298,Products!A:F,3,0),"")</f>
        <v>Apparel</v>
      </c>
      <c r="M298" t="str">
        <f>IFERROR(VLOOKUP(E298,Sales_Reps!A:E,3,0),"")</f>
        <v>South</v>
      </c>
      <c r="N298" t="str">
        <f>IFERROR(VLOOKUP(C298,Customers!A:F,5,0),"")</f>
        <v>SMB</v>
      </c>
      <c r="O298">
        <f>IFERROR(VLOOKUP(C298,Customers!A:F,3,0),"")</f>
        <v>65</v>
      </c>
      <c r="P298">
        <f>IFERROR(VLOOKUP(D298,Products!A:F,4,0),"")</f>
        <v>2611</v>
      </c>
      <c r="Q298" t="b">
        <f>IFERROR(VLOOKUP(D298,Products!A:F,6,0),"")</f>
        <v>1</v>
      </c>
      <c r="R298">
        <f t="shared" si="12"/>
        <v>0.28269230769230769</v>
      </c>
      <c r="S298">
        <f t="shared" si="13"/>
        <v>2</v>
      </c>
      <c r="T298">
        <f>IF(AND(S298&gt;1,COUNTIF($A$2:A298,A298)=1),1,0)</f>
        <v>1</v>
      </c>
      <c r="U298">
        <f>COUNTIF(Customers!$A$2:$A$301,C298)</f>
        <v>1</v>
      </c>
      <c r="V298">
        <f t="shared" si="14"/>
        <v>0</v>
      </c>
    </row>
    <row r="299" spans="1:22" ht="14.25" customHeight="1" x14ac:dyDescent="0.35">
      <c r="A299" s="10" t="s">
        <v>632</v>
      </c>
      <c r="B299" s="11">
        <v>45475</v>
      </c>
      <c r="C299" s="10" t="s">
        <v>633</v>
      </c>
      <c r="D299" s="10" t="s">
        <v>231</v>
      </c>
      <c r="E299" s="10" t="s">
        <v>168</v>
      </c>
      <c r="F299" s="12">
        <v>8</v>
      </c>
      <c r="G299" s="12">
        <v>1220</v>
      </c>
      <c r="H299" s="12">
        <v>28.2</v>
      </c>
      <c r="I299" s="12">
        <v>7007.68</v>
      </c>
      <c r="J299" s="10" t="s">
        <v>51</v>
      </c>
      <c r="K299" s="10" t="s">
        <v>97</v>
      </c>
      <c r="L299" t="str">
        <f>IFERROR(VLOOKUP(D299,Products!A:F,3,0),"")</f>
        <v>Electronics</v>
      </c>
      <c r="M299" t="str">
        <f>IFERROR(VLOOKUP(E299,Sales_Reps!A:E,3,0),"")</f>
        <v>South</v>
      </c>
      <c r="N299" t="str">
        <f>IFERROR(VLOOKUP(C299,Customers!A:F,5,0),"")</f>
        <v>Retail</v>
      </c>
      <c r="O299">
        <f>IFERROR(VLOOKUP(C299,Customers!A:F,3,0),"")</f>
        <v>31</v>
      </c>
      <c r="P299">
        <f>IFERROR(VLOOKUP(D299,Products!A:F,4,0),"")</f>
        <v>517</v>
      </c>
      <c r="Q299" t="b">
        <f>IFERROR(VLOOKUP(D299,Products!A:F,6,0),"")</f>
        <v>1</v>
      </c>
      <c r="R299">
        <f t="shared" si="12"/>
        <v>0.57622950819672136</v>
      </c>
      <c r="S299">
        <f t="shared" si="13"/>
        <v>1</v>
      </c>
      <c r="T299">
        <f>IF(AND(S299&gt;1,COUNTIF($A$2:A299,A299)=1),1,0)</f>
        <v>0</v>
      </c>
      <c r="U299">
        <f>COUNTIF(Customers!$A$2:$A$301,C299)</f>
        <v>1</v>
      </c>
      <c r="V299">
        <f t="shared" si="14"/>
        <v>0</v>
      </c>
    </row>
    <row r="300" spans="1:22" ht="14.25" customHeight="1" x14ac:dyDescent="0.35">
      <c r="A300" s="10" t="s">
        <v>634</v>
      </c>
      <c r="B300" s="11">
        <v>45624</v>
      </c>
      <c r="C300" s="10" t="s">
        <v>233</v>
      </c>
      <c r="D300" s="10" t="s">
        <v>319</v>
      </c>
      <c r="E300" s="10" t="s">
        <v>134</v>
      </c>
      <c r="F300" s="12">
        <v>3</v>
      </c>
      <c r="G300" s="12">
        <v>2510</v>
      </c>
      <c r="H300" s="12">
        <v>17.399999999999999</v>
      </c>
      <c r="I300" s="12">
        <v>6219.78</v>
      </c>
      <c r="J300" s="10" t="s">
        <v>51</v>
      </c>
      <c r="K300" s="10" t="s">
        <v>76</v>
      </c>
      <c r="L300" t="str">
        <f>IFERROR(VLOOKUP(D300,Products!A:F,3,0),"")</f>
        <v>Apparel</v>
      </c>
      <c r="M300" t="str">
        <f>IFERROR(VLOOKUP(E300,Sales_Reps!A:E,3,0),"")</f>
        <v>West</v>
      </c>
      <c r="N300" t="str">
        <f>IFERROR(VLOOKUP(C300,Customers!A:F,5,0),"")</f>
        <v>Retail</v>
      </c>
      <c r="O300">
        <f>IFERROR(VLOOKUP(C300,Customers!A:F,3,0),"")</f>
        <v>40</v>
      </c>
      <c r="P300">
        <f>IFERROR(VLOOKUP(D300,Products!A:F,4,0),"")</f>
        <v>1075</v>
      </c>
      <c r="Q300" t="b">
        <f>IFERROR(VLOOKUP(D300,Products!A:F,6,0),"")</f>
        <v>0</v>
      </c>
      <c r="R300">
        <f t="shared" si="12"/>
        <v>0.57171314741035861</v>
      </c>
      <c r="S300">
        <f t="shared" si="13"/>
        <v>1</v>
      </c>
      <c r="T300">
        <f>IF(AND(S300&gt;1,COUNTIF($A$2:A300,A300)=1),1,0)</f>
        <v>0</v>
      </c>
      <c r="U300">
        <f>COUNTIF(Customers!$A$2:$A$301,C300)</f>
        <v>1</v>
      </c>
      <c r="V300">
        <f t="shared" si="14"/>
        <v>0</v>
      </c>
    </row>
    <row r="301" spans="1:22" ht="14.25" customHeight="1" x14ac:dyDescent="0.35">
      <c r="A301" s="10" t="s">
        <v>635</v>
      </c>
      <c r="B301" s="11">
        <v>45635</v>
      </c>
      <c r="C301" s="10" t="s">
        <v>529</v>
      </c>
      <c r="D301" s="10" t="s">
        <v>128</v>
      </c>
      <c r="E301" s="10" t="s">
        <v>103</v>
      </c>
      <c r="F301" s="12">
        <v>1</v>
      </c>
      <c r="G301" s="12">
        <v>1080</v>
      </c>
      <c r="H301" s="12">
        <v>13.9</v>
      </c>
      <c r="I301" s="12">
        <v>929.88</v>
      </c>
      <c r="J301" s="10" t="s">
        <v>51</v>
      </c>
      <c r="K301" s="10" t="s">
        <v>76</v>
      </c>
      <c r="L301" t="str">
        <f>IFERROR(VLOOKUP(D301,Products!A:F,3,0),"")</f>
        <v>Home</v>
      </c>
      <c r="M301" t="str">
        <f>IFERROR(VLOOKUP(E301,Sales_Reps!A:E,3,0),"")</f>
        <v>North</v>
      </c>
      <c r="N301" t="str">
        <f>IFERROR(VLOOKUP(C301,Customers!A:F,5,0),"")</f>
        <v>SMB</v>
      </c>
      <c r="O301">
        <f>IFERROR(VLOOKUP(C301,Customers!A:F,3,0),"")</f>
        <v>61</v>
      </c>
      <c r="P301">
        <f>IFERROR(VLOOKUP(D301,Products!A:F,4,0),"")</f>
        <v>519</v>
      </c>
      <c r="Q301" t="b">
        <f>IFERROR(VLOOKUP(D301,Products!A:F,6,0),"")</f>
        <v>1</v>
      </c>
      <c r="R301">
        <f t="shared" si="12"/>
        <v>0.51944444444444449</v>
      </c>
      <c r="S301">
        <f t="shared" si="13"/>
        <v>1</v>
      </c>
      <c r="T301">
        <f>IF(AND(S301&gt;1,COUNTIF($A$2:A301,A301)=1),1,0)</f>
        <v>0</v>
      </c>
      <c r="U301">
        <f>COUNTIF(Customers!$A$2:$A$301,C301)</f>
        <v>1</v>
      </c>
      <c r="V301">
        <f t="shared" si="14"/>
        <v>0</v>
      </c>
    </row>
    <row r="302" spans="1:22" ht="14.25" customHeight="1" x14ac:dyDescent="0.35">
      <c r="A302" s="10" t="s">
        <v>636</v>
      </c>
      <c r="B302" s="11">
        <v>45395</v>
      </c>
      <c r="C302" s="10" t="s">
        <v>637</v>
      </c>
      <c r="D302" s="10" t="s">
        <v>259</v>
      </c>
      <c r="E302" s="10" t="s">
        <v>310</v>
      </c>
      <c r="F302" s="12">
        <v>7</v>
      </c>
      <c r="G302" s="12">
        <v>2030</v>
      </c>
      <c r="H302" s="12">
        <v>29.2</v>
      </c>
      <c r="I302" s="12">
        <v>10060.68</v>
      </c>
      <c r="J302" s="10" t="s">
        <v>51</v>
      </c>
      <c r="K302" s="10" t="s">
        <v>76</v>
      </c>
      <c r="L302" t="str">
        <f>IFERROR(VLOOKUP(D302,Products!A:F,3,0),"")</f>
        <v>Home</v>
      </c>
      <c r="M302" t="str">
        <f>IFERROR(VLOOKUP(E302,Sales_Reps!A:E,3,0),"")</f>
        <v>South</v>
      </c>
      <c r="N302" t="str">
        <f>IFERROR(VLOOKUP(C302,Customers!A:F,5,0),"")</f>
        <v>Retail</v>
      </c>
      <c r="O302">
        <f>IFERROR(VLOOKUP(C302,Customers!A:F,3,0),"")</f>
        <v>35</v>
      </c>
      <c r="P302">
        <f>IFERROR(VLOOKUP(D302,Products!A:F,4,0),"")</f>
        <v>1143</v>
      </c>
      <c r="Q302" t="b">
        <f>IFERROR(VLOOKUP(D302,Products!A:F,6,0),"")</f>
        <v>1</v>
      </c>
      <c r="R302">
        <f t="shared" si="12"/>
        <v>0.43694581280788175</v>
      </c>
      <c r="S302">
        <f t="shared" si="13"/>
        <v>1</v>
      </c>
      <c r="T302">
        <f>IF(AND(S302&gt;1,COUNTIF($A$2:A302,A302)=1),1,0)</f>
        <v>0</v>
      </c>
      <c r="U302">
        <f>COUNTIF(Customers!$A$2:$A$301,C302)</f>
        <v>1</v>
      </c>
      <c r="V302">
        <f t="shared" si="14"/>
        <v>0</v>
      </c>
    </row>
    <row r="303" spans="1:22" ht="14.25" customHeight="1" x14ac:dyDescent="0.35">
      <c r="A303" s="10" t="s">
        <v>638</v>
      </c>
      <c r="B303" s="11">
        <v>45415</v>
      </c>
      <c r="C303" s="10" t="s">
        <v>133</v>
      </c>
      <c r="D303" s="10" t="s">
        <v>425</v>
      </c>
      <c r="E303" s="10" t="s">
        <v>156</v>
      </c>
      <c r="F303" s="12">
        <v>6</v>
      </c>
      <c r="G303" s="12">
        <v>3780</v>
      </c>
      <c r="H303" s="12">
        <v>20.9</v>
      </c>
      <c r="I303" s="12">
        <v>17939.88</v>
      </c>
      <c r="J303" s="10" t="s">
        <v>108</v>
      </c>
      <c r="K303" s="10" t="s">
        <v>76</v>
      </c>
      <c r="L303" t="str">
        <f>IFERROR(VLOOKUP(D303,Products!A:F,3,0),"")</f>
        <v>Sports</v>
      </c>
      <c r="M303" t="str">
        <f>IFERROR(VLOOKUP(E303,Sales_Reps!A:E,3,0),"")</f>
        <v>East</v>
      </c>
      <c r="N303" t="str">
        <f>IFERROR(VLOOKUP(C303,Customers!A:F,5,0),"")</f>
        <v>Retail</v>
      </c>
      <c r="O303">
        <f>IFERROR(VLOOKUP(C303,Customers!A:F,3,0),"")</f>
        <v>34</v>
      </c>
      <c r="P303">
        <f>IFERROR(VLOOKUP(D303,Products!A:F,4,0),"")</f>
        <v>1860</v>
      </c>
      <c r="Q303" t="b">
        <f>IFERROR(VLOOKUP(D303,Products!A:F,6,0),"")</f>
        <v>1</v>
      </c>
      <c r="R303">
        <f t="shared" si="12"/>
        <v>0.50793650793650791</v>
      </c>
      <c r="S303">
        <f t="shared" si="13"/>
        <v>1</v>
      </c>
      <c r="T303">
        <f>IF(AND(S303&gt;1,COUNTIF($A$2:A303,A303)=1),1,0)</f>
        <v>0</v>
      </c>
      <c r="U303">
        <f>COUNTIF(Customers!$A$2:$A$301,C303)</f>
        <v>1</v>
      </c>
      <c r="V303">
        <f t="shared" si="14"/>
        <v>0</v>
      </c>
    </row>
    <row r="304" spans="1:22" ht="14.25" customHeight="1" x14ac:dyDescent="0.35">
      <c r="A304" s="10" t="s">
        <v>639</v>
      </c>
      <c r="B304" s="11">
        <v>45653</v>
      </c>
      <c r="C304" s="10" t="s">
        <v>640</v>
      </c>
      <c r="D304" s="10" t="s">
        <v>70</v>
      </c>
      <c r="E304" s="10" t="s">
        <v>310</v>
      </c>
      <c r="F304" s="12">
        <v>1</v>
      </c>
      <c r="G304" s="12">
        <v>3160</v>
      </c>
      <c r="H304" s="12">
        <v>10.7</v>
      </c>
      <c r="I304" s="12">
        <v>2821.88</v>
      </c>
      <c r="J304" s="10" t="s">
        <v>51</v>
      </c>
      <c r="K304" s="10" t="s">
        <v>52</v>
      </c>
      <c r="L304" t="str">
        <f>IFERROR(VLOOKUP(D304,Products!A:F,3,0),"")</f>
        <v>Apparel</v>
      </c>
      <c r="M304" t="str">
        <f>IFERROR(VLOOKUP(E304,Sales_Reps!A:E,3,0),"")</f>
        <v>South</v>
      </c>
      <c r="N304" t="str">
        <f>IFERROR(VLOOKUP(C304,Customers!A:F,5,0),"")</f>
        <v>SMB</v>
      </c>
      <c r="O304">
        <f>IFERROR(VLOOKUP(C304,Customers!A:F,3,0),"")</f>
        <v>35</v>
      </c>
      <c r="P304">
        <f>IFERROR(VLOOKUP(D304,Products!A:F,4,0),"")</f>
        <v>1886</v>
      </c>
      <c r="Q304" t="b">
        <f>IFERROR(VLOOKUP(D304,Products!A:F,6,0),"")</f>
        <v>1</v>
      </c>
      <c r="R304">
        <f t="shared" si="12"/>
        <v>0.4031645569620253</v>
      </c>
      <c r="S304">
        <f t="shared" si="13"/>
        <v>1</v>
      </c>
      <c r="T304">
        <f>IF(AND(S304&gt;1,COUNTIF($A$2:A304,A304)=1),1,0)</f>
        <v>0</v>
      </c>
      <c r="U304">
        <f>COUNTIF(Customers!$A$2:$A$301,C304)</f>
        <v>1</v>
      </c>
      <c r="V304">
        <f t="shared" si="14"/>
        <v>0</v>
      </c>
    </row>
    <row r="305" spans="1:22" ht="14.25" customHeight="1" x14ac:dyDescent="0.35">
      <c r="A305" s="10" t="s">
        <v>641</v>
      </c>
      <c r="B305" s="11">
        <v>45564</v>
      </c>
      <c r="C305" s="10" t="s">
        <v>258</v>
      </c>
      <c r="D305" s="10" t="s">
        <v>148</v>
      </c>
      <c r="E305" s="10" t="s">
        <v>96</v>
      </c>
      <c r="F305" s="12">
        <v>5</v>
      </c>
      <c r="G305" s="12">
        <v>4880</v>
      </c>
      <c r="H305" s="12">
        <v>11.4</v>
      </c>
      <c r="I305" s="12">
        <v>21618.400000000001</v>
      </c>
      <c r="J305" s="10" t="s">
        <v>51</v>
      </c>
      <c r="K305" s="10" t="s">
        <v>97</v>
      </c>
      <c r="L305" t="str">
        <f>IFERROR(VLOOKUP(D305,Products!A:F,3,0),"")</f>
        <v>Beauty</v>
      </c>
      <c r="M305" t="str">
        <f>IFERROR(VLOOKUP(E305,Sales_Reps!A:E,3,0),"")</f>
        <v>South</v>
      </c>
      <c r="N305" t="str">
        <f>IFERROR(VLOOKUP(C305,Customers!A:F,5,0),"")</f>
        <v>SMB</v>
      </c>
      <c r="O305">
        <f>IFERROR(VLOOKUP(C305,Customers!A:F,3,0),"")</f>
        <v>43</v>
      </c>
      <c r="P305">
        <f>IFERROR(VLOOKUP(D305,Products!A:F,4,0),"")</f>
        <v>2768</v>
      </c>
      <c r="Q305" t="b">
        <f>IFERROR(VLOOKUP(D305,Products!A:F,6,0),"")</f>
        <v>1</v>
      </c>
      <c r="R305">
        <f t="shared" si="12"/>
        <v>0.43278688524590164</v>
      </c>
      <c r="S305">
        <f t="shared" si="13"/>
        <v>2</v>
      </c>
      <c r="T305">
        <f>IF(AND(S305&gt;1,COUNTIF($A$2:A305,A305)=1),1,0)</f>
        <v>1</v>
      </c>
      <c r="U305">
        <f>COUNTIF(Customers!$A$2:$A$301,C305)</f>
        <v>1</v>
      </c>
      <c r="V305">
        <f t="shared" si="14"/>
        <v>0</v>
      </c>
    </row>
    <row r="306" spans="1:22" ht="14.25" customHeight="1" x14ac:dyDescent="0.35">
      <c r="A306" s="10" t="s">
        <v>642</v>
      </c>
      <c r="B306" s="11">
        <v>45633</v>
      </c>
      <c r="C306" s="10" t="s">
        <v>602</v>
      </c>
      <c r="D306" s="10" t="s">
        <v>190</v>
      </c>
      <c r="E306" s="10" t="s">
        <v>168</v>
      </c>
      <c r="F306" s="12">
        <v>9</v>
      </c>
      <c r="G306" s="12">
        <v>3730</v>
      </c>
      <c r="H306" s="12">
        <v>10</v>
      </c>
      <c r="I306" s="12">
        <v>30213</v>
      </c>
      <c r="J306" s="10" t="s">
        <v>51</v>
      </c>
      <c r="K306" s="10" t="s">
        <v>63</v>
      </c>
      <c r="L306" t="str">
        <f>IFERROR(VLOOKUP(D306,Products!A:F,3,0),"")</f>
        <v>Home</v>
      </c>
      <c r="M306" t="str">
        <f>IFERROR(VLOOKUP(E306,Sales_Reps!A:E,3,0),"")</f>
        <v>South</v>
      </c>
      <c r="N306" t="str">
        <f>IFERROR(VLOOKUP(C306,Customers!A:F,5,0),"")</f>
        <v>Retail</v>
      </c>
      <c r="O306">
        <f>IFERROR(VLOOKUP(C306,Customers!A:F,3,0),"")</f>
        <v>43</v>
      </c>
      <c r="P306">
        <f>IFERROR(VLOOKUP(D306,Products!A:F,4,0),"")</f>
        <v>2135</v>
      </c>
      <c r="Q306" t="b">
        <f>IFERROR(VLOOKUP(D306,Products!A:F,6,0),"")</f>
        <v>1</v>
      </c>
      <c r="R306">
        <f t="shared" si="12"/>
        <v>0.42761394101876676</v>
      </c>
      <c r="S306">
        <f t="shared" si="13"/>
        <v>1</v>
      </c>
      <c r="T306">
        <f>IF(AND(S306&gt;1,COUNTIF($A$2:A306,A306)=1),1,0)</f>
        <v>0</v>
      </c>
      <c r="U306">
        <f>COUNTIF(Customers!$A$2:$A$301,C306)</f>
        <v>1</v>
      </c>
      <c r="V306">
        <f t="shared" si="14"/>
        <v>0</v>
      </c>
    </row>
    <row r="307" spans="1:22" ht="14.25" customHeight="1" x14ac:dyDescent="0.35">
      <c r="A307" s="10" t="s">
        <v>643</v>
      </c>
      <c r="B307" s="11">
        <v>45309</v>
      </c>
      <c r="C307" s="10" t="s">
        <v>644</v>
      </c>
      <c r="D307" s="10" t="s">
        <v>407</v>
      </c>
      <c r="E307" s="10" t="s">
        <v>103</v>
      </c>
      <c r="F307" s="12">
        <v>5</v>
      </c>
      <c r="G307" s="12">
        <v>5080</v>
      </c>
      <c r="H307" s="12">
        <v>15.3</v>
      </c>
      <c r="I307" s="12">
        <v>21513.8</v>
      </c>
      <c r="J307" s="10" t="s">
        <v>51</v>
      </c>
      <c r="K307" s="10" t="s">
        <v>58</v>
      </c>
      <c r="L307" t="str">
        <f>IFERROR(VLOOKUP(D307,Products!A:F,3,0),"")</f>
        <v>Home</v>
      </c>
      <c r="M307" t="str">
        <f>IFERROR(VLOOKUP(E307,Sales_Reps!A:E,3,0),"")</f>
        <v>North</v>
      </c>
      <c r="N307" t="str">
        <f>IFERROR(VLOOKUP(C307,Customers!A:F,5,0),"")</f>
        <v>Retail</v>
      </c>
      <c r="O307">
        <f>IFERROR(VLOOKUP(C307,Customers!A:F,3,0),"")</f>
        <v>26</v>
      </c>
      <c r="P307">
        <f>IFERROR(VLOOKUP(D307,Products!A:F,4,0),"")</f>
        <v>2459</v>
      </c>
      <c r="Q307" t="b">
        <f>IFERROR(VLOOKUP(D307,Products!A:F,6,0),"")</f>
        <v>1</v>
      </c>
      <c r="R307">
        <f t="shared" si="12"/>
        <v>0.51594488188976373</v>
      </c>
      <c r="S307">
        <f t="shared" si="13"/>
        <v>1</v>
      </c>
      <c r="T307">
        <f>IF(AND(S307&gt;1,COUNTIF($A$2:A307,A307)=1),1,0)</f>
        <v>0</v>
      </c>
      <c r="U307">
        <f>COUNTIF(Customers!$A$2:$A$301,C307)</f>
        <v>1</v>
      </c>
      <c r="V307">
        <f t="shared" si="14"/>
        <v>0</v>
      </c>
    </row>
    <row r="308" spans="1:22" ht="14.25" customHeight="1" x14ac:dyDescent="0.35">
      <c r="A308" s="10" t="s">
        <v>645</v>
      </c>
      <c r="B308" s="11">
        <v>45403</v>
      </c>
      <c r="C308" s="10" t="s">
        <v>124</v>
      </c>
      <c r="D308" s="10" t="s">
        <v>350</v>
      </c>
      <c r="E308" s="10" t="s">
        <v>216</v>
      </c>
      <c r="F308" s="12">
        <v>9</v>
      </c>
      <c r="G308" s="12">
        <v>2290</v>
      </c>
      <c r="H308" s="12">
        <v>3.3</v>
      </c>
      <c r="I308" s="12">
        <v>19929.87</v>
      </c>
      <c r="J308" s="10" t="s">
        <v>57</v>
      </c>
      <c r="K308" s="10" t="s">
        <v>76</v>
      </c>
      <c r="L308" t="str">
        <f>IFERROR(VLOOKUP(D308,Products!A:F,3,0),"")</f>
        <v>Beauty</v>
      </c>
      <c r="M308" t="str">
        <f>IFERROR(VLOOKUP(E308,Sales_Reps!A:E,3,0),"")</f>
        <v>South</v>
      </c>
      <c r="N308" t="str">
        <f>IFERROR(VLOOKUP(C308,Customers!A:F,5,0),"")</f>
        <v>Retail</v>
      </c>
      <c r="O308">
        <f>IFERROR(VLOOKUP(C308,Customers!A:F,3,0),"")</f>
        <v>54</v>
      </c>
      <c r="P308">
        <f>IFERROR(VLOOKUP(D308,Products!A:F,4,0),"")</f>
        <v>1219</v>
      </c>
      <c r="Q308" t="b">
        <f>IFERROR(VLOOKUP(D308,Products!A:F,6,0),"")</f>
        <v>1</v>
      </c>
      <c r="R308">
        <f t="shared" si="12"/>
        <v>0.46768558951965067</v>
      </c>
      <c r="S308">
        <f t="shared" si="13"/>
        <v>1</v>
      </c>
      <c r="T308">
        <f>IF(AND(S308&gt;1,COUNTIF($A$2:A308,A308)=1),1,0)</f>
        <v>0</v>
      </c>
      <c r="U308">
        <f>COUNTIF(Customers!$A$2:$A$301,C308)</f>
        <v>1</v>
      </c>
      <c r="V308">
        <f t="shared" si="14"/>
        <v>0</v>
      </c>
    </row>
    <row r="309" spans="1:22" ht="14.25" customHeight="1" x14ac:dyDescent="0.35">
      <c r="A309" s="10" t="s">
        <v>646</v>
      </c>
      <c r="B309" s="11">
        <v>45554</v>
      </c>
      <c r="C309" s="10" t="s">
        <v>510</v>
      </c>
      <c r="D309" s="10" t="s">
        <v>243</v>
      </c>
      <c r="E309" s="10" t="s">
        <v>96</v>
      </c>
      <c r="F309" s="12">
        <v>5</v>
      </c>
      <c r="G309" s="12">
        <v>2660</v>
      </c>
      <c r="H309" s="12">
        <v>8.3000000000000007</v>
      </c>
      <c r="I309" s="12">
        <v>12196.1</v>
      </c>
      <c r="J309" s="10" t="s">
        <v>51</v>
      </c>
      <c r="K309" s="10" t="s">
        <v>63</v>
      </c>
      <c r="L309" t="str">
        <f>IFERROR(VLOOKUP(D309,Products!A:F,3,0),"")</f>
        <v>Electronics</v>
      </c>
      <c r="M309" t="str">
        <f>IFERROR(VLOOKUP(E309,Sales_Reps!A:E,3,0),"")</f>
        <v>South</v>
      </c>
      <c r="N309" t="str">
        <f>IFERROR(VLOOKUP(C309,Customers!A:F,5,0),"")</f>
        <v>SMB</v>
      </c>
      <c r="O309">
        <f>IFERROR(VLOOKUP(C309,Customers!A:F,3,0),"")</f>
        <v>29</v>
      </c>
      <c r="P309">
        <f>IFERROR(VLOOKUP(D309,Products!A:F,4,0),"")</f>
        <v>1259</v>
      </c>
      <c r="Q309" t="b">
        <f>IFERROR(VLOOKUP(D309,Products!A:F,6,0),"")</f>
        <v>0</v>
      </c>
      <c r="R309">
        <f t="shared" si="12"/>
        <v>0.52669172932330832</v>
      </c>
      <c r="S309">
        <f t="shared" si="13"/>
        <v>1</v>
      </c>
      <c r="T309">
        <f>IF(AND(S309&gt;1,COUNTIF($A$2:A309,A309)=1),1,0)</f>
        <v>0</v>
      </c>
      <c r="U309">
        <f>COUNTIF(Customers!$A$2:$A$301,C309)</f>
        <v>1</v>
      </c>
      <c r="V309">
        <f t="shared" si="14"/>
        <v>0</v>
      </c>
    </row>
    <row r="310" spans="1:22" ht="14.25" customHeight="1" x14ac:dyDescent="0.35">
      <c r="A310" s="10" t="s">
        <v>647</v>
      </c>
      <c r="B310" s="11">
        <v>45529</v>
      </c>
      <c r="C310" s="10" t="s">
        <v>648</v>
      </c>
      <c r="D310" s="10" t="s">
        <v>198</v>
      </c>
      <c r="E310" s="10" t="s">
        <v>75</v>
      </c>
      <c r="F310" s="12">
        <v>6</v>
      </c>
      <c r="G310" s="12">
        <v>3780</v>
      </c>
      <c r="H310" s="12">
        <v>28.3</v>
      </c>
      <c r="I310" s="12">
        <v>16261.56</v>
      </c>
      <c r="J310" s="10" t="s">
        <v>51</v>
      </c>
      <c r="K310" s="10" t="s">
        <v>63</v>
      </c>
      <c r="L310" t="str">
        <f>IFERROR(VLOOKUP(D310,Products!A:F,3,0),"")</f>
        <v>Grocery</v>
      </c>
      <c r="M310" t="str">
        <f>IFERROR(VLOOKUP(E310,Sales_Reps!A:E,3,0),"")</f>
        <v>West</v>
      </c>
      <c r="N310" t="str">
        <f>IFERROR(VLOOKUP(C310,Customers!A:F,5,0),"")</f>
        <v>Retail</v>
      </c>
      <c r="O310">
        <f>IFERROR(VLOOKUP(C310,Customers!A:F,3,0),"")</f>
        <v>41</v>
      </c>
      <c r="P310">
        <f>IFERROR(VLOOKUP(D310,Products!A:F,4,0),"")</f>
        <v>2436</v>
      </c>
      <c r="Q310" t="b">
        <f>IFERROR(VLOOKUP(D310,Products!A:F,6,0),"")</f>
        <v>1</v>
      </c>
      <c r="R310">
        <f t="shared" si="12"/>
        <v>0.35555555555555557</v>
      </c>
      <c r="S310">
        <f t="shared" si="13"/>
        <v>1</v>
      </c>
      <c r="T310">
        <f>IF(AND(S310&gt;1,COUNTIF($A$2:A310,A310)=1),1,0)</f>
        <v>0</v>
      </c>
      <c r="U310">
        <f>COUNTIF(Customers!$A$2:$A$301,C310)</f>
        <v>1</v>
      </c>
      <c r="V310">
        <f t="shared" si="14"/>
        <v>0</v>
      </c>
    </row>
    <row r="311" spans="1:22" ht="14.25" customHeight="1" x14ac:dyDescent="0.35">
      <c r="A311" s="10" t="s">
        <v>649</v>
      </c>
      <c r="B311" s="11">
        <v>45300</v>
      </c>
      <c r="C311" s="10" t="s">
        <v>650</v>
      </c>
      <c r="D311" s="10" t="s">
        <v>164</v>
      </c>
      <c r="E311" s="10" t="s">
        <v>92</v>
      </c>
      <c r="F311" s="12">
        <v>5</v>
      </c>
      <c r="G311" s="12">
        <v>2760</v>
      </c>
      <c r="H311" s="12">
        <v>4.9000000000000004</v>
      </c>
      <c r="I311" s="12">
        <v>13123.8</v>
      </c>
      <c r="J311" s="10" t="s">
        <v>51</v>
      </c>
      <c r="K311" s="10" t="s">
        <v>76</v>
      </c>
      <c r="L311" t="str">
        <f>IFERROR(VLOOKUP(D311,Products!A:F,3,0),"")</f>
        <v>Grocery</v>
      </c>
      <c r="M311" t="str">
        <f>IFERROR(VLOOKUP(E311,Sales_Reps!A:E,3,0),"")</f>
        <v>West</v>
      </c>
      <c r="N311" t="str">
        <f>IFERROR(VLOOKUP(C311,Customers!A:F,5,0),"")</f>
        <v>Retail</v>
      </c>
      <c r="O311">
        <f>IFERROR(VLOOKUP(C311,Customers!A:F,3,0),"")</f>
        <v>35</v>
      </c>
      <c r="P311">
        <f>IFERROR(VLOOKUP(D311,Products!A:F,4,0),"")</f>
        <v>1435</v>
      </c>
      <c r="Q311" t="b">
        <f>IFERROR(VLOOKUP(D311,Products!A:F,6,0),"")</f>
        <v>1</v>
      </c>
      <c r="R311">
        <f t="shared" si="12"/>
        <v>0.48007246376811596</v>
      </c>
      <c r="S311">
        <f t="shared" si="13"/>
        <v>1</v>
      </c>
      <c r="T311">
        <f>IF(AND(S311&gt;1,COUNTIF($A$2:A311,A311)=1),1,0)</f>
        <v>0</v>
      </c>
      <c r="U311">
        <f>COUNTIF(Customers!$A$2:$A$301,C311)</f>
        <v>1</v>
      </c>
      <c r="V311">
        <f t="shared" si="14"/>
        <v>0</v>
      </c>
    </row>
    <row r="312" spans="1:22" ht="14.25" customHeight="1" x14ac:dyDescent="0.35">
      <c r="A312" s="10" t="s">
        <v>651</v>
      </c>
      <c r="B312" s="11">
        <v>45368</v>
      </c>
      <c r="C312" s="10" t="s">
        <v>297</v>
      </c>
      <c r="D312" s="10" t="s">
        <v>223</v>
      </c>
      <c r="E312" s="10" t="s">
        <v>67</v>
      </c>
      <c r="F312" s="12">
        <v>8</v>
      </c>
      <c r="G312" s="12">
        <v>1540</v>
      </c>
      <c r="H312" s="12">
        <v>29.4</v>
      </c>
      <c r="I312" s="12">
        <v>8697.92</v>
      </c>
      <c r="J312" s="10" t="s">
        <v>104</v>
      </c>
      <c r="K312" s="10" t="s">
        <v>97</v>
      </c>
      <c r="L312" t="str">
        <f>IFERROR(VLOOKUP(D312,Products!A:F,3,0),"")</f>
        <v>Beauty</v>
      </c>
      <c r="M312" t="str">
        <f>IFERROR(VLOOKUP(E312,Sales_Reps!A:E,3,0),"")</f>
        <v>North</v>
      </c>
      <c r="N312" t="str">
        <f>IFERROR(VLOOKUP(C312,Customers!A:F,5,0),"")</f>
        <v>SMB</v>
      </c>
      <c r="O312">
        <f>IFERROR(VLOOKUP(C312,Customers!A:F,3,0),"")</f>
        <v>65</v>
      </c>
      <c r="P312">
        <f>IFERROR(VLOOKUP(D312,Products!A:F,4,0),"")</f>
        <v>647</v>
      </c>
      <c r="Q312" t="b">
        <f>IFERROR(VLOOKUP(D312,Products!A:F,6,0),"")</f>
        <v>0</v>
      </c>
      <c r="R312">
        <f t="shared" si="12"/>
        <v>0.57987012987012987</v>
      </c>
      <c r="S312">
        <f t="shared" si="13"/>
        <v>1</v>
      </c>
      <c r="T312">
        <f>IF(AND(S312&gt;1,COUNTIF($A$2:A312,A312)=1),1,0)</f>
        <v>0</v>
      </c>
      <c r="U312">
        <f>COUNTIF(Customers!$A$2:$A$301,C312)</f>
        <v>1</v>
      </c>
      <c r="V312">
        <f t="shared" si="14"/>
        <v>0</v>
      </c>
    </row>
    <row r="313" spans="1:22" ht="14.25" customHeight="1" x14ac:dyDescent="0.35">
      <c r="A313" s="10" t="s">
        <v>652</v>
      </c>
      <c r="B313" s="11">
        <v>45374</v>
      </c>
      <c r="C313" s="10" t="s">
        <v>653</v>
      </c>
      <c r="D313" s="10" t="s">
        <v>148</v>
      </c>
      <c r="E313" s="10" t="s">
        <v>249</v>
      </c>
      <c r="F313" s="12">
        <v>1</v>
      </c>
      <c r="G313" s="12">
        <v>4880</v>
      </c>
      <c r="H313" s="12">
        <v>18.100000000000001</v>
      </c>
      <c r="I313" s="12">
        <v>3996.72</v>
      </c>
      <c r="J313" s="10" t="s">
        <v>51</v>
      </c>
      <c r="K313" s="10" t="s">
        <v>97</v>
      </c>
      <c r="L313" t="str">
        <f>IFERROR(VLOOKUP(D313,Products!A:F,3,0),"")</f>
        <v>Beauty</v>
      </c>
      <c r="M313" t="str">
        <f>IFERROR(VLOOKUP(E313,Sales_Reps!A:E,3,0),"")</f>
        <v>East</v>
      </c>
      <c r="N313" t="str">
        <f>IFERROR(VLOOKUP(C313,Customers!A:F,5,0),"")</f>
        <v>Retail</v>
      </c>
      <c r="O313">
        <f>IFERROR(VLOOKUP(C313,Customers!A:F,3,0),"")</f>
        <v>28</v>
      </c>
      <c r="P313">
        <f>IFERROR(VLOOKUP(D313,Products!A:F,4,0),"")</f>
        <v>2768</v>
      </c>
      <c r="Q313" t="b">
        <f>IFERROR(VLOOKUP(D313,Products!A:F,6,0),"")</f>
        <v>1</v>
      </c>
      <c r="R313">
        <f t="shared" si="12"/>
        <v>0.43278688524590164</v>
      </c>
      <c r="S313">
        <f t="shared" si="13"/>
        <v>1</v>
      </c>
      <c r="T313">
        <f>IF(AND(S313&gt;1,COUNTIF($A$2:A313,A313)=1),1,0)</f>
        <v>0</v>
      </c>
      <c r="U313">
        <f>COUNTIF(Customers!$A$2:$A$301,C313)</f>
        <v>1</v>
      </c>
      <c r="V313">
        <f t="shared" si="14"/>
        <v>0</v>
      </c>
    </row>
    <row r="314" spans="1:22" ht="14.25" customHeight="1" x14ac:dyDescent="0.35">
      <c r="A314" s="10" t="s">
        <v>654</v>
      </c>
      <c r="B314" s="11">
        <v>45592</v>
      </c>
      <c r="C314" s="10" t="s">
        <v>446</v>
      </c>
      <c r="D314" s="10" t="s">
        <v>95</v>
      </c>
      <c r="E314" s="10" t="s">
        <v>152</v>
      </c>
      <c r="F314" s="12">
        <v>8</v>
      </c>
      <c r="G314" s="12">
        <v>2270</v>
      </c>
      <c r="H314" s="12">
        <v>19.8</v>
      </c>
      <c r="I314" s="12">
        <v>14564.32</v>
      </c>
      <c r="J314" s="10" t="s">
        <v>57</v>
      </c>
      <c r="K314" s="10" t="s">
        <v>97</v>
      </c>
      <c r="L314" t="str">
        <f>IFERROR(VLOOKUP(D314,Products!A:F,3,0),"")</f>
        <v>Grocery</v>
      </c>
      <c r="M314" t="str">
        <f>IFERROR(VLOOKUP(E314,Sales_Reps!A:E,3,0),"")</f>
        <v>South</v>
      </c>
      <c r="N314" t="str">
        <f>IFERROR(VLOOKUP(C314,Customers!A:F,5,0),"")</f>
        <v>Corporate</v>
      </c>
      <c r="O314">
        <f>IFERROR(VLOOKUP(C314,Customers!A:F,3,0),"")</f>
        <v>52</v>
      </c>
      <c r="P314">
        <f>IFERROR(VLOOKUP(D314,Products!A:F,4,0),"")</f>
        <v>1203</v>
      </c>
      <c r="Q314" t="b">
        <f>IFERROR(VLOOKUP(D314,Products!A:F,6,0),"")</f>
        <v>1</v>
      </c>
      <c r="R314">
        <f t="shared" si="12"/>
        <v>0.47004405286343615</v>
      </c>
      <c r="S314">
        <f t="shared" si="13"/>
        <v>1</v>
      </c>
      <c r="T314">
        <f>IF(AND(S314&gt;1,COUNTIF($A$2:A314,A314)=1),1,0)</f>
        <v>0</v>
      </c>
      <c r="U314">
        <f>COUNTIF(Customers!$A$2:$A$301,C314)</f>
        <v>1</v>
      </c>
      <c r="V314">
        <f t="shared" si="14"/>
        <v>0</v>
      </c>
    </row>
    <row r="315" spans="1:22" ht="14.25" customHeight="1" x14ac:dyDescent="0.35">
      <c r="A315" s="10" t="s">
        <v>655</v>
      </c>
      <c r="B315" s="11">
        <v>45508</v>
      </c>
      <c r="C315" s="10" t="s">
        <v>579</v>
      </c>
      <c r="D315" s="10" t="s">
        <v>131</v>
      </c>
      <c r="E315" s="10" t="s">
        <v>96</v>
      </c>
      <c r="F315" s="12">
        <v>10</v>
      </c>
      <c r="G315" s="12">
        <v>2480</v>
      </c>
      <c r="H315" s="12">
        <v>24.4</v>
      </c>
      <c r="I315" s="12">
        <v>18748.8</v>
      </c>
      <c r="J315" s="10" t="s">
        <v>57</v>
      </c>
      <c r="K315" s="10" t="s">
        <v>76</v>
      </c>
      <c r="L315" t="str">
        <f>IFERROR(VLOOKUP(D315,Products!A:F,3,0),"")</f>
        <v>Apparel</v>
      </c>
      <c r="M315" t="str">
        <f>IFERROR(VLOOKUP(E315,Sales_Reps!A:E,3,0),"")</f>
        <v>South</v>
      </c>
      <c r="N315" t="str">
        <f>IFERROR(VLOOKUP(C315,Customers!A:F,5,0),"")</f>
        <v>Retail</v>
      </c>
      <c r="O315">
        <f>IFERROR(VLOOKUP(C315,Customers!A:F,3,0),"")</f>
        <v>53</v>
      </c>
      <c r="P315">
        <f>IFERROR(VLOOKUP(D315,Products!A:F,4,0),"")</f>
        <v>1173</v>
      </c>
      <c r="Q315" t="b">
        <f>IFERROR(VLOOKUP(D315,Products!A:F,6,0),"")</f>
        <v>1</v>
      </c>
      <c r="R315">
        <f t="shared" si="12"/>
        <v>0.52701612903225803</v>
      </c>
      <c r="S315">
        <f t="shared" si="13"/>
        <v>1</v>
      </c>
      <c r="T315">
        <f>IF(AND(S315&gt;1,COUNTIF($A$2:A315,A315)=1),1,0)</f>
        <v>0</v>
      </c>
      <c r="U315">
        <f>COUNTIF(Customers!$A$2:$A$301,C315)</f>
        <v>1</v>
      </c>
      <c r="V315">
        <f t="shared" si="14"/>
        <v>0</v>
      </c>
    </row>
    <row r="316" spans="1:22" ht="14.25" customHeight="1" x14ac:dyDescent="0.35">
      <c r="A316" s="10" t="s">
        <v>656</v>
      </c>
      <c r="B316" s="11">
        <v>45481</v>
      </c>
      <c r="C316" s="10" t="s">
        <v>94</v>
      </c>
      <c r="D316" s="10" t="s">
        <v>240</v>
      </c>
      <c r="E316" s="10" t="s">
        <v>62</v>
      </c>
      <c r="F316" s="12">
        <v>8</v>
      </c>
      <c r="G316" s="12">
        <v>3020</v>
      </c>
      <c r="H316" s="12">
        <v>15.2</v>
      </c>
      <c r="I316" s="12">
        <v>20487.68</v>
      </c>
      <c r="J316" s="10" t="s">
        <v>57</v>
      </c>
      <c r="K316" s="10" t="s">
        <v>97</v>
      </c>
      <c r="L316" t="str">
        <f>IFERROR(VLOOKUP(D316,Products!A:F,3,0),"")</f>
        <v>Beauty</v>
      </c>
      <c r="M316" t="str">
        <f>IFERROR(VLOOKUP(E316,Sales_Reps!A:E,3,0),"")</f>
        <v>South</v>
      </c>
      <c r="N316" t="str">
        <f>IFERROR(VLOOKUP(C316,Customers!A:F,5,0),"")</f>
        <v>Retail</v>
      </c>
      <c r="O316">
        <f>IFERROR(VLOOKUP(C316,Customers!A:F,3,0),"")</f>
        <v>60</v>
      </c>
      <c r="P316">
        <f>IFERROR(VLOOKUP(D316,Products!A:F,4,0),"")</f>
        <v>1626</v>
      </c>
      <c r="Q316" t="b">
        <f>IFERROR(VLOOKUP(D316,Products!A:F,6,0),"")</f>
        <v>1</v>
      </c>
      <c r="R316">
        <f t="shared" si="12"/>
        <v>0.46158940397350995</v>
      </c>
      <c r="S316">
        <f t="shared" si="13"/>
        <v>1</v>
      </c>
      <c r="T316">
        <f>IF(AND(S316&gt;1,COUNTIF($A$2:A316,A316)=1),1,0)</f>
        <v>0</v>
      </c>
      <c r="U316">
        <f>COUNTIF(Customers!$A$2:$A$301,C316)</f>
        <v>1</v>
      </c>
      <c r="V316">
        <f t="shared" si="14"/>
        <v>0</v>
      </c>
    </row>
    <row r="317" spans="1:22" ht="14.25" customHeight="1" x14ac:dyDescent="0.35">
      <c r="A317" s="10" t="s">
        <v>657</v>
      </c>
      <c r="B317" s="11">
        <v>45517</v>
      </c>
      <c r="C317" s="10" t="s">
        <v>292</v>
      </c>
      <c r="D317" s="10" t="s">
        <v>223</v>
      </c>
      <c r="E317" s="10" t="s">
        <v>85</v>
      </c>
      <c r="F317" s="12">
        <v>10</v>
      </c>
      <c r="G317" s="12">
        <v>1540</v>
      </c>
      <c r="H317" s="12">
        <v>0.6</v>
      </c>
      <c r="I317" s="12">
        <v>15307.6</v>
      </c>
      <c r="J317" s="10" t="s">
        <v>51</v>
      </c>
      <c r="K317" s="10" t="s">
        <v>58</v>
      </c>
      <c r="L317" t="str">
        <f>IFERROR(VLOOKUP(D317,Products!A:F,3,0),"")</f>
        <v>Beauty</v>
      </c>
      <c r="M317" t="str">
        <f>IFERROR(VLOOKUP(E317,Sales_Reps!A:E,3,0),"")</f>
        <v>East</v>
      </c>
      <c r="N317" t="str">
        <f>IFERROR(VLOOKUP(C317,Customers!A:F,5,0),"")</f>
        <v>Retail</v>
      </c>
      <c r="O317">
        <f>IFERROR(VLOOKUP(C317,Customers!A:F,3,0),"")</f>
        <v>28</v>
      </c>
      <c r="P317">
        <f>IFERROR(VLOOKUP(D317,Products!A:F,4,0),"")</f>
        <v>647</v>
      </c>
      <c r="Q317" t="b">
        <f>IFERROR(VLOOKUP(D317,Products!A:F,6,0),"")</f>
        <v>0</v>
      </c>
      <c r="R317">
        <f t="shared" si="12"/>
        <v>0.57987012987012987</v>
      </c>
      <c r="S317">
        <f t="shared" si="13"/>
        <v>1</v>
      </c>
      <c r="T317">
        <f>IF(AND(S317&gt;1,COUNTIF($A$2:A317,A317)=1),1,0)</f>
        <v>0</v>
      </c>
      <c r="U317">
        <f>COUNTIF(Customers!$A$2:$A$301,C317)</f>
        <v>1</v>
      </c>
      <c r="V317">
        <f t="shared" si="14"/>
        <v>0</v>
      </c>
    </row>
    <row r="318" spans="1:22" ht="14.25" customHeight="1" x14ac:dyDescent="0.35">
      <c r="A318" s="10" t="s">
        <v>658</v>
      </c>
      <c r="B318" s="11">
        <v>45632</v>
      </c>
      <c r="C318" s="10" t="s">
        <v>454</v>
      </c>
      <c r="D318" s="10" t="s">
        <v>70</v>
      </c>
      <c r="E318" s="10" t="s">
        <v>179</v>
      </c>
      <c r="F318" s="12">
        <v>7</v>
      </c>
      <c r="G318" s="12">
        <v>3160</v>
      </c>
      <c r="H318" s="12">
        <v>8.9</v>
      </c>
      <c r="I318" s="12">
        <v>20151.32</v>
      </c>
      <c r="J318" s="10" t="s">
        <v>51</v>
      </c>
      <c r="K318" s="10" t="s">
        <v>63</v>
      </c>
      <c r="L318" t="str">
        <f>IFERROR(VLOOKUP(D318,Products!A:F,3,0),"")</f>
        <v>Apparel</v>
      </c>
      <c r="M318" t="str">
        <f>IFERROR(VLOOKUP(E318,Sales_Reps!A:E,3,0),"")</f>
        <v>North</v>
      </c>
      <c r="N318" t="str">
        <f>IFERROR(VLOOKUP(C318,Customers!A:F,5,0),"")</f>
        <v>Retail</v>
      </c>
      <c r="O318">
        <f>IFERROR(VLOOKUP(C318,Customers!A:F,3,0),"")</f>
        <v>59</v>
      </c>
      <c r="P318">
        <f>IFERROR(VLOOKUP(D318,Products!A:F,4,0),"")</f>
        <v>1886</v>
      </c>
      <c r="Q318" t="b">
        <f>IFERROR(VLOOKUP(D318,Products!A:F,6,0),"")</f>
        <v>1</v>
      </c>
      <c r="R318">
        <f t="shared" si="12"/>
        <v>0.4031645569620253</v>
      </c>
      <c r="S318">
        <f t="shared" si="13"/>
        <v>1</v>
      </c>
      <c r="T318">
        <f>IF(AND(S318&gt;1,COUNTIF($A$2:A318,A318)=1),1,0)</f>
        <v>0</v>
      </c>
      <c r="U318">
        <f>COUNTIF(Customers!$A$2:$A$301,C318)</f>
        <v>1</v>
      </c>
      <c r="V318">
        <f t="shared" si="14"/>
        <v>0</v>
      </c>
    </row>
    <row r="319" spans="1:22" ht="14.25" customHeight="1" x14ac:dyDescent="0.35">
      <c r="A319" s="10" t="s">
        <v>659</v>
      </c>
      <c r="B319" s="11">
        <v>45592</v>
      </c>
      <c r="C319" s="10" t="s">
        <v>174</v>
      </c>
      <c r="D319" s="10" t="s">
        <v>146</v>
      </c>
      <c r="E319" s="10" t="s">
        <v>216</v>
      </c>
      <c r="F319" s="12">
        <v>6</v>
      </c>
      <c r="G319" s="12">
        <v>1010</v>
      </c>
      <c r="H319" s="12">
        <v>12.9</v>
      </c>
      <c r="I319" s="12">
        <v>5278.26</v>
      </c>
      <c r="J319" s="10" t="s">
        <v>51</v>
      </c>
      <c r="K319" s="10" t="s">
        <v>63</v>
      </c>
      <c r="L319" t="str">
        <f>IFERROR(VLOOKUP(D319,Products!A:F,3,0),"")</f>
        <v>Sports</v>
      </c>
      <c r="M319" t="str">
        <f>IFERROR(VLOOKUP(E319,Sales_Reps!A:E,3,0),"")</f>
        <v>South</v>
      </c>
      <c r="N319" t="str">
        <f>IFERROR(VLOOKUP(C319,Customers!A:F,5,0),"")</f>
        <v>Retail</v>
      </c>
      <c r="O319">
        <f>IFERROR(VLOOKUP(C319,Customers!A:F,3,0),"")</f>
        <v>41</v>
      </c>
      <c r="P319">
        <f>IFERROR(VLOOKUP(D319,Products!A:F,4,0),"")</f>
        <v>516</v>
      </c>
      <c r="Q319" t="b">
        <f>IFERROR(VLOOKUP(D319,Products!A:F,6,0),"")</f>
        <v>1</v>
      </c>
      <c r="R319">
        <f t="shared" si="12"/>
        <v>0.4891089108910891</v>
      </c>
      <c r="S319">
        <f t="shared" si="13"/>
        <v>1</v>
      </c>
      <c r="T319">
        <f>IF(AND(S319&gt;1,COUNTIF($A$2:A319,A319)=1),1,0)</f>
        <v>0</v>
      </c>
      <c r="U319">
        <f>COUNTIF(Customers!$A$2:$A$301,C319)</f>
        <v>1</v>
      </c>
      <c r="V319">
        <f t="shared" si="14"/>
        <v>0</v>
      </c>
    </row>
    <row r="320" spans="1:22" ht="14.25" customHeight="1" x14ac:dyDescent="0.35">
      <c r="A320" s="10" t="s">
        <v>660</v>
      </c>
      <c r="B320" s="11">
        <v>45450</v>
      </c>
      <c r="C320" s="10" t="s">
        <v>661</v>
      </c>
      <c r="D320" s="10" t="s">
        <v>234</v>
      </c>
      <c r="E320" s="10" t="s">
        <v>156</v>
      </c>
      <c r="F320" s="12">
        <v>4</v>
      </c>
      <c r="G320" s="12">
        <v>4610</v>
      </c>
      <c r="H320" s="12">
        <v>18.2</v>
      </c>
      <c r="I320" s="12">
        <v>15083.92</v>
      </c>
      <c r="J320" s="10" t="s">
        <v>51</v>
      </c>
      <c r="K320" s="10" t="s">
        <v>97</v>
      </c>
      <c r="L320" t="str">
        <f>IFERROR(VLOOKUP(D320,Products!A:F,3,0),"")</f>
        <v>Home</v>
      </c>
      <c r="M320" t="str">
        <f>IFERROR(VLOOKUP(E320,Sales_Reps!A:E,3,0),"")</f>
        <v>East</v>
      </c>
      <c r="N320" t="str">
        <f>IFERROR(VLOOKUP(C320,Customers!A:F,5,0),"")</f>
        <v>Retail</v>
      </c>
      <c r="O320">
        <f>IFERROR(VLOOKUP(C320,Customers!A:F,3,0),"")</f>
        <v>65</v>
      </c>
      <c r="P320">
        <f>IFERROR(VLOOKUP(D320,Products!A:F,4,0),"")</f>
        <v>1850</v>
      </c>
      <c r="Q320" t="b">
        <f>IFERROR(VLOOKUP(D320,Products!A:F,6,0),"")</f>
        <v>1</v>
      </c>
      <c r="R320">
        <f t="shared" si="12"/>
        <v>0.59869848156182215</v>
      </c>
      <c r="S320">
        <f t="shared" si="13"/>
        <v>1</v>
      </c>
      <c r="T320">
        <f>IF(AND(S320&gt;1,COUNTIF($A$2:A320,A320)=1),1,0)</f>
        <v>0</v>
      </c>
      <c r="U320">
        <f>COUNTIF(Customers!$A$2:$A$301,C320)</f>
        <v>1</v>
      </c>
      <c r="V320">
        <f t="shared" si="14"/>
        <v>0</v>
      </c>
    </row>
    <row r="321" spans="1:22" ht="14.25" customHeight="1" x14ac:dyDescent="0.35">
      <c r="A321" s="10" t="s">
        <v>662</v>
      </c>
      <c r="B321" s="11">
        <v>45343</v>
      </c>
      <c r="C321" s="10" t="s">
        <v>227</v>
      </c>
      <c r="D321" s="10" t="s">
        <v>315</v>
      </c>
      <c r="E321" s="10" t="s">
        <v>193</v>
      </c>
      <c r="F321" s="12">
        <v>6</v>
      </c>
      <c r="G321" s="12">
        <v>4060</v>
      </c>
      <c r="H321" s="12">
        <v>24.3</v>
      </c>
      <c r="I321" s="12">
        <v>18440.52</v>
      </c>
      <c r="J321" s="10" t="s">
        <v>51</v>
      </c>
      <c r="K321" s="10" t="s">
        <v>97</v>
      </c>
      <c r="L321" t="str">
        <f>IFERROR(VLOOKUP(D321,Products!A:F,3,0),"")</f>
        <v>Grocery</v>
      </c>
      <c r="M321" t="str">
        <f>IFERROR(VLOOKUP(E321,Sales_Reps!A:E,3,0),"")</f>
        <v>West</v>
      </c>
      <c r="N321" t="str">
        <f>IFERROR(VLOOKUP(C321,Customers!A:F,5,0),"")</f>
        <v>Retail</v>
      </c>
      <c r="O321">
        <f>IFERROR(VLOOKUP(C321,Customers!A:F,3,0),"")</f>
        <v>53</v>
      </c>
      <c r="P321">
        <f>IFERROR(VLOOKUP(D321,Products!A:F,4,0),"")</f>
        <v>2911</v>
      </c>
      <c r="Q321" t="b">
        <f>IFERROR(VLOOKUP(D321,Products!A:F,6,0),"")</f>
        <v>1</v>
      </c>
      <c r="R321">
        <f t="shared" si="12"/>
        <v>0.28300492610837441</v>
      </c>
      <c r="S321">
        <f t="shared" si="13"/>
        <v>1</v>
      </c>
      <c r="T321">
        <f>IF(AND(S321&gt;1,COUNTIF($A$2:A321,A321)=1),1,0)</f>
        <v>0</v>
      </c>
      <c r="U321">
        <f>COUNTIF(Customers!$A$2:$A$301,C321)</f>
        <v>1</v>
      </c>
      <c r="V321">
        <f t="shared" si="14"/>
        <v>0</v>
      </c>
    </row>
    <row r="322" spans="1:22" ht="14.25" customHeight="1" x14ac:dyDescent="0.35">
      <c r="A322" s="10" t="s">
        <v>663</v>
      </c>
      <c r="B322" s="11">
        <v>45509</v>
      </c>
      <c r="C322" s="10" t="s">
        <v>664</v>
      </c>
      <c r="D322" s="10" t="s">
        <v>256</v>
      </c>
      <c r="E322" s="10" t="s">
        <v>179</v>
      </c>
      <c r="F322" s="12">
        <v>5</v>
      </c>
      <c r="G322" s="12">
        <v>620</v>
      </c>
      <c r="H322" s="12">
        <v>10.7</v>
      </c>
      <c r="I322" s="12">
        <v>2768.3</v>
      </c>
      <c r="J322" s="10" t="s">
        <v>108</v>
      </c>
      <c r="K322" s="10" t="s">
        <v>58</v>
      </c>
      <c r="L322" t="str">
        <f>IFERROR(VLOOKUP(D322,Products!A:F,3,0),"")</f>
        <v>Apparel</v>
      </c>
      <c r="M322" t="str">
        <f>IFERROR(VLOOKUP(E322,Sales_Reps!A:E,3,0),"")</f>
        <v>North</v>
      </c>
      <c r="N322" t="str">
        <f>IFERROR(VLOOKUP(C322,Customers!A:F,5,0),"")</f>
        <v>SMB</v>
      </c>
      <c r="O322">
        <f>IFERROR(VLOOKUP(C322,Customers!A:F,3,0),"")</f>
        <v>46</v>
      </c>
      <c r="P322">
        <f>IFERROR(VLOOKUP(D322,Products!A:F,4,0),"")</f>
        <v>396</v>
      </c>
      <c r="Q322" t="b">
        <f>IFERROR(VLOOKUP(D322,Products!A:F,6,0),"")</f>
        <v>1</v>
      </c>
      <c r="R322">
        <f t="shared" ref="R322:R385" si="15">IFERROR((G322-P322)/G322,"")</f>
        <v>0.36129032258064514</v>
      </c>
      <c r="S322">
        <f t="shared" ref="S322:S385" si="16">COUNTIF($A$2:$A$2001,A322)</f>
        <v>1</v>
      </c>
      <c r="T322">
        <f>IF(AND(S322&gt;1,COUNTIF($A$2:A322,A322)=1),1,0)</f>
        <v>0</v>
      </c>
      <c r="U322">
        <f>COUNTIF(Customers!$A$2:$A$301,C322)</f>
        <v>1</v>
      </c>
      <c r="V322">
        <f t="shared" ref="V322:V385" si="17">IF(AND(K322="Bengaluru",L322="Grocery"),I322,0)</f>
        <v>0</v>
      </c>
    </row>
    <row r="323" spans="1:22" ht="14.25" customHeight="1" x14ac:dyDescent="0.35">
      <c r="A323" s="10" t="s">
        <v>665</v>
      </c>
      <c r="B323" s="11">
        <v>45513</v>
      </c>
      <c r="C323" s="10" t="s">
        <v>418</v>
      </c>
      <c r="D323" s="10" t="s">
        <v>623</v>
      </c>
      <c r="E323" s="10" t="s">
        <v>112</v>
      </c>
      <c r="F323" s="12">
        <v>3</v>
      </c>
      <c r="G323" s="12">
        <v>3560</v>
      </c>
      <c r="H323" s="12">
        <v>4.0999999999999996</v>
      </c>
      <c r="I323" s="12">
        <v>10242.120000000001</v>
      </c>
      <c r="J323" s="10" t="s">
        <v>51</v>
      </c>
      <c r="K323" s="10" t="s">
        <v>97</v>
      </c>
      <c r="L323" t="str">
        <f>IFERROR(VLOOKUP(D323,Products!A:F,3,0),"")</f>
        <v>Apparel</v>
      </c>
      <c r="M323" t="str">
        <f>IFERROR(VLOOKUP(E323,Sales_Reps!A:E,3,0),"")</f>
        <v>North</v>
      </c>
      <c r="N323" t="str">
        <f>IFERROR(VLOOKUP(C323,Customers!A:F,5,0),"")</f>
        <v>Corporate</v>
      </c>
      <c r="O323">
        <f>IFERROR(VLOOKUP(C323,Customers!A:F,3,0),"")</f>
        <v>43</v>
      </c>
      <c r="P323">
        <f>IFERROR(VLOOKUP(D323,Products!A:F,4,0),"")</f>
        <v>2629</v>
      </c>
      <c r="Q323" t="b">
        <f>IFERROR(VLOOKUP(D323,Products!A:F,6,0),"")</f>
        <v>1</v>
      </c>
      <c r="R323">
        <f t="shared" si="15"/>
        <v>0.26151685393258428</v>
      </c>
      <c r="S323">
        <f t="shared" si="16"/>
        <v>1</v>
      </c>
      <c r="T323">
        <f>IF(AND(S323&gt;1,COUNTIF($A$2:A323,A323)=1),1,0)</f>
        <v>0</v>
      </c>
      <c r="U323">
        <f>COUNTIF(Customers!$A$2:$A$301,C323)</f>
        <v>1</v>
      </c>
      <c r="V323">
        <f t="shared" si="17"/>
        <v>0</v>
      </c>
    </row>
    <row r="324" spans="1:22" ht="14.25" customHeight="1" x14ac:dyDescent="0.35">
      <c r="A324" s="10" t="s">
        <v>666</v>
      </c>
      <c r="B324" s="11">
        <v>45500</v>
      </c>
      <c r="C324" s="10" t="s">
        <v>667</v>
      </c>
      <c r="D324" s="10" t="s">
        <v>115</v>
      </c>
      <c r="E324" s="10" t="s">
        <v>289</v>
      </c>
      <c r="F324" s="12">
        <v>2</v>
      </c>
      <c r="G324" s="12">
        <v>2400</v>
      </c>
      <c r="H324" s="12">
        <v>13</v>
      </c>
      <c r="I324" s="12">
        <v>4176</v>
      </c>
      <c r="J324" s="10" t="s">
        <v>51</v>
      </c>
      <c r="K324" s="10" t="s">
        <v>52</v>
      </c>
      <c r="L324" t="str">
        <f>IFERROR(VLOOKUP(D324,Products!A:F,3,0),"")</f>
        <v>Sports</v>
      </c>
      <c r="M324" t="str">
        <f>IFERROR(VLOOKUP(E324,Sales_Reps!A:E,3,0),"")</f>
        <v>South</v>
      </c>
      <c r="N324" t="str">
        <f>IFERROR(VLOOKUP(C324,Customers!A:F,5,0),"")</f>
        <v>Corporate</v>
      </c>
      <c r="O324">
        <f>IFERROR(VLOOKUP(C324,Customers!A:F,3,0),"")</f>
        <v>52</v>
      </c>
      <c r="P324">
        <f>IFERROR(VLOOKUP(D324,Products!A:F,4,0),"")</f>
        <v>974</v>
      </c>
      <c r="Q324" t="b">
        <f>IFERROR(VLOOKUP(D324,Products!A:F,6,0),"")</f>
        <v>1</v>
      </c>
      <c r="R324">
        <f t="shared" si="15"/>
        <v>0.59416666666666662</v>
      </c>
      <c r="S324">
        <f t="shared" si="16"/>
        <v>1</v>
      </c>
      <c r="T324">
        <f>IF(AND(S324&gt;1,COUNTIF($A$2:A324,A324)=1),1,0)</f>
        <v>0</v>
      </c>
      <c r="U324">
        <f>COUNTIF(Customers!$A$2:$A$301,C324)</f>
        <v>1</v>
      </c>
      <c r="V324">
        <f t="shared" si="17"/>
        <v>0</v>
      </c>
    </row>
    <row r="325" spans="1:22" ht="14.25" customHeight="1" x14ac:dyDescent="0.35">
      <c r="A325" s="10" t="s">
        <v>668</v>
      </c>
      <c r="B325" s="11">
        <v>45407</v>
      </c>
      <c r="C325" s="10" t="s">
        <v>669</v>
      </c>
      <c r="D325" s="10" t="s">
        <v>479</v>
      </c>
      <c r="E325" s="10" t="s">
        <v>67</v>
      </c>
      <c r="F325" s="12">
        <v>9</v>
      </c>
      <c r="G325" s="12">
        <v>6940</v>
      </c>
      <c r="H325" s="12">
        <v>26.2</v>
      </c>
      <c r="I325" s="12">
        <v>46095.48</v>
      </c>
      <c r="J325" s="10" t="s">
        <v>51</v>
      </c>
      <c r="K325" s="10" t="s">
        <v>63</v>
      </c>
      <c r="L325" t="str">
        <f>IFERROR(VLOOKUP(D325,Products!A:F,3,0),"")</f>
        <v>Sports</v>
      </c>
      <c r="M325" t="str">
        <f>IFERROR(VLOOKUP(E325,Sales_Reps!A:E,3,0),"")</f>
        <v>North</v>
      </c>
      <c r="N325" t="str">
        <f>IFERROR(VLOOKUP(C325,Customers!A:F,5,0),"")</f>
        <v>Retail</v>
      </c>
      <c r="O325">
        <f>IFERROR(VLOOKUP(C325,Customers!A:F,3,0),"")</f>
        <v>53</v>
      </c>
      <c r="P325">
        <f>IFERROR(VLOOKUP(D325,Products!A:F,4,0),"")</f>
        <v>2827</v>
      </c>
      <c r="Q325" t="b">
        <f>IFERROR(VLOOKUP(D325,Products!A:F,6,0),"")</f>
        <v>1</v>
      </c>
      <c r="R325">
        <f t="shared" si="15"/>
        <v>0.5926512968299712</v>
      </c>
      <c r="S325">
        <f t="shared" si="16"/>
        <v>1</v>
      </c>
      <c r="T325">
        <f>IF(AND(S325&gt;1,COUNTIF($A$2:A325,A325)=1),1,0)</f>
        <v>0</v>
      </c>
      <c r="U325">
        <f>COUNTIF(Customers!$A$2:$A$301,C325)</f>
        <v>1</v>
      </c>
      <c r="V325">
        <f t="shared" si="17"/>
        <v>0</v>
      </c>
    </row>
    <row r="326" spans="1:22" ht="14.25" customHeight="1" x14ac:dyDescent="0.35">
      <c r="A326" s="10" t="s">
        <v>670</v>
      </c>
      <c r="B326" s="11">
        <v>45385</v>
      </c>
      <c r="C326" s="10" t="s">
        <v>671</v>
      </c>
      <c r="D326" s="10" t="s">
        <v>331</v>
      </c>
      <c r="E326" s="10" t="s">
        <v>75</v>
      </c>
      <c r="F326" s="12">
        <v>9</v>
      </c>
      <c r="G326" s="12">
        <v>2380</v>
      </c>
      <c r="H326" s="12">
        <v>22.7</v>
      </c>
      <c r="I326" s="12">
        <v>16557.66</v>
      </c>
      <c r="J326" s="10" t="s">
        <v>51</v>
      </c>
      <c r="K326" s="10" t="s">
        <v>76</v>
      </c>
      <c r="L326" t="str">
        <f>IFERROR(VLOOKUP(D326,Products!A:F,3,0),"")</f>
        <v>Grocery</v>
      </c>
      <c r="M326" t="str">
        <f>IFERROR(VLOOKUP(E326,Sales_Reps!A:E,3,0),"")</f>
        <v>West</v>
      </c>
      <c r="N326" t="str">
        <f>IFERROR(VLOOKUP(C326,Customers!A:F,5,0),"")</f>
        <v>Retail</v>
      </c>
      <c r="O326">
        <f>IFERROR(VLOOKUP(C326,Customers!A:F,3,0),"")</f>
        <v>33</v>
      </c>
      <c r="P326">
        <f>IFERROR(VLOOKUP(D326,Products!A:F,4,0),"")</f>
        <v>1182</v>
      </c>
      <c r="Q326" t="b">
        <f>IFERROR(VLOOKUP(D326,Products!A:F,6,0),"")</f>
        <v>1</v>
      </c>
      <c r="R326">
        <f t="shared" si="15"/>
        <v>0.50336134453781511</v>
      </c>
      <c r="S326">
        <f t="shared" si="16"/>
        <v>1</v>
      </c>
      <c r="T326">
        <f>IF(AND(S326&gt;1,COUNTIF($A$2:A326,A326)=1),1,0)</f>
        <v>0</v>
      </c>
      <c r="U326">
        <f>COUNTIF(Customers!$A$2:$A$301,C326)</f>
        <v>1</v>
      </c>
      <c r="V326">
        <f t="shared" si="17"/>
        <v>0</v>
      </c>
    </row>
    <row r="327" spans="1:22" ht="14.25" customHeight="1" x14ac:dyDescent="0.35">
      <c r="A327" s="10" t="s">
        <v>672</v>
      </c>
      <c r="B327" s="11">
        <v>45542</v>
      </c>
      <c r="C327" s="10" t="s">
        <v>230</v>
      </c>
      <c r="D327" s="10" t="s">
        <v>49</v>
      </c>
      <c r="E327" s="10" t="s">
        <v>92</v>
      </c>
      <c r="F327" s="12">
        <v>6</v>
      </c>
      <c r="G327" s="12">
        <v>3620</v>
      </c>
      <c r="H327" s="12">
        <v>9.1999999999999993</v>
      </c>
      <c r="I327" s="12">
        <v>19721.759999999998</v>
      </c>
      <c r="J327" s="10" t="s">
        <v>51</v>
      </c>
      <c r="K327" s="10" t="s">
        <v>63</v>
      </c>
      <c r="L327" t="str">
        <f>IFERROR(VLOOKUP(D327,Products!A:F,3,0),"")</f>
        <v>Apparel</v>
      </c>
      <c r="M327" t="str">
        <f>IFERROR(VLOOKUP(E327,Sales_Reps!A:E,3,0),"")</f>
        <v>West</v>
      </c>
      <c r="N327" t="str">
        <f>IFERROR(VLOOKUP(C327,Customers!A:F,5,0),"")</f>
        <v>Corporate</v>
      </c>
      <c r="O327">
        <f>IFERROR(VLOOKUP(C327,Customers!A:F,3,0),"")</f>
        <v>55</v>
      </c>
      <c r="P327">
        <f>IFERROR(VLOOKUP(D327,Products!A:F,4,0),"")</f>
        <v>2509</v>
      </c>
      <c r="Q327" t="b">
        <f>IFERROR(VLOOKUP(D327,Products!A:F,6,0),"")</f>
        <v>1</v>
      </c>
      <c r="R327">
        <f t="shared" si="15"/>
        <v>0.3069060773480663</v>
      </c>
      <c r="S327">
        <f t="shared" si="16"/>
        <v>1</v>
      </c>
      <c r="T327">
        <f>IF(AND(S327&gt;1,COUNTIF($A$2:A327,A327)=1),1,0)</f>
        <v>0</v>
      </c>
      <c r="U327">
        <f>COUNTIF(Customers!$A$2:$A$301,C327)</f>
        <v>1</v>
      </c>
      <c r="V327">
        <f t="shared" si="17"/>
        <v>0</v>
      </c>
    </row>
    <row r="328" spans="1:22" ht="14.25" customHeight="1" x14ac:dyDescent="0.35">
      <c r="A328" s="10" t="s">
        <v>673</v>
      </c>
      <c r="B328" s="11">
        <v>45422</v>
      </c>
      <c r="C328" s="10" t="s">
        <v>418</v>
      </c>
      <c r="D328" s="10" t="s">
        <v>205</v>
      </c>
      <c r="E328" s="10" t="s">
        <v>103</v>
      </c>
      <c r="F328" s="12">
        <v>1</v>
      </c>
      <c r="G328" s="12">
        <v>6080</v>
      </c>
      <c r="H328" s="12">
        <v>29.4</v>
      </c>
      <c r="I328" s="12">
        <v>4292.4799999999996</v>
      </c>
      <c r="J328" s="10" t="s">
        <v>104</v>
      </c>
      <c r="K328" s="10" t="s">
        <v>97</v>
      </c>
      <c r="L328" t="str">
        <f>IFERROR(VLOOKUP(D328,Products!A:F,3,0),"")</f>
        <v>Beauty</v>
      </c>
      <c r="M328" t="str">
        <f>IFERROR(VLOOKUP(E328,Sales_Reps!A:E,3,0),"")</f>
        <v>North</v>
      </c>
      <c r="N328" t="str">
        <f>IFERROR(VLOOKUP(C328,Customers!A:F,5,0),"")</f>
        <v>Corporate</v>
      </c>
      <c r="O328">
        <f>IFERROR(VLOOKUP(C328,Customers!A:F,3,0),"")</f>
        <v>43</v>
      </c>
      <c r="P328">
        <f>IFERROR(VLOOKUP(D328,Products!A:F,4,0),"")</f>
        <v>2617</v>
      </c>
      <c r="Q328" t="b">
        <f>IFERROR(VLOOKUP(D328,Products!A:F,6,0),"")</f>
        <v>1</v>
      </c>
      <c r="R328">
        <f t="shared" si="15"/>
        <v>0.56957236842105263</v>
      </c>
      <c r="S328">
        <f t="shared" si="16"/>
        <v>1</v>
      </c>
      <c r="T328">
        <f>IF(AND(S328&gt;1,COUNTIF($A$2:A328,A328)=1),1,0)</f>
        <v>0</v>
      </c>
      <c r="U328">
        <f>COUNTIF(Customers!$A$2:$A$301,C328)</f>
        <v>1</v>
      </c>
      <c r="V328">
        <f t="shared" si="17"/>
        <v>0</v>
      </c>
    </row>
    <row r="329" spans="1:22" ht="14.25" customHeight="1" x14ac:dyDescent="0.35">
      <c r="A329" s="10" t="s">
        <v>674</v>
      </c>
      <c r="B329" s="11">
        <v>45343</v>
      </c>
      <c r="C329" s="10" t="s">
        <v>644</v>
      </c>
      <c r="D329" s="10" t="s">
        <v>55</v>
      </c>
      <c r="E329" s="10" t="s">
        <v>267</v>
      </c>
      <c r="F329" s="12">
        <v>6</v>
      </c>
      <c r="G329" s="12">
        <v>820</v>
      </c>
      <c r="H329" s="12">
        <v>29.1</v>
      </c>
      <c r="I329" s="12">
        <v>3488.28</v>
      </c>
      <c r="J329" s="10" t="s">
        <v>51</v>
      </c>
      <c r="K329" s="10" t="s">
        <v>58</v>
      </c>
      <c r="L329" t="str">
        <f>IFERROR(VLOOKUP(D329,Products!A:F,3,0),"")</f>
        <v>Apparel</v>
      </c>
      <c r="M329" t="str">
        <f>IFERROR(VLOOKUP(E329,Sales_Reps!A:E,3,0),"")</f>
        <v>East</v>
      </c>
      <c r="N329" t="str">
        <f>IFERROR(VLOOKUP(C329,Customers!A:F,5,0),"")</f>
        <v>Retail</v>
      </c>
      <c r="O329">
        <f>IFERROR(VLOOKUP(C329,Customers!A:F,3,0),"")</f>
        <v>26</v>
      </c>
      <c r="P329">
        <f>IFERROR(VLOOKUP(D329,Products!A:F,4,0),"")</f>
        <v>391</v>
      </c>
      <c r="Q329" t="b">
        <f>IFERROR(VLOOKUP(D329,Products!A:F,6,0),"")</f>
        <v>1</v>
      </c>
      <c r="R329">
        <f t="shared" si="15"/>
        <v>0.52317073170731709</v>
      </c>
      <c r="S329">
        <f t="shared" si="16"/>
        <v>1</v>
      </c>
      <c r="T329">
        <f>IF(AND(S329&gt;1,COUNTIF($A$2:A329,A329)=1),1,0)</f>
        <v>0</v>
      </c>
      <c r="U329">
        <f>COUNTIF(Customers!$A$2:$A$301,C329)</f>
        <v>1</v>
      </c>
      <c r="V329">
        <f t="shared" si="17"/>
        <v>0</v>
      </c>
    </row>
    <row r="330" spans="1:22" ht="14.25" customHeight="1" x14ac:dyDescent="0.35">
      <c r="A330" s="10" t="s">
        <v>675</v>
      </c>
      <c r="B330" s="11">
        <v>45646</v>
      </c>
      <c r="C330" s="10" t="s">
        <v>676</v>
      </c>
      <c r="D330" s="10" t="s">
        <v>240</v>
      </c>
      <c r="E330" s="10" t="s">
        <v>80</v>
      </c>
      <c r="F330" s="12">
        <v>9</v>
      </c>
      <c r="G330" s="12">
        <v>3020</v>
      </c>
      <c r="H330" s="12">
        <v>7.9</v>
      </c>
      <c r="I330" s="12">
        <v>25032.78</v>
      </c>
      <c r="J330" s="10" t="s">
        <v>51</v>
      </c>
      <c r="K330" s="10" t="s">
        <v>76</v>
      </c>
      <c r="L330" t="str">
        <f>IFERROR(VLOOKUP(D330,Products!A:F,3,0),"")</f>
        <v>Beauty</v>
      </c>
      <c r="M330" t="str">
        <f>IFERROR(VLOOKUP(E330,Sales_Reps!A:E,3,0),"")</f>
        <v>West</v>
      </c>
      <c r="N330" t="str">
        <f>IFERROR(VLOOKUP(C330,Customers!A:F,5,0),"")</f>
        <v>Corporate</v>
      </c>
      <c r="O330">
        <f>IFERROR(VLOOKUP(C330,Customers!A:F,3,0),"")</f>
        <v>51</v>
      </c>
      <c r="P330">
        <f>IFERROR(VLOOKUP(D330,Products!A:F,4,0),"")</f>
        <v>1626</v>
      </c>
      <c r="Q330" t="b">
        <f>IFERROR(VLOOKUP(D330,Products!A:F,6,0),"")</f>
        <v>1</v>
      </c>
      <c r="R330">
        <f t="shared" si="15"/>
        <v>0.46158940397350995</v>
      </c>
      <c r="S330">
        <f t="shared" si="16"/>
        <v>1</v>
      </c>
      <c r="T330">
        <f>IF(AND(S330&gt;1,COUNTIF($A$2:A330,A330)=1),1,0)</f>
        <v>0</v>
      </c>
      <c r="U330">
        <f>COUNTIF(Customers!$A$2:$A$301,C330)</f>
        <v>1</v>
      </c>
      <c r="V330">
        <f t="shared" si="17"/>
        <v>0</v>
      </c>
    </row>
    <row r="331" spans="1:22" ht="14.25" customHeight="1" x14ac:dyDescent="0.35">
      <c r="A331" s="10" t="s">
        <v>677</v>
      </c>
      <c r="B331" s="11">
        <v>45645</v>
      </c>
      <c r="C331" s="10" t="s">
        <v>678</v>
      </c>
      <c r="D331" s="10" t="s">
        <v>212</v>
      </c>
      <c r="E331" s="10" t="s">
        <v>193</v>
      </c>
      <c r="F331" s="12">
        <v>8</v>
      </c>
      <c r="G331" s="12">
        <v>3870</v>
      </c>
      <c r="H331" s="12">
        <v>11.9</v>
      </c>
      <c r="I331" s="12">
        <v>27275.759999999998</v>
      </c>
      <c r="J331" s="10" t="s">
        <v>51</v>
      </c>
      <c r="K331" s="10" t="s">
        <v>63</v>
      </c>
      <c r="L331" t="str">
        <f>IFERROR(VLOOKUP(D331,Products!A:F,3,0),"")</f>
        <v>Electronics</v>
      </c>
      <c r="M331" t="str">
        <f>IFERROR(VLOOKUP(E331,Sales_Reps!A:E,3,0),"")</f>
        <v>West</v>
      </c>
      <c r="N331" t="str">
        <f>IFERROR(VLOOKUP(C331,Customers!A:F,5,0),"")</f>
        <v>Retail</v>
      </c>
      <c r="O331">
        <f>IFERROR(VLOOKUP(C331,Customers!A:F,3,0),"")</f>
        <v>24</v>
      </c>
      <c r="P331">
        <f>IFERROR(VLOOKUP(D331,Products!A:F,4,0),"")</f>
        <v>1559</v>
      </c>
      <c r="Q331" t="b">
        <f>IFERROR(VLOOKUP(D331,Products!A:F,6,0),"")</f>
        <v>1</v>
      </c>
      <c r="R331">
        <f t="shared" si="15"/>
        <v>0.59715762273901807</v>
      </c>
      <c r="S331">
        <f t="shared" si="16"/>
        <v>1</v>
      </c>
      <c r="T331">
        <f>IF(AND(S331&gt;1,COUNTIF($A$2:A331,A331)=1),1,0)</f>
        <v>0</v>
      </c>
      <c r="U331">
        <f>COUNTIF(Customers!$A$2:$A$301,C331)</f>
        <v>1</v>
      </c>
      <c r="V331">
        <f t="shared" si="17"/>
        <v>0</v>
      </c>
    </row>
    <row r="332" spans="1:22" ht="14.25" customHeight="1" x14ac:dyDescent="0.35">
      <c r="A332" s="10" t="s">
        <v>679</v>
      </c>
      <c r="B332" s="11">
        <v>45528</v>
      </c>
      <c r="C332" s="10" t="s">
        <v>404</v>
      </c>
      <c r="D332" s="10" t="s">
        <v>121</v>
      </c>
      <c r="E332" s="10" t="s">
        <v>134</v>
      </c>
      <c r="F332" s="12">
        <v>6</v>
      </c>
      <c r="G332" s="12">
        <v>3450</v>
      </c>
      <c r="H332" s="12">
        <v>13.9</v>
      </c>
      <c r="I332" s="12">
        <v>17822.7</v>
      </c>
      <c r="J332" s="10" t="s">
        <v>51</v>
      </c>
      <c r="K332" s="10" t="s">
        <v>52</v>
      </c>
      <c r="L332" t="str">
        <f>IFERROR(VLOOKUP(D332,Products!A:F,3,0),"")</f>
        <v>Beauty</v>
      </c>
      <c r="M332" t="str">
        <f>IFERROR(VLOOKUP(E332,Sales_Reps!A:E,3,0),"")</f>
        <v>West</v>
      </c>
      <c r="N332" t="str">
        <f>IFERROR(VLOOKUP(C332,Customers!A:F,5,0),"")</f>
        <v>SMB</v>
      </c>
      <c r="O332">
        <f>IFERROR(VLOOKUP(C332,Customers!A:F,3,0),"")</f>
        <v>30</v>
      </c>
      <c r="P332">
        <f>IFERROR(VLOOKUP(D332,Products!A:F,4,0),"")</f>
        <v>2420</v>
      </c>
      <c r="Q332" t="b">
        <f>IFERROR(VLOOKUP(D332,Products!A:F,6,0),"")</f>
        <v>1</v>
      </c>
      <c r="R332">
        <f t="shared" si="15"/>
        <v>0.29855072463768118</v>
      </c>
      <c r="S332">
        <f t="shared" si="16"/>
        <v>1</v>
      </c>
      <c r="T332">
        <f>IF(AND(S332&gt;1,COUNTIF($A$2:A332,A332)=1),1,0)</f>
        <v>0</v>
      </c>
      <c r="U332">
        <f>COUNTIF(Customers!$A$2:$A$301,C332)</f>
        <v>1</v>
      </c>
      <c r="V332">
        <f t="shared" si="17"/>
        <v>0</v>
      </c>
    </row>
    <row r="333" spans="1:22" ht="14.25" customHeight="1" x14ac:dyDescent="0.35">
      <c r="A333" s="10" t="s">
        <v>680</v>
      </c>
      <c r="B333" s="11">
        <v>45655</v>
      </c>
      <c r="C333" s="10" t="s">
        <v>681</v>
      </c>
      <c r="D333" s="10" t="s">
        <v>155</v>
      </c>
      <c r="E333" s="10" t="s">
        <v>71</v>
      </c>
      <c r="F333" s="12">
        <v>9</v>
      </c>
      <c r="G333" s="12">
        <v>5100</v>
      </c>
      <c r="H333" s="12">
        <v>2.1</v>
      </c>
      <c r="I333" s="12">
        <v>44936.1</v>
      </c>
      <c r="J333" s="10" t="s">
        <v>51</v>
      </c>
      <c r="K333" s="10" t="s">
        <v>58</v>
      </c>
      <c r="L333" t="str">
        <f>IFERROR(VLOOKUP(D333,Products!A:F,3,0),"")</f>
        <v>Beauty</v>
      </c>
      <c r="M333" t="str">
        <f>IFERROR(VLOOKUP(E333,Sales_Reps!A:E,3,0),"")</f>
        <v>North</v>
      </c>
      <c r="N333" t="str">
        <f>IFERROR(VLOOKUP(C333,Customers!A:F,5,0),"")</f>
        <v>Retail</v>
      </c>
      <c r="O333">
        <f>IFERROR(VLOOKUP(C333,Customers!A:F,3,0),"")</f>
        <v>24</v>
      </c>
      <c r="P333">
        <f>IFERROR(VLOOKUP(D333,Products!A:F,4,0),"")</f>
        <v>2237</v>
      </c>
      <c r="Q333" t="b">
        <f>IFERROR(VLOOKUP(D333,Products!A:F,6,0),"")</f>
        <v>1</v>
      </c>
      <c r="R333">
        <f t="shared" si="15"/>
        <v>0.56137254901960787</v>
      </c>
      <c r="S333">
        <f t="shared" si="16"/>
        <v>1</v>
      </c>
      <c r="T333">
        <f>IF(AND(S333&gt;1,COUNTIF($A$2:A333,A333)=1),1,0)</f>
        <v>0</v>
      </c>
      <c r="U333">
        <f>COUNTIF(Customers!$A$2:$A$301,C333)</f>
        <v>1</v>
      </c>
      <c r="V333">
        <f t="shared" si="17"/>
        <v>0</v>
      </c>
    </row>
    <row r="334" spans="1:22" ht="14.25" customHeight="1" x14ac:dyDescent="0.35">
      <c r="A334" s="10" t="s">
        <v>682</v>
      </c>
      <c r="B334" s="11">
        <v>45518</v>
      </c>
      <c r="C334" s="10" t="s">
        <v>363</v>
      </c>
      <c r="D334" s="10" t="s">
        <v>228</v>
      </c>
      <c r="E334" s="10" t="s">
        <v>71</v>
      </c>
      <c r="F334" s="12">
        <v>2</v>
      </c>
      <c r="G334" s="12">
        <v>4070</v>
      </c>
      <c r="H334" s="12">
        <v>28.6</v>
      </c>
      <c r="I334" s="12">
        <v>5811.96</v>
      </c>
      <c r="J334" s="10" t="s">
        <v>51</v>
      </c>
      <c r="K334" s="10" t="s">
        <v>63</v>
      </c>
      <c r="L334" t="str">
        <f>IFERROR(VLOOKUP(D334,Products!A:F,3,0),"")</f>
        <v>Grocery</v>
      </c>
      <c r="M334" t="str">
        <f>IFERROR(VLOOKUP(E334,Sales_Reps!A:E,3,0),"")</f>
        <v>North</v>
      </c>
      <c r="N334" t="str">
        <f>IFERROR(VLOOKUP(C334,Customers!A:F,5,0),"")</f>
        <v>SMB</v>
      </c>
      <c r="O334">
        <f>IFERROR(VLOOKUP(C334,Customers!A:F,3,0),"")</f>
        <v>53</v>
      </c>
      <c r="P334">
        <f>IFERROR(VLOOKUP(D334,Products!A:F,4,0),"")</f>
        <v>2027</v>
      </c>
      <c r="Q334" t="b">
        <f>IFERROR(VLOOKUP(D334,Products!A:F,6,0),"")</f>
        <v>1</v>
      </c>
      <c r="R334">
        <f t="shared" si="15"/>
        <v>0.50196560196560192</v>
      </c>
      <c r="S334">
        <f t="shared" si="16"/>
        <v>1</v>
      </c>
      <c r="T334">
        <f>IF(AND(S334&gt;1,COUNTIF($A$2:A334,A334)=1),1,0)</f>
        <v>0</v>
      </c>
      <c r="U334">
        <f>COUNTIF(Customers!$A$2:$A$301,C334)</f>
        <v>1</v>
      </c>
      <c r="V334">
        <f t="shared" si="17"/>
        <v>0</v>
      </c>
    </row>
    <row r="335" spans="1:22" ht="14.25" customHeight="1" x14ac:dyDescent="0.35">
      <c r="A335" s="10" t="s">
        <v>683</v>
      </c>
      <c r="B335" s="11">
        <v>45339</v>
      </c>
      <c r="C335" s="10" t="s">
        <v>640</v>
      </c>
      <c r="D335" s="10" t="s">
        <v>328</v>
      </c>
      <c r="E335" s="10" t="s">
        <v>50</v>
      </c>
      <c r="F335" s="12">
        <v>9</v>
      </c>
      <c r="G335" s="12">
        <v>5330</v>
      </c>
      <c r="H335" s="12">
        <v>6.2</v>
      </c>
      <c r="I335" s="12">
        <v>44995.86</v>
      </c>
      <c r="J335" s="10" t="s">
        <v>51</v>
      </c>
      <c r="K335" s="10" t="s">
        <v>52</v>
      </c>
      <c r="L335" t="str">
        <f>IFERROR(VLOOKUP(D335,Products!A:F,3,0),"")</f>
        <v>Electronics</v>
      </c>
      <c r="M335" t="str">
        <f>IFERROR(VLOOKUP(E335,Sales_Reps!A:E,3,0),"")</f>
        <v>North</v>
      </c>
      <c r="N335" t="str">
        <f>IFERROR(VLOOKUP(C335,Customers!A:F,5,0),"")</f>
        <v>SMB</v>
      </c>
      <c r="O335">
        <f>IFERROR(VLOOKUP(C335,Customers!A:F,3,0),"")</f>
        <v>35</v>
      </c>
      <c r="P335">
        <f>IFERROR(VLOOKUP(D335,Products!A:F,4,0),"")</f>
        <v>2405</v>
      </c>
      <c r="Q335" t="b">
        <f>IFERROR(VLOOKUP(D335,Products!A:F,6,0),"")</f>
        <v>1</v>
      </c>
      <c r="R335">
        <f t="shared" si="15"/>
        <v>0.54878048780487809</v>
      </c>
      <c r="S335">
        <f t="shared" si="16"/>
        <v>1</v>
      </c>
      <c r="T335">
        <f>IF(AND(S335&gt;1,COUNTIF($A$2:A335,A335)=1),1,0)</f>
        <v>0</v>
      </c>
      <c r="U335">
        <f>COUNTIF(Customers!$A$2:$A$301,C335)</f>
        <v>1</v>
      </c>
      <c r="V335">
        <f t="shared" si="17"/>
        <v>0</v>
      </c>
    </row>
    <row r="336" spans="1:22" ht="14.25" customHeight="1" x14ac:dyDescent="0.35">
      <c r="A336" s="10" t="s">
        <v>627</v>
      </c>
      <c r="B336" s="11">
        <v>45319</v>
      </c>
      <c r="C336" s="10" t="s">
        <v>684</v>
      </c>
      <c r="D336" s="10" t="s">
        <v>95</v>
      </c>
      <c r="E336" s="10" t="s">
        <v>156</v>
      </c>
      <c r="F336" s="12">
        <v>6</v>
      </c>
      <c r="G336" s="12">
        <v>2270</v>
      </c>
      <c r="H336" s="12">
        <v>23.7</v>
      </c>
      <c r="I336" s="12">
        <v>10392.06</v>
      </c>
      <c r="J336" s="10" t="s">
        <v>51</v>
      </c>
      <c r="K336" s="10" t="s">
        <v>685</v>
      </c>
      <c r="L336" t="str">
        <f>IFERROR(VLOOKUP(D336,Products!A:F,3,0),"")</f>
        <v>Grocery</v>
      </c>
      <c r="M336" t="str">
        <f>IFERROR(VLOOKUP(E336,Sales_Reps!A:E,3,0),"")</f>
        <v>East</v>
      </c>
      <c r="N336" t="str">
        <f>IFERROR(VLOOKUP(C336,Customers!A:F,5,0),"")</f>
        <v>Retail</v>
      </c>
      <c r="O336">
        <f>IFERROR(VLOOKUP(C336,Customers!A:F,3,0),"")</f>
        <v>48</v>
      </c>
      <c r="P336">
        <f>IFERROR(VLOOKUP(D336,Products!A:F,4,0),"")</f>
        <v>1203</v>
      </c>
      <c r="Q336" t="b">
        <f>IFERROR(VLOOKUP(D336,Products!A:F,6,0),"")</f>
        <v>1</v>
      </c>
      <c r="R336">
        <f t="shared" si="15"/>
        <v>0.47004405286343615</v>
      </c>
      <c r="S336">
        <f t="shared" si="16"/>
        <v>2</v>
      </c>
      <c r="T336">
        <f>IF(AND(S336&gt;1,COUNTIF($A$2:A336,A336)=1),1,0)</f>
        <v>0</v>
      </c>
      <c r="U336">
        <f>COUNTIF(Customers!$A$2:$A$301,C336)</f>
        <v>1</v>
      </c>
      <c r="V336">
        <f t="shared" si="17"/>
        <v>0</v>
      </c>
    </row>
    <row r="337" spans="1:22" ht="14.25" customHeight="1" x14ac:dyDescent="0.35">
      <c r="A337" s="10" t="s">
        <v>686</v>
      </c>
      <c r="B337" s="11">
        <v>45618</v>
      </c>
      <c r="C337" s="10" t="s">
        <v>106</v>
      </c>
      <c r="D337" s="10" t="s">
        <v>319</v>
      </c>
      <c r="E337" s="10" t="s">
        <v>80</v>
      </c>
      <c r="F337" s="12">
        <v>5</v>
      </c>
      <c r="G337" s="12">
        <v>2510</v>
      </c>
      <c r="H337" s="12">
        <v>25</v>
      </c>
      <c r="I337" s="12">
        <v>9412.5</v>
      </c>
      <c r="J337" s="10" t="s">
        <v>51</v>
      </c>
      <c r="K337" s="10" t="s">
        <v>52</v>
      </c>
      <c r="L337" t="str">
        <f>IFERROR(VLOOKUP(D337,Products!A:F,3,0),"")</f>
        <v>Apparel</v>
      </c>
      <c r="M337" t="str">
        <f>IFERROR(VLOOKUP(E337,Sales_Reps!A:E,3,0),"")</f>
        <v>West</v>
      </c>
      <c r="N337" t="str">
        <f>IFERROR(VLOOKUP(C337,Customers!A:F,5,0),"")</f>
        <v>SMB</v>
      </c>
      <c r="O337">
        <f>IFERROR(VLOOKUP(C337,Customers!A:F,3,0),"")</f>
        <v>39</v>
      </c>
      <c r="P337">
        <f>IFERROR(VLOOKUP(D337,Products!A:F,4,0),"")</f>
        <v>1075</v>
      </c>
      <c r="Q337" t="b">
        <f>IFERROR(VLOOKUP(D337,Products!A:F,6,0),"")</f>
        <v>0</v>
      </c>
      <c r="R337">
        <f t="shared" si="15"/>
        <v>0.57171314741035861</v>
      </c>
      <c r="S337">
        <f t="shared" si="16"/>
        <v>1</v>
      </c>
      <c r="T337">
        <f>IF(AND(S337&gt;1,COUNTIF($A$2:A337,A337)=1),1,0)</f>
        <v>0</v>
      </c>
      <c r="U337">
        <f>COUNTIF(Customers!$A$2:$A$301,C337)</f>
        <v>1</v>
      </c>
      <c r="V337">
        <f t="shared" si="17"/>
        <v>0</v>
      </c>
    </row>
    <row r="338" spans="1:22" ht="14.25" customHeight="1" x14ac:dyDescent="0.35">
      <c r="A338" s="10" t="s">
        <v>687</v>
      </c>
      <c r="B338" s="11">
        <v>45335</v>
      </c>
      <c r="C338" s="10" t="s">
        <v>590</v>
      </c>
      <c r="D338" s="10" t="s">
        <v>331</v>
      </c>
      <c r="E338" s="10" t="s">
        <v>85</v>
      </c>
      <c r="F338" s="12">
        <v>9</v>
      </c>
      <c r="G338" s="12">
        <v>2380</v>
      </c>
      <c r="H338" s="12">
        <v>16.8</v>
      </c>
      <c r="I338" s="12">
        <v>17821.439999999999</v>
      </c>
      <c r="J338" s="10" t="s">
        <v>51</v>
      </c>
      <c r="K338" s="10" t="s">
        <v>63</v>
      </c>
      <c r="L338" t="str">
        <f>IFERROR(VLOOKUP(D338,Products!A:F,3,0),"")</f>
        <v>Grocery</v>
      </c>
      <c r="M338" t="str">
        <f>IFERROR(VLOOKUP(E338,Sales_Reps!A:E,3,0),"")</f>
        <v>East</v>
      </c>
      <c r="N338" t="str">
        <f>IFERROR(VLOOKUP(C338,Customers!A:F,5,0),"")</f>
        <v>Retail</v>
      </c>
      <c r="O338">
        <f>IFERROR(VLOOKUP(C338,Customers!A:F,3,0),"")</f>
        <v>40</v>
      </c>
      <c r="P338">
        <f>IFERROR(VLOOKUP(D338,Products!A:F,4,0),"")</f>
        <v>1182</v>
      </c>
      <c r="Q338" t="b">
        <f>IFERROR(VLOOKUP(D338,Products!A:F,6,0),"")</f>
        <v>1</v>
      </c>
      <c r="R338">
        <f t="shared" si="15"/>
        <v>0.50336134453781511</v>
      </c>
      <c r="S338">
        <f t="shared" si="16"/>
        <v>1</v>
      </c>
      <c r="T338">
        <f>IF(AND(S338&gt;1,COUNTIF($A$2:A338,A338)=1),1,0)</f>
        <v>0</v>
      </c>
      <c r="U338">
        <f>COUNTIF(Customers!$A$2:$A$301,C338)</f>
        <v>1</v>
      </c>
      <c r="V338">
        <f t="shared" si="17"/>
        <v>0</v>
      </c>
    </row>
    <row r="339" spans="1:22" ht="14.25" customHeight="1" x14ac:dyDescent="0.35">
      <c r="A339" s="10" t="s">
        <v>688</v>
      </c>
      <c r="B339" s="11">
        <v>45420</v>
      </c>
      <c r="C339" s="10" t="s">
        <v>689</v>
      </c>
      <c r="D339" s="10" t="s">
        <v>416</v>
      </c>
      <c r="E339" s="10" t="s">
        <v>71</v>
      </c>
      <c r="F339" s="12">
        <v>1</v>
      </c>
      <c r="G339" s="12">
        <v>3450</v>
      </c>
      <c r="H339" s="12">
        <v>1.5</v>
      </c>
      <c r="I339" s="12">
        <v>3398.25</v>
      </c>
      <c r="J339" s="10" t="s">
        <v>108</v>
      </c>
      <c r="K339" s="10" t="s">
        <v>63</v>
      </c>
      <c r="L339" t="str">
        <f>IFERROR(VLOOKUP(D339,Products!A:F,3,0),"")</f>
        <v>Apparel</v>
      </c>
      <c r="M339" t="str">
        <f>IFERROR(VLOOKUP(E339,Sales_Reps!A:E,3,0),"")</f>
        <v>North</v>
      </c>
      <c r="N339" t="str">
        <f>IFERROR(VLOOKUP(C339,Customers!A:F,5,0),"")</f>
        <v>SMB</v>
      </c>
      <c r="O339">
        <f>IFERROR(VLOOKUP(C339,Customers!A:F,3,0),"")</f>
        <v>26</v>
      </c>
      <c r="P339">
        <f>IFERROR(VLOOKUP(D339,Products!A:F,4,0),"")</f>
        <v>1748</v>
      </c>
      <c r="Q339" t="b">
        <f>IFERROR(VLOOKUP(D339,Products!A:F,6,0),"")</f>
        <v>1</v>
      </c>
      <c r="R339">
        <f t="shared" si="15"/>
        <v>0.49333333333333335</v>
      </c>
      <c r="S339">
        <f t="shared" si="16"/>
        <v>1</v>
      </c>
      <c r="T339">
        <f>IF(AND(S339&gt;1,COUNTIF($A$2:A339,A339)=1),1,0)</f>
        <v>0</v>
      </c>
      <c r="U339">
        <f>COUNTIF(Customers!$A$2:$A$301,C339)</f>
        <v>1</v>
      </c>
      <c r="V339">
        <f t="shared" si="17"/>
        <v>0</v>
      </c>
    </row>
    <row r="340" spans="1:22" ht="14.25" customHeight="1" x14ac:dyDescent="0.35">
      <c r="A340" s="10" t="s">
        <v>690</v>
      </c>
      <c r="B340" s="11">
        <v>45295</v>
      </c>
      <c r="C340" s="10" t="s">
        <v>83</v>
      </c>
      <c r="D340" s="10" t="s">
        <v>151</v>
      </c>
      <c r="E340" s="10" t="s">
        <v>261</v>
      </c>
      <c r="F340" s="12">
        <v>5</v>
      </c>
      <c r="G340" s="12">
        <v>3570</v>
      </c>
      <c r="H340" s="12">
        <v>12.8</v>
      </c>
      <c r="I340" s="12">
        <v>15565.2</v>
      </c>
      <c r="J340" s="10" t="s">
        <v>51</v>
      </c>
      <c r="K340" s="10" t="s">
        <v>81</v>
      </c>
      <c r="L340" t="str">
        <f>IFERROR(VLOOKUP(D340,Products!A:F,3,0),"")</f>
        <v>Electronics</v>
      </c>
      <c r="M340" t="str">
        <f>IFERROR(VLOOKUP(E340,Sales_Reps!A:E,3,0),"")</f>
        <v>North</v>
      </c>
      <c r="N340" t="str">
        <f>IFERROR(VLOOKUP(C340,Customers!A:F,5,0),"")</f>
        <v>Corporate</v>
      </c>
      <c r="O340">
        <f>IFERROR(VLOOKUP(C340,Customers!A:F,3,0),"")</f>
        <v>57</v>
      </c>
      <c r="P340">
        <f>IFERROR(VLOOKUP(D340,Products!A:F,4,0),"")</f>
        <v>1665</v>
      </c>
      <c r="Q340" t="b">
        <f>IFERROR(VLOOKUP(D340,Products!A:F,6,0),"")</f>
        <v>1</v>
      </c>
      <c r="R340">
        <f t="shared" si="15"/>
        <v>0.53361344537815125</v>
      </c>
      <c r="S340">
        <f t="shared" si="16"/>
        <v>1</v>
      </c>
      <c r="T340">
        <f>IF(AND(S340&gt;1,COUNTIF($A$2:A340,A340)=1),1,0)</f>
        <v>0</v>
      </c>
      <c r="U340">
        <f>COUNTIF(Customers!$A$2:$A$301,C340)</f>
        <v>1</v>
      </c>
      <c r="V340">
        <f t="shared" si="17"/>
        <v>0</v>
      </c>
    </row>
    <row r="341" spans="1:22" ht="14.25" customHeight="1" x14ac:dyDescent="0.35">
      <c r="A341" s="10" t="s">
        <v>691</v>
      </c>
      <c r="B341" s="11">
        <v>45590</v>
      </c>
      <c r="C341" s="10" t="s">
        <v>220</v>
      </c>
      <c r="D341" s="10" t="s">
        <v>328</v>
      </c>
      <c r="E341" s="10" t="s">
        <v>193</v>
      </c>
      <c r="F341" s="12">
        <v>3</v>
      </c>
      <c r="G341" s="12">
        <v>5330</v>
      </c>
      <c r="H341" s="12">
        <v>16.2</v>
      </c>
      <c r="I341" s="12">
        <v>13399.62</v>
      </c>
      <c r="J341" s="10" t="s">
        <v>51</v>
      </c>
      <c r="K341" s="10" t="s">
        <v>97</v>
      </c>
      <c r="L341" t="str">
        <f>IFERROR(VLOOKUP(D341,Products!A:F,3,0),"")</f>
        <v>Electronics</v>
      </c>
      <c r="M341" t="str">
        <f>IFERROR(VLOOKUP(E341,Sales_Reps!A:E,3,0),"")</f>
        <v>West</v>
      </c>
      <c r="N341" t="str">
        <f>IFERROR(VLOOKUP(C341,Customers!A:F,5,0),"")</f>
        <v>Retail</v>
      </c>
      <c r="O341">
        <f>IFERROR(VLOOKUP(C341,Customers!A:F,3,0),"")</f>
        <v>27</v>
      </c>
      <c r="P341">
        <f>IFERROR(VLOOKUP(D341,Products!A:F,4,0),"")</f>
        <v>2405</v>
      </c>
      <c r="Q341" t="b">
        <f>IFERROR(VLOOKUP(D341,Products!A:F,6,0),"")</f>
        <v>1</v>
      </c>
      <c r="R341">
        <f t="shared" si="15"/>
        <v>0.54878048780487809</v>
      </c>
      <c r="S341">
        <f t="shared" si="16"/>
        <v>1</v>
      </c>
      <c r="T341">
        <f>IF(AND(S341&gt;1,COUNTIF($A$2:A341,A341)=1),1,0)</f>
        <v>0</v>
      </c>
      <c r="U341">
        <f>COUNTIF(Customers!$A$2:$A$301,C341)</f>
        <v>1</v>
      </c>
      <c r="V341">
        <f t="shared" si="17"/>
        <v>0</v>
      </c>
    </row>
    <row r="342" spans="1:22" ht="14.25" customHeight="1" x14ac:dyDescent="0.35">
      <c r="A342" s="10" t="s">
        <v>692</v>
      </c>
      <c r="B342" s="11">
        <v>45341</v>
      </c>
      <c r="C342" s="10" t="s">
        <v>693</v>
      </c>
      <c r="D342" s="10" t="s">
        <v>66</v>
      </c>
      <c r="E342" s="10" t="s">
        <v>307</v>
      </c>
      <c r="F342" s="12">
        <v>3</v>
      </c>
      <c r="G342" s="12">
        <v>3660</v>
      </c>
      <c r="H342" s="12">
        <v>25.3</v>
      </c>
      <c r="I342" s="12">
        <v>8202.06</v>
      </c>
      <c r="J342" s="10" t="s">
        <v>51</v>
      </c>
      <c r="K342" s="10" t="s">
        <v>76</v>
      </c>
      <c r="L342" t="str">
        <f>IFERROR(VLOOKUP(D342,Products!A:F,3,0),"")</f>
        <v>Grocery</v>
      </c>
      <c r="M342" t="str">
        <f>IFERROR(VLOOKUP(E342,Sales_Reps!A:E,3,0),"")</f>
        <v>West</v>
      </c>
      <c r="N342" t="str">
        <f>IFERROR(VLOOKUP(C342,Customers!A:F,5,0),"")</f>
        <v>Retail</v>
      </c>
      <c r="O342">
        <f>IFERROR(VLOOKUP(C342,Customers!A:F,3,0),"")</f>
        <v>56</v>
      </c>
      <c r="P342">
        <f>IFERROR(VLOOKUP(D342,Products!A:F,4,0),"")</f>
        <v>2214</v>
      </c>
      <c r="Q342" t="b">
        <f>IFERROR(VLOOKUP(D342,Products!A:F,6,0),"")</f>
        <v>0</v>
      </c>
      <c r="R342">
        <f t="shared" si="15"/>
        <v>0.39508196721311473</v>
      </c>
      <c r="S342">
        <f t="shared" si="16"/>
        <v>1</v>
      </c>
      <c r="T342">
        <f>IF(AND(S342&gt;1,COUNTIF($A$2:A342,A342)=1),1,0)</f>
        <v>0</v>
      </c>
      <c r="U342">
        <f>COUNTIF(Customers!$A$2:$A$301,C342)</f>
        <v>1</v>
      </c>
      <c r="V342">
        <f t="shared" si="17"/>
        <v>0</v>
      </c>
    </row>
    <row r="343" spans="1:22" ht="14.25" customHeight="1" x14ac:dyDescent="0.35">
      <c r="A343" s="10" t="s">
        <v>694</v>
      </c>
      <c r="B343" s="11">
        <v>45600</v>
      </c>
      <c r="C343" s="10" t="s">
        <v>637</v>
      </c>
      <c r="D343" s="10" t="s">
        <v>146</v>
      </c>
      <c r="E343" s="10" t="s">
        <v>152</v>
      </c>
      <c r="F343" s="12">
        <v>2</v>
      </c>
      <c r="G343" s="12">
        <v>1010</v>
      </c>
      <c r="H343" s="12">
        <v>29.2</v>
      </c>
      <c r="I343" s="12">
        <v>1430.16</v>
      </c>
      <c r="J343" s="10" t="s">
        <v>51</v>
      </c>
      <c r="K343" s="10" t="s">
        <v>76</v>
      </c>
      <c r="L343" t="str">
        <f>IFERROR(VLOOKUP(D343,Products!A:F,3,0),"")</f>
        <v>Sports</v>
      </c>
      <c r="M343" t="str">
        <f>IFERROR(VLOOKUP(E343,Sales_Reps!A:E,3,0),"")</f>
        <v>South</v>
      </c>
      <c r="N343" t="str">
        <f>IFERROR(VLOOKUP(C343,Customers!A:F,5,0),"")</f>
        <v>Retail</v>
      </c>
      <c r="O343">
        <f>IFERROR(VLOOKUP(C343,Customers!A:F,3,0),"")</f>
        <v>35</v>
      </c>
      <c r="P343">
        <f>IFERROR(VLOOKUP(D343,Products!A:F,4,0),"")</f>
        <v>516</v>
      </c>
      <c r="Q343" t="b">
        <f>IFERROR(VLOOKUP(D343,Products!A:F,6,0),"")</f>
        <v>1</v>
      </c>
      <c r="R343">
        <f t="shared" si="15"/>
        <v>0.4891089108910891</v>
      </c>
      <c r="S343">
        <f t="shared" si="16"/>
        <v>1</v>
      </c>
      <c r="T343">
        <f>IF(AND(S343&gt;1,COUNTIF($A$2:A343,A343)=1),1,0)</f>
        <v>0</v>
      </c>
      <c r="U343">
        <f>COUNTIF(Customers!$A$2:$A$301,C343)</f>
        <v>1</v>
      </c>
      <c r="V343">
        <f t="shared" si="17"/>
        <v>0</v>
      </c>
    </row>
    <row r="344" spans="1:22" ht="14.25" customHeight="1" x14ac:dyDescent="0.35">
      <c r="A344" s="10" t="s">
        <v>695</v>
      </c>
      <c r="B344" s="11">
        <v>45506</v>
      </c>
      <c r="C344" s="10" t="s">
        <v>559</v>
      </c>
      <c r="D344" s="10" t="s">
        <v>128</v>
      </c>
      <c r="E344" s="10" t="s">
        <v>152</v>
      </c>
      <c r="F344" s="12">
        <v>1</v>
      </c>
      <c r="G344" s="12">
        <v>1080</v>
      </c>
      <c r="H344" s="12">
        <v>1.8</v>
      </c>
      <c r="I344" s="12">
        <v>1060.56</v>
      </c>
      <c r="J344" s="10" t="s">
        <v>51</v>
      </c>
      <c r="K344" s="10" t="s">
        <v>63</v>
      </c>
      <c r="L344" t="str">
        <f>IFERROR(VLOOKUP(D344,Products!A:F,3,0),"")</f>
        <v>Home</v>
      </c>
      <c r="M344" t="str">
        <f>IFERROR(VLOOKUP(E344,Sales_Reps!A:E,3,0),"")</f>
        <v>South</v>
      </c>
      <c r="N344" t="str">
        <f>IFERROR(VLOOKUP(C344,Customers!A:F,5,0),"")</f>
        <v>SMB</v>
      </c>
      <c r="O344">
        <f>IFERROR(VLOOKUP(C344,Customers!A:F,3,0),"")</f>
        <v>48</v>
      </c>
      <c r="P344">
        <f>IFERROR(VLOOKUP(D344,Products!A:F,4,0),"")</f>
        <v>519</v>
      </c>
      <c r="Q344" t="b">
        <f>IFERROR(VLOOKUP(D344,Products!A:F,6,0),"")</f>
        <v>1</v>
      </c>
      <c r="R344">
        <f t="shared" si="15"/>
        <v>0.51944444444444449</v>
      </c>
      <c r="S344">
        <f t="shared" si="16"/>
        <v>1</v>
      </c>
      <c r="T344">
        <f>IF(AND(S344&gt;1,COUNTIF($A$2:A344,A344)=1),1,0)</f>
        <v>0</v>
      </c>
      <c r="U344">
        <f>COUNTIF(Customers!$A$2:$A$301,C344)</f>
        <v>1</v>
      </c>
      <c r="V344">
        <f t="shared" si="17"/>
        <v>0</v>
      </c>
    </row>
    <row r="345" spans="1:22" ht="14.25" customHeight="1" x14ac:dyDescent="0.35">
      <c r="A345" s="10" t="s">
        <v>696</v>
      </c>
      <c r="B345" s="11">
        <v>45414</v>
      </c>
      <c r="C345" s="10" t="s">
        <v>377</v>
      </c>
      <c r="D345" s="10" t="s">
        <v>125</v>
      </c>
      <c r="E345" s="10" t="s">
        <v>96</v>
      </c>
      <c r="F345" s="12">
        <v>8</v>
      </c>
      <c r="G345" s="12">
        <v>3450</v>
      </c>
      <c r="H345" s="12">
        <v>20.399999999999999</v>
      </c>
      <c r="I345" s="12">
        <v>21969.599999999999</v>
      </c>
      <c r="J345" s="10" t="s">
        <v>51</v>
      </c>
      <c r="K345" s="10" t="s">
        <v>52</v>
      </c>
      <c r="L345" t="str">
        <f>IFERROR(VLOOKUP(D345,Products!A:F,3,0),"")</f>
        <v>Sports</v>
      </c>
      <c r="M345" t="str">
        <f>IFERROR(VLOOKUP(E345,Sales_Reps!A:E,3,0),"")</f>
        <v>South</v>
      </c>
      <c r="N345" t="str">
        <f>IFERROR(VLOOKUP(C345,Customers!A:F,5,0),"")</f>
        <v>Retail</v>
      </c>
      <c r="O345">
        <f>IFERROR(VLOOKUP(C345,Customers!A:F,3,0),"")</f>
        <v>22</v>
      </c>
      <c r="P345">
        <f>IFERROR(VLOOKUP(D345,Products!A:F,4,0),"")</f>
        <v>2467</v>
      </c>
      <c r="Q345" t="b">
        <f>IFERROR(VLOOKUP(D345,Products!A:F,6,0),"")</f>
        <v>1</v>
      </c>
      <c r="R345">
        <f t="shared" si="15"/>
        <v>0.28492753623188405</v>
      </c>
      <c r="S345">
        <f t="shared" si="16"/>
        <v>1</v>
      </c>
      <c r="T345">
        <f>IF(AND(S345&gt;1,COUNTIF($A$2:A345,A345)=1),1,0)</f>
        <v>0</v>
      </c>
      <c r="U345">
        <f>COUNTIF(Customers!$A$2:$A$301,C345)</f>
        <v>1</v>
      </c>
      <c r="V345">
        <f t="shared" si="17"/>
        <v>0</v>
      </c>
    </row>
    <row r="346" spans="1:22" ht="14.25" customHeight="1" x14ac:dyDescent="0.35">
      <c r="A346" s="10" t="s">
        <v>697</v>
      </c>
      <c r="B346" s="11">
        <v>45553</v>
      </c>
      <c r="C346" s="10" t="s">
        <v>335</v>
      </c>
      <c r="D346" s="10" t="s">
        <v>479</v>
      </c>
      <c r="E346" s="10" t="s">
        <v>152</v>
      </c>
      <c r="F346" s="12">
        <v>8</v>
      </c>
      <c r="G346" s="12">
        <v>6940</v>
      </c>
      <c r="H346" s="12">
        <v>19.399999999999999</v>
      </c>
      <c r="I346" s="12">
        <v>44749.120000000003</v>
      </c>
      <c r="J346" s="10" t="s">
        <v>51</v>
      </c>
      <c r="K346" s="10" t="s">
        <v>76</v>
      </c>
      <c r="L346" t="str">
        <f>IFERROR(VLOOKUP(D346,Products!A:F,3,0),"")</f>
        <v>Sports</v>
      </c>
      <c r="M346" t="str">
        <f>IFERROR(VLOOKUP(E346,Sales_Reps!A:E,3,0),"")</f>
        <v>South</v>
      </c>
      <c r="N346" t="str">
        <f>IFERROR(VLOOKUP(C346,Customers!A:F,5,0),"")</f>
        <v>Retail</v>
      </c>
      <c r="O346">
        <f>IFERROR(VLOOKUP(C346,Customers!A:F,3,0),"")</f>
        <v>42</v>
      </c>
      <c r="P346">
        <f>IFERROR(VLOOKUP(D346,Products!A:F,4,0),"")</f>
        <v>2827</v>
      </c>
      <c r="Q346" t="b">
        <f>IFERROR(VLOOKUP(D346,Products!A:F,6,0),"")</f>
        <v>1</v>
      </c>
      <c r="R346">
        <f t="shared" si="15"/>
        <v>0.5926512968299712</v>
      </c>
      <c r="S346">
        <f t="shared" si="16"/>
        <v>2</v>
      </c>
      <c r="T346">
        <f>IF(AND(S346&gt;1,COUNTIF($A$2:A346,A346)=1),1,0)</f>
        <v>1</v>
      </c>
      <c r="U346">
        <f>COUNTIF(Customers!$A$2:$A$301,C346)</f>
        <v>1</v>
      </c>
      <c r="V346">
        <f t="shared" si="17"/>
        <v>0</v>
      </c>
    </row>
    <row r="347" spans="1:22" ht="14.25" customHeight="1" x14ac:dyDescent="0.35">
      <c r="A347" s="10" t="s">
        <v>698</v>
      </c>
      <c r="B347" s="11">
        <v>45434</v>
      </c>
      <c r="C347" s="10" t="s">
        <v>699</v>
      </c>
      <c r="D347" s="10" t="s">
        <v>223</v>
      </c>
      <c r="E347" s="10" t="s">
        <v>112</v>
      </c>
      <c r="F347" s="12">
        <v>2</v>
      </c>
      <c r="G347" s="12">
        <v>1540</v>
      </c>
      <c r="H347" s="12">
        <v>9.3000000000000007</v>
      </c>
      <c r="I347" s="12">
        <v>2793.56</v>
      </c>
      <c r="J347" s="10" t="s">
        <v>51</v>
      </c>
      <c r="K347" s="10" t="s">
        <v>52</v>
      </c>
      <c r="L347" t="str">
        <f>IFERROR(VLOOKUP(D347,Products!A:F,3,0),"")</f>
        <v>Beauty</v>
      </c>
      <c r="M347" t="str">
        <f>IFERROR(VLOOKUP(E347,Sales_Reps!A:E,3,0),"")</f>
        <v>North</v>
      </c>
      <c r="N347" t="str">
        <f>IFERROR(VLOOKUP(C347,Customers!A:F,5,0),"")</f>
        <v>Retail</v>
      </c>
      <c r="O347">
        <f>IFERROR(VLOOKUP(C347,Customers!A:F,3,0),"")</f>
        <v>54</v>
      </c>
      <c r="P347">
        <f>IFERROR(VLOOKUP(D347,Products!A:F,4,0),"")</f>
        <v>647</v>
      </c>
      <c r="Q347" t="b">
        <f>IFERROR(VLOOKUP(D347,Products!A:F,6,0),"")</f>
        <v>0</v>
      </c>
      <c r="R347">
        <f t="shared" si="15"/>
        <v>0.57987012987012987</v>
      </c>
      <c r="S347">
        <f t="shared" si="16"/>
        <v>1</v>
      </c>
      <c r="T347">
        <f>IF(AND(S347&gt;1,COUNTIF($A$2:A347,A347)=1),1,0)</f>
        <v>0</v>
      </c>
      <c r="U347">
        <f>COUNTIF(Customers!$A$2:$A$301,C347)</f>
        <v>1</v>
      </c>
      <c r="V347">
        <f t="shared" si="17"/>
        <v>0</v>
      </c>
    </row>
    <row r="348" spans="1:22" ht="14.25" customHeight="1" x14ac:dyDescent="0.35">
      <c r="A348" s="10" t="s">
        <v>700</v>
      </c>
      <c r="B348" s="11">
        <v>45446</v>
      </c>
      <c r="C348" s="10" t="s">
        <v>161</v>
      </c>
      <c r="D348" s="10" t="s">
        <v>99</v>
      </c>
      <c r="E348" s="10" t="s">
        <v>152</v>
      </c>
      <c r="F348" s="12">
        <v>4</v>
      </c>
      <c r="G348" s="12">
        <v>2640</v>
      </c>
      <c r="H348" s="12">
        <v>23.2</v>
      </c>
      <c r="I348" s="12">
        <v>8110.08</v>
      </c>
      <c r="J348" s="10" t="s">
        <v>108</v>
      </c>
      <c r="K348" s="10" t="s">
        <v>52</v>
      </c>
      <c r="L348" t="str">
        <f>IFERROR(VLOOKUP(D348,Products!A:F,3,0),"")</f>
        <v>Electronics</v>
      </c>
      <c r="M348" t="str">
        <f>IFERROR(VLOOKUP(E348,Sales_Reps!A:E,3,0),"")</f>
        <v>South</v>
      </c>
      <c r="N348" t="str">
        <f>IFERROR(VLOOKUP(C348,Customers!A:F,5,0),"")</f>
        <v>Corporate</v>
      </c>
      <c r="O348">
        <f>IFERROR(VLOOKUP(C348,Customers!A:F,3,0),"")</f>
        <v>47</v>
      </c>
      <c r="P348">
        <f>IFERROR(VLOOKUP(D348,Products!A:F,4,0),"")</f>
        <v>1149</v>
      </c>
      <c r="Q348" t="b">
        <f>IFERROR(VLOOKUP(D348,Products!A:F,6,0),"")</f>
        <v>1</v>
      </c>
      <c r="R348">
        <f t="shared" si="15"/>
        <v>0.56477272727272732</v>
      </c>
      <c r="S348">
        <f t="shared" si="16"/>
        <v>1</v>
      </c>
      <c r="T348">
        <f>IF(AND(S348&gt;1,COUNTIF($A$2:A348,A348)=1),1,0)</f>
        <v>0</v>
      </c>
      <c r="U348">
        <f>COUNTIF(Customers!$A$2:$A$301,C348)</f>
        <v>1</v>
      </c>
      <c r="V348">
        <f t="shared" si="17"/>
        <v>0</v>
      </c>
    </row>
    <row r="349" spans="1:22" ht="14.25" customHeight="1" x14ac:dyDescent="0.35">
      <c r="A349" s="10" t="s">
        <v>701</v>
      </c>
      <c r="B349" s="11">
        <v>45626</v>
      </c>
      <c r="C349" s="10" t="s">
        <v>702</v>
      </c>
      <c r="D349" s="10" t="s">
        <v>324</v>
      </c>
      <c r="E349" s="10" t="s">
        <v>80</v>
      </c>
      <c r="F349" s="12">
        <v>6</v>
      </c>
      <c r="G349" s="12">
        <v>5410</v>
      </c>
      <c r="H349" s="12">
        <v>29.4</v>
      </c>
      <c r="I349" s="12">
        <v>22916.76</v>
      </c>
      <c r="J349" s="10" t="s">
        <v>51</v>
      </c>
      <c r="K349" s="10" t="s">
        <v>52</v>
      </c>
      <c r="L349" t="str">
        <f>IFERROR(VLOOKUP(D349,Products!A:F,3,0),"")</f>
        <v>Sports</v>
      </c>
      <c r="M349" t="str">
        <f>IFERROR(VLOOKUP(E349,Sales_Reps!A:E,3,0),"")</f>
        <v>West</v>
      </c>
      <c r="N349" t="str">
        <f>IFERROR(VLOOKUP(C349,Customers!A:F,5,0),"")</f>
        <v>Retail</v>
      </c>
      <c r="O349">
        <f>IFERROR(VLOOKUP(C349,Customers!A:F,3,0),"")</f>
        <v>36</v>
      </c>
      <c r="P349">
        <f>IFERROR(VLOOKUP(D349,Products!A:F,4,0),"")</f>
        <v>2265</v>
      </c>
      <c r="Q349" t="b">
        <f>IFERROR(VLOOKUP(D349,Products!A:F,6,0),"")</f>
        <v>1</v>
      </c>
      <c r="R349">
        <f t="shared" si="15"/>
        <v>0.58133086876155271</v>
      </c>
      <c r="S349">
        <f t="shared" si="16"/>
        <v>1</v>
      </c>
      <c r="T349">
        <f>IF(AND(S349&gt;1,COUNTIF($A$2:A349,A349)=1),1,0)</f>
        <v>0</v>
      </c>
      <c r="U349">
        <f>COUNTIF(Customers!$A$2:$A$301,C349)</f>
        <v>1</v>
      </c>
      <c r="V349">
        <f t="shared" si="17"/>
        <v>0</v>
      </c>
    </row>
    <row r="350" spans="1:22" ht="14.25" customHeight="1" x14ac:dyDescent="0.35">
      <c r="A350" s="10" t="s">
        <v>703</v>
      </c>
      <c r="B350" s="11">
        <v>45459</v>
      </c>
      <c r="C350" s="10" t="s">
        <v>321</v>
      </c>
      <c r="D350" s="10" t="s">
        <v>151</v>
      </c>
      <c r="E350" s="10" t="s">
        <v>307</v>
      </c>
      <c r="F350" s="12">
        <v>1</v>
      </c>
      <c r="G350" s="12">
        <v>3570</v>
      </c>
      <c r="H350" s="12">
        <v>4.3</v>
      </c>
      <c r="I350" s="12">
        <v>3416.49</v>
      </c>
      <c r="J350" s="10" t="s">
        <v>51</v>
      </c>
      <c r="K350" s="10" t="s">
        <v>63</v>
      </c>
      <c r="L350" t="str">
        <f>IFERROR(VLOOKUP(D350,Products!A:F,3,0),"")</f>
        <v>Electronics</v>
      </c>
      <c r="M350" t="str">
        <f>IFERROR(VLOOKUP(E350,Sales_Reps!A:E,3,0),"")</f>
        <v>West</v>
      </c>
      <c r="N350" t="str">
        <f>IFERROR(VLOOKUP(C350,Customers!A:F,5,0),"")</f>
        <v>SMB</v>
      </c>
      <c r="O350">
        <f>IFERROR(VLOOKUP(C350,Customers!A:F,3,0),"")</f>
        <v>38</v>
      </c>
      <c r="P350">
        <f>IFERROR(VLOOKUP(D350,Products!A:F,4,0),"")</f>
        <v>1665</v>
      </c>
      <c r="Q350" t="b">
        <f>IFERROR(VLOOKUP(D350,Products!A:F,6,0),"")</f>
        <v>1</v>
      </c>
      <c r="R350">
        <f t="shared" si="15"/>
        <v>0.53361344537815125</v>
      </c>
      <c r="S350">
        <f t="shared" si="16"/>
        <v>1</v>
      </c>
      <c r="T350">
        <f>IF(AND(S350&gt;1,COUNTIF($A$2:A350,A350)=1),1,0)</f>
        <v>0</v>
      </c>
      <c r="U350">
        <f>COUNTIF(Customers!$A$2:$A$301,C350)</f>
        <v>1</v>
      </c>
      <c r="V350">
        <f t="shared" si="17"/>
        <v>0</v>
      </c>
    </row>
    <row r="351" spans="1:22" ht="14.25" customHeight="1" x14ac:dyDescent="0.35">
      <c r="A351" s="10" t="s">
        <v>704</v>
      </c>
      <c r="B351" s="11">
        <v>45520</v>
      </c>
      <c r="C351" s="10" t="s">
        <v>705</v>
      </c>
      <c r="D351" s="10" t="s">
        <v>74</v>
      </c>
      <c r="E351" s="10" t="s">
        <v>92</v>
      </c>
      <c r="F351" s="12">
        <v>2</v>
      </c>
      <c r="G351" s="12">
        <v>370</v>
      </c>
      <c r="H351" s="12">
        <v>7.2</v>
      </c>
      <c r="I351" s="12">
        <v>686.72</v>
      </c>
      <c r="J351" s="10" t="s">
        <v>51</v>
      </c>
      <c r="K351" s="10" t="s">
        <v>97</v>
      </c>
      <c r="L351" t="str">
        <f>IFERROR(VLOOKUP(D351,Products!A:F,3,0),"")</f>
        <v>Home</v>
      </c>
      <c r="M351" t="str">
        <f>IFERROR(VLOOKUP(E351,Sales_Reps!A:E,3,0),"")</f>
        <v>West</v>
      </c>
      <c r="N351" t="str">
        <f>IFERROR(VLOOKUP(C351,Customers!A:F,5,0),"")</f>
        <v>SMB</v>
      </c>
      <c r="O351">
        <f>IFERROR(VLOOKUP(C351,Customers!A:F,3,0),"")</f>
        <v>29</v>
      </c>
      <c r="P351">
        <f>IFERROR(VLOOKUP(D351,Products!A:F,4,0),"")</f>
        <v>288</v>
      </c>
      <c r="Q351" t="b">
        <f>IFERROR(VLOOKUP(D351,Products!A:F,6,0),"")</f>
        <v>1</v>
      </c>
      <c r="R351">
        <f t="shared" si="15"/>
        <v>0.22162162162162163</v>
      </c>
      <c r="S351">
        <f t="shared" si="16"/>
        <v>1</v>
      </c>
      <c r="T351">
        <f>IF(AND(S351&gt;1,COUNTIF($A$2:A351,A351)=1),1,0)</f>
        <v>0</v>
      </c>
      <c r="U351">
        <f>COUNTIF(Customers!$A$2:$A$301,C351)</f>
        <v>1</v>
      </c>
      <c r="V351">
        <f t="shared" si="17"/>
        <v>0</v>
      </c>
    </row>
    <row r="352" spans="1:22" ht="14.25" customHeight="1" x14ac:dyDescent="0.35">
      <c r="A352" s="10" t="s">
        <v>706</v>
      </c>
      <c r="B352" s="11">
        <v>45314</v>
      </c>
      <c r="C352" s="10" t="s">
        <v>561</v>
      </c>
      <c r="D352" s="10" t="s">
        <v>319</v>
      </c>
      <c r="E352" s="10" t="s">
        <v>202</v>
      </c>
      <c r="F352" s="12">
        <v>1</v>
      </c>
      <c r="G352" s="12">
        <v>2510</v>
      </c>
      <c r="H352" s="12">
        <v>2.4</v>
      </c>
      <c r="I352" s="12">
        <v>2449.7600000000002</v>
      </c>
      <c r="J352" s="10" t="s">
        <v>51</v>
      </c>
      <c r="K352" s="10" t="s">
        <v>76</v>
      </c>
      <c r="L352" t="str">
        <f>IFERROR(VLOOKUP(D352,Products!A:F,3,0),"")</f>
        <v>Apparel</v>
      </c>
      <c r="M352" t="str">
        <f>IFERROR(VLOOKUP(E352,Sales_Reps!A:E,3,0),"")</f>
        <v>East</v>
      </c>
      <c r="N352" t="str">
        <f>IFERROR(VLOOKUP(C352,Customers!A:F,5,0),"")</f>
        <v>Retail</v>
      </c>
      <c r="O352">
        <f>IFERROR(VLOOKUP(C352,Customers!A:F,3,0),"")</f>
        <v>39</v>
      </c>
      <c r="P352">
        <f>IFERROR(VLOOKUP(D352,Products!A:F,4,0),"")</f>
        <v>1075</v>
      </c>
      <c r="Q352" t="b">
        <f>IFERROR(VLOOKUP(D352,Products!A:F,6,0),"")</f>
        <v>0</v>
      </c>
      <c r="R352">
        <f t="shared" si="15"/>
        <v>0.57171314741035861</v>
      </c>
      <c r="S352">
        <f t="shared" si="16"/>
        <v>1</v>
      </c>
      <c r="T352">
        <f>IF(AND(S352&gt;1,COUNTIF($A$2:A352,A352)=1),1,0)</f>
        <v>0</v>
      </c>
      <c r="U352">
        <f>COUNTIF(Customers!$A$2:$A$301,C352)</f>
        <v>1</v>
      </c>
      <c r="V352">
        <f t="shared" si="17"/>
        <v>0</v>
      </c>
    </row>
    <row r="353" spans="1:22" ht="14.25" customHeight="1" x14ac:dyDescent="0.35">
      <c r="A353" s="10" t="s">
        <v>707</v>
      </c>
      <c r="B353" s="11">
        <v>45480</v>
      </c>
      <c r="C353" s="10" t="s">
        <v>708</v>
      </c>
      <c r="D353" s="10" t="s">
        <v>201</v>
      </c>
      <c r="E353" s="10" t="s">
        <v>249</v>
      </c>
      <c r="F353" s="12">
        <v>8</v>
      </c>
      <c r="G353" s="12">
        <v>3640</v>
      </c>
      <c r="H353" s="12">
        <v>28.7</v>
      </c>
      <c r="I353" s="12">
        <v>20762.560000000001</v>
      </c>
      <c r="J353" s="10" t="s">
        <v>57</v>
      </c>
      <c r="K353" s="10" t="s">
        <v>97</v>
      </c>
      <c r="L353" t="str">
        <f>IFERROR(VLOOKUP(D353,Products!A:F,3,0),"")</f>
        <v>Apparel</v>
      </c>
      <c r="M353" t="str">
        <f>IFERROR(VLOOKUP(E353,Sales_Reps!A:E,3,0),"")</f>
        <v>East</v>
      </c>
      <c r="N353" t="str">
        <f>IFERROR(VLOOKUP(C353,Customers!A:F,5,0),"")</f>
        <v>Retail</v>
      </c>
      <c r="O353">
        <f>IFERROR(VLOOKUP(C353,Customers!A:F,3,0),"")</f>
        <v>64</v>
      </c>
      <c r="P353">
        <f>IFERROR(VLOOKUP(D353,Products!A:F,4,0),"")</f>
        <v>2611</v>
      </c>
      <c r="Q353" t="b">
        <f>IFERROR(VLOOKUP(D353,Products!A:F,6,0),"")</f>
        <v>1</v>
      </c>
      <c r="R353">
        <f t="shared" si="15"/>
        <v>0.28269230769230769</v>
      </c>
      <c r="S353">
        <f t="shared" si="16"/>
        <v>1</v>
      </c>
      <c r="T353">
        <f>IF(AND(S353&gt;1,COUNTIF($A$2:A353,A353)=1),1,0)</f>
        <v>0</v>
      </c>
      <c r="U353">
        <f>COUNTIF(Customers!$A$2:$A$301,C353)</f>
        <v>1</v>
      </c>
      <c r="V353">
        <f t="shared" si="17"/>
        <v>0</v>
      </c>
    </row>
    <row r="354" spans="1:22" ht="14.25" customHeight="1" x14ac:dyDescent="0.35">
      <c r="A354" s="10" t="s">
        <v>709</v>
      </c>
      <c r="B354" s="11">
        <v>45520</v>
      </c>
      <c r="C354" s="10" t="s">
        <v>150</v>
      </c>
      <c r="D354" s="10" t="s">
        <v>140</v>
      </c>
      <c r="E354" s="10" t="s">
        <v>193</v>
      </c>
      <c r="F354" s="12">
        <v>5</v>
      </c>
      <c r="G354" s="12">
        <v>1650</v>
      </c>
      <c r="H354" s="12">
        <v>13.4</v>
      </c>
      <c r="I354" s="12">
        <v>7144.5</v>
      </c>
      <c r="J354" s="10" t="s">
        <v>57</v>
      </c>
      <c r="K354" s="10" t="s">
        <v>58</v>
      </c>
      <c r="L354" t="str">
        <f>IFERROR(VLOOKUP(D354,Products!A:F,3,0),"")</f>
        <v>Beauty</v>
      </c>
      <c r="M354" t="str">
        <f>IFERROR(VLOOKUP(E354,Sales_Reps!A:E,3,0),"")</f>
        <v>West</v>
      </c>
      <c r="N354" t="str">
        <f>IFERROR(VLOOKUP(C354,Customers!A:F,5,0),"")</f>
        <v>SMB</v>
      </c>
      <c r="O354">
        <f>IFERROR(VLOOKUP(C354,Customers!A:F,3,0),"")</f>
        <v>52</v>
      </c>
      <c r="P354">
        <f>IFERROR(VLOOKUP(D354,Products!A:F,4,0),"")</f>
        <v>1222</v>
      </c>
      <c r="Q354" t="b">
        <f>IFERROR(VLOOKUP(D354,Products!A:F,6,0),"")</f>
        <v>1</v>
      </c>
      <c r="R354">
        <f t="shared" si="15"/>
        <v>0.2593939393939394</v>
      </c>
      <c r="S354">
        <f t="shared" si="16"/>
        <v>1</v>
      </c>
      <c r="T354">
        <f>IF(AND(S354&gt;1,COUNTIF($A$2:A354,A354)=1),1,0)</f>
        <v>0</v>
      </c>
      <c r="U354">
        <f>COUNTIF(Customers!$A$2:$A$301,C354)</f>
        <v>1</v>
      </c>
      <c r="V354">
        <f t="shared" si="17"/>
        <v>0</v>
      </c>
    </row>
    <row r="355" spans="1:22" ht="14.25" customHeight="1" x14ac:dyDescent="0.35">
      <c r="A355" s="10" t="s">
        <v>710</v>
      </c>
      <c r="B355" s="11">
        <v>45360</v>
      </c>
      <c r="C355" s="10" t="s">
        <v>317</v>
      </c>
      <c r="D355" s="10" t="s">
        <v>344</v>
      </c>
      <c r="E355" s="10" t="s">
        <v>80</v>
      </c>
      <c r="F355" s="12">
        <v>9</v>
      </c>
      <c r="G355" s="12">
        <v>960</v>
      </c>
      <c r="H355" s="12">
        <v>28.6</v>
      </c>
      <c r="I355" s="12">
        <v>6168.96</v>
      </c>
      <c r="J355" s="10" t="s">
        <v>57</v>
      </c>
      <c r="K355" s="10" t="s">
        <v>58</v>
      </c>
      <c r="L355" t="str">
        <f>IFERROR(VLOOKUP(D355,Products!A:F,3,0),"")</f>
        <v>Beauty</v>
      </c>
      <c r="M355" t="str">
        <f>IFERROR(VLOOKUP(E355,Sales_Reps!A:E,3,0),"")</f>
        <v>West</v>
      </c>
      <c r="N355" t="str">
        <f>IFERROR(VLOOKUP(C355,Customers!A:F,5,0),"")</f>
        <v>Retail</v>
      </c>
      <c r="O355">
        <f>IFERROR(VLOOKUP(C355,Customers!A:F,3,0),"")</f>
        <v>60</v>
      </c>
      <c r="P355">
        <f>IFERROR(VLOOKUP(D355,Products!A:F,4,0),"")</f>
        <v>675</v>
      </c>
      <c r="Q355" t="b">
        <f>IFERROR(VLOOKUP(D355,Products!A:F,6,0),"")</f>
        <v>1</v>
      </c>
      <c r="R355">
        <f t="shared" si="15"/>
        <v>0.296875</v>
      </c>
      <c r="S355">
        <f t="shared" si="16"/>
        <v>1</v>
      </c>
      <c r="T355">
        <f>IF(AND(S355&gt;1,COUNTIF($A$2:A355,A355)=1),1,0)</f>
        <v>0</v>
      </c>
      <c r="U355">
        <f>COUNTIF(Customers!$A$2:$A$301,C355)</f>
        <v>1</v>
      </c>
      <c r="V355">
        <f t="shared" si="17"/>
        <v>0</v>
      </c>
    </row>
    <row r="356" spans="1:22" ht="14.25" customHeight="1" x14ac:dyDescent="0.35">
      <c r="A356" s="10" t="s">
        <v>711</v>
      </c>
      <c r="B356" s="11">
        <v>45486</v>
      </c>
      <c r="C356" s="10" t="s">
        <v>195</v>
      </c>
      <c r="D356" s="10" t="s">
        <v>198</v>
      </c>
      <c r="E356" s="10" t="s">
        <v>122</v>
      </c>
      <c r="F356" s="12">
        <v>4</v>
      </c>
      <c r="G356" s="12">
        <v>3780</v>
      </c>
      <c r="H356" s="12">
        <v>25.3</v>
      </c>
      <c r="I356" s="12">
        <v>11294.64</v>
      </c>
      <c r="J356" s="10" t="s">
        <v>51</v>
      </c>
      <c r="K356" s="10" t="s">
        <v>81</v>
      </c>
      <c r="L356" t="str">
        <f>IFERROR(VLOOKUP(D356,Products!A:F,3,0),"")</f>
        <v>Grocery</v>
      </c>
      <c r="M356" t="str">
        <f>IFERROR(VLOOKUP(E356,Sales_Reps!A:E,3,0),"")</f>
        <v>East</v>
      </c>
      <c r="N356" t="str">
        <f>IFERROR(VLOOKUP(C356,Customers!A:F,5,0),"")</f>
        <v>SMB</v>
      </c>
      <c r="O356">
        <f>IFERROR(VLOOKUP(C356,Customers!A:F,3,0),"")</f>
        <v>64</v>
      </c>
      <c r="P356">
        <f>IFERROR(VLOOKUP(D356,Products!A:F,4,0),"")</f>
        <v>2436</v>
      </c>
      <c r="Q356" t="b">
        <f>IFERROR(VLOOKUP(D356,Products!A:F,6,0),"")</f>
        <v>1</v>
      </c>
      <c r="R356">
        <f t="shared" si="15"/>
        <v>0.35555555555555557</v>
      </c>
      <c r="S356">
        <f t="shared" si="16"/>
        <v>1</v>
      </c>
      <c r="T356">
        <f>IF(AND(S356&gt;1,COUNTIF($A$2:A356,A356)=1),1,0)</f>
        <v>0</v>
      </c>
      <c r="U356">
        <f>COUNTIF(Customers!$A$2:$A$301,C356)</f>
        <v>1</v>
      </c>
      <c r="V356">
        <f t="shared" si="17"/>
        <v>11294.64</v>
      </c>
    </row>
    <row r="357" spans="1:22" ht="14.25" customHeight="1" x14ac:dyDescent="0.35">
      <c r="A357" s="10" t="s">
        <v>712</v>
      </c>
      <c r="B357" s="11">
        <v>45544</v>
      </c>
      <c r="C357" s="10" t="s">
        <v>150</v>
      </c>
      <c r="D357" s="10" t="s">
        <v>140</v>
      </c>
      <c r="E357" s="10" t="s">
        <v>62</v>
      </c>
      <c r="F357" s="12">
        <v>4</v>
      </c>
      <c r="G357" s="12">
        <v>1650</v>
      </c>
      <c r="H357" s="12">
        <v>13.7</v>
      </c>
      <c r="I357" s="12">
        <v>5695.8</v>
      </c>
      <c r="J357" s="10" t="s">
        <v>104</v>
      </c>
      <c r="K357" s="10" t="s">
        <v>58</v>
      </c>
      <c r="L357" t="str">
        <f>IFERROR(VLOOKUP(D357,Products!A:F,3,0),"")</f>
        <v>Beauty</v>
      </c>
      <c r="M357" t="str">
        <f>IFERROR(VLOOKUP(E357,Sales_Reps!A:E,3,0),"")</f>
        <v>South</v>
      </c>
      <c r="N357" t="str">
        <f>IFERROR(VLOOKUP(C357,Customers!A:F,5,0),"")</f>
        <v>SMB</v>
      </c>
      <c r="O357">
        <f>IFERROR(VLOOKUP(C357,Customers!A:F,3,0),"")</f>
        <v>52</v>
      </c>
      <c r="P357">
        <f>IFERROR(VLOOKUP(D357,Products!A:F,4,0),"")</f>
        <v>1222</v>
      </c>
      <c r="Q357" t="b">
        <f>IFERROR(VLOOKUP(D357,Products!A:F,6,0),"")</f>
        <v>1</v>
      </c>
      <c r="R357">
        <f t="shared" si="15"/>
        <v>0.2593939393939394</v>
      </c>
      <c r="S357">
        <f t="shared" si="16"/>
        <v>1</v>
      </c>
      <c r="T357">
        <f>IF(AND(S357&gt;1,COUNTIF($A$2:A357,A357)=1),1,0)</f>
        <v>0</v>
      </c>
      <c r="U357">
        <f>COUNTIF(Customers!$A$2:$A$301,C357)</f>
        <v>1</v>
      </c>
      <c r="V357">
        <f t="shared" si="17"/>
        <v>0</v>
      </c>
    </row>
    <row r="358" spans="1:22" ht="14.25" customHeight="1" x14ac:dyDescent="0.35">
      <c r="A358" s="10" t="s">
        <v>713</v>
      </c>
      <c r="B358" s="11">
        <v>45580</v>
      </c>
      <c r="C358" s="10" t="s">
        <v>503</v>
      </c>
      <c r="D358" s="10" t="s">
        <v>49</v>
      </c>
      <c r="E358" s="10" t="s">
        <v>289</v>
      </c>
      <c r="F358" s="12">
        <v>6</v>
      </c>
      <c r="G358" s="12">
        <v>3620</v>
      </c>
      <c r="H358" s="12">
        <v>21.3</v>
      </c>
      <c r="I358" s="12">
        <v>17093.64</v>
      </c>
      <c r="J358" s="10" t="s">
        <v>57</v>
      </c>
      <c r="K358" s="10" t="s">
        <v>97</v>
      </c>
      <c r="L358" t="str">
        <f>IFERROR(VLOOKUP(D358,Products!A:F,3,0),"")</f>
        <v>Apparel</v>
      </c>
      <c r="M358" t="str">
        <f>IFERROR(VLOOKUP(E358,Sales_Reps!A:E,3,0),"")</f>
        <v>South</v>
      </c>
      <c r="N358" t="str">
        <f>IFERROR(VLOOKUP(C358,Customers!A:F,5,0),"")</f>
        <v>Retail</v>
      </c>
      <c r="O358">
        <f>IFERROR(VLOOKUP(C358,Customers!A:F,3,0),"")</f>
        <v>38</v>
      </c>
      <c r="P358">
        <f>IFERROR(VLOOKUP(D358,Products!A:F,4,0),"")</f>
        <v>2509</v>
      </c>
      <c r="Q358" t="b">
        <f>IFERROR(VLOOKUP(D358,Products!A:F,6,0),"")</f>
        <v>1</v>
      </c>
      <c r="R358">
        <f t="shared" si="15"/>
        <v>0.3069060773480663</v>
      </c>
      <c r="S358">
        <f t="shared" si="16"/>
        <v>1</v>
      </c>
      <c r="T358">
        <f>IF(AND(S358&gt;1,COUNTIF($A$2:A358,A358)=1),1,0)</f>
        <v>0</v>
      </c>
      <c r="U358">
        <f>COUNTIF(Customers!$A$2:$A$301,C358)</f>
        <v>1</v>
      </c>
      <c r="V358">
        <f t="shared" si="17"/>
        <v>0</v>
      </c>
    </row>
    <row r="359" spans="1:22" ht="14.25" customHeight="1" x14ac:dyDescent="0.35">
      <c r="A359" s="10" t="s">
        <v>714</v>
      </c>
      <c r="B359" s="11">
        <v>45312</v>
      </c>
      <c r="C359" s="10" t="s">
        <v>438</v>
      </c>
      <c r="D359" s="10" t="s">
        <v>209</v>
      </c>
      <c r="E359" s="10" t="s">
        <v>134</v>
      </c>
      <c r="F359" s="12">
        <v>10</v>
      </c>
      <c r="G359" s="12">
        <v>2270</v>
      </c>
      <c r="H359" s="12">
        <v>17.7</v>
      </c>
      <c r="I359" s="12">
        <v>18682.099999999999</v>
      </c>
      <c r="J359" s="10" t="s">
        <v>51</v>
      </c>
      <c r="K359" s="10" t="s">
        <v>63</v>
      </c>
      <c r="L359" t="str">
        <f>IFERROR(VLOOKUP(D359,Products!A:F,3,0),"")</f>
        <v>Grocery</v>
      </c>
      <c r="M359" t="str">
        <f>IFERROR(VLOOKUP(E359,Sales_Reps!A:E,3,0),"")</f>
        <v>West</v>
      </c>
      <c r="N359" t="str">
        <f>IFERROR(VLOOKUP(C359,Customers!A:F,5,0),"")</f>
        <v>SMB</v>
      </c>
      <c r="O359">
        <f>IFERROR(VLOOKUP(C359,Customers!A:F,3,0),"")</f>
        <v>59</v>
      </c>
      <c r="P359">
        <f>IFERROR(VLOOKUP(D359,Products!A:F,4,0),"")</f>
        <v>1412</v>
      </c>
      <c r="Q359" t="b">
        <f>IFERROR(VLOOKUP(D359,Products!A:F,6,0),"")</f>
        <v>1</v>
      </c>
      <c r="R359">
        <f t="shared" si="15"/>
        <v>0.37797356828193834</v>
      </c>
      <c r="S359">
        <f t="shared" si="16"/>
        <v>1</v>
      </c>
      <c r="T359">
        <f>IF(AND(S359&gt;1,COUNTIF($A$2:A359,A359)=1),1,0)</f>
        <v>0</v>
      </c>
      <c r="U359">
        <f>COUNTIF(Customers!$A$2:$A$301,C359)</f>
        <v>1</v>
      </c>
      <c r="V359">
        <f t="shared" si="17"/>
        <v>0</v>
      </c>
    </row>
    <row r="360" spans="1:22" ht="14.25" customHeight="1" x14ac:dyDescent="0.35">
      <c r="A360" s="10" t="s">
        <v>715</v>
      </c>
      <c r="B360" s="11">
        <v>45447</v>
      </c>
      <c r="C360" s="10" t="s">
        <v>716</v>
      </c>
      <c r="D360" s="10" t="s">
        <v>223</v>
      </c>
      <c r="E360" s="10" t="s">
        <v>216</v>
      </c>
      <c r="F360" s="12">
        <v>9</v>
      </c>
      <c r="G360" s="12">
        <v>1540</v>
      </c>
      <c r="H360" s="12">
        <v>10.7</v>
      </c>
      <c r="I360" s="12">
        <v>12376.98</v>
      </c>
      <c r="J360" s="10" t="s">
        <v>51</v>
      </c>
      <c r="K360" s="10" t="s">
        <v>81</v>
      </c>
      <c r="L360" t="str">
        <f>IFERROR(VLOOKUP(D360,Products!A:F,3,0),"")</f>
        <v>Beauty</v>
      </c>
      <c r="M360" t="str">
        <f>IFERROR(VLOOKUP(E360,Sales_Reps!A:E,3,0),"")</f>
        <v>South</v>
      </c>
      <c r="N360" t="str">
        <f>IFERROR(VLOOKUP(C360,Customers!A:F,5,0),"")</f>
        <v>Retail</v>
      </c>
      <c r="O360">
        <f>IFERROR(VLOOKUP(C360,Customers!A:F,3,0),"")</f>
        <v>32</v>
      </c>
      <c r="P360">
        <f>IFERROR(VLOOKUP(D360,Products!A:F,4,0),"")</f>
        <v>647</v>
      </c>
      <c r="Q360" t="b">
        <f>IFERROR(VLOOKUP(D360,Products!A:F,6,0),"")</f>
        <v>0</v>
      </c>
      <c r="R360">
        <f t="shared" si="15"/>
        <v>0.57987012987012987</v>
      </c>
      <c r="S360">
        <f t="shared" si="16"/>
        <v>1</v>
      </c>
      <c r="T360">
        <f>IF(AND(S360&gt;1,COUNTIF($A$2:A360,A360)=1),1,0)</f>
        <v>0</v>
      </c>
      <c r="U360">
        <f>COUNTIF(Customers!$A$2:$A$301,C360)</f>
        <v>1</v>
      </c>
      <c r="V360">
        <f t="shared" si="17"/>
        <v>0</v>
      </c>
    </row>
    <row r="361" spans="1:22" ht="14.25" customHeight="1" x14ac:dyDescent="0.35">
      <c r="A361" s="10" t="s">
        <v>717</v>
      </c>
      <c r="B361" s="11">
        <v>45607</v>
      </c>
      <c r="C361" s="10" t="s">
        <v>172</v>
      </c>
      <c r="D361" s="10" t="s">
        <v>159</v>
      </c>
      <c r="E361" s="10" t="s">
        <v>122</v>
      </c>
      <c r="F361" s="12">
        <v>9</v>
      </c>
      <c r="G361" s="12">
        <v>2860</v>
      </c>
      <c r="H361" s="12">
        <v>12.9</v>
      </c>
      <c r="I361" s="12">
        <v>22419.54</v>
      </c>
      <c r="J361" s="10" t="s">
        <v>51</v>
      </c>
      <c r="K361" s="10" t="s">
        <v>97</v>
      </c>
      <c r="L361" t="str">
        <f>IFERROR(VLOOKUP(D361,Products!A:F,3,0),"")</f>
        <v>Sports</v>
      </c>
      <c r="M361" t="str">
        <f>IFERROR(VLOOKUP(E361,Sales_Reps!A:E,3,0),"")</f>
        <v>East</v>
      </c>
      <c r="N361" t="str">
        <f>IFERROR(VLOOKUP(C361,Customers!A:F,5,0),"")</f>
        <v>Retail</v>
      </c>
      <c r="O361">
        <f>IFERROR(VLOOKUP(C361,Customers!A:F,3,0),"")</f>
        <v>26</v>
      </c>
      <c r="P361">
        <f>IFERROR(VLOOKUP(D361,Products!A:F,4,0),"")</f>
        <v>2028</v>
      </c>
      <c r="Q361" t="b">
        <f>IFERROR(VLOOKUP(D361,Products!A:F,6,0),"")</f>
        <v>1</v>
      </c>
      <c r="R361">
        <f t="shared" si="15"/>
        <v>0.29090909090909089</v>
      </c>
      <c r="S361">
        <f t="shared" si="16"/>
        <v>1</v>
      </c>
      <c r="T361">
        <f>IF(AND(S361&gt;1,COUNTIF($A$2:A361,A361)=1),1,0)</f>
        <v>0</v>
      </c>
      <c r="U361">
        <f>COUNTIF(Customers!$A$2:$A$301,C361)</f>
        <v>1</v>
      </c>
      <c r="V361">
        <f t="shared" si="17"/>
        <v>0</v>
      </c>
    </row>
    <row r="362" spans="1:22" ht="14.25" customHeight="1" x14ac:dyDescent="0.35">
      <c r="A362" s="10" t="s">
        <v>718</v>
      </c>
      <c r="B362" s="11">
        <v>45379</v>
      </c>
      <c r="C362" s="10" t="s">
        <v>664</v>
      </c>
      <c r="D362" s="10" t="s">
        <v>302</v>
      </c>
      <c r="E362" s="10" t="s">
        <v>310</v>
      </c>
      <c r="F362" s="12">
        <v>5</v>
      </c>
      <c r="G362" s="12">
        <v>2210</v>
      </c>
      <c r="H362" s="12">
        <v>5.0999999999999996</v>
      </c>
      <c r="I362" s="12">
        <v>10486.45</v>
      </c>
      <c r="J362" s="10" t="s">
        <v>51</v>
      </c>
      <c r="K362" s="10" t="s">
        <v>58</v>
      </c>
      <c r="L362" t="str">
        <f>IFERROR(VLOOKUP(D362,Products!A:F,3,0),"")</f>
        <v>Grocery</v>
      </c>
      <c r="M362" t="str">
        <f>IFERROR(VLOOKUP(E362,Sales_Reps!A:E,3,0),"")</f>
        <v>South</v>
      </c>
      <c r="N362" t="str">
        <f>IFERROR(VLOOKUP(C362,Customers!A:F,5,0),"")</f>
        <v>SMB</v>
      </c>
      <c r="O362">
        <f>IFERROR(VLOOKUP(C362,Customers!A:F,3,0),"")</f>
        <v>46</v>
      </c>
      <c r="P362">
        <f>IFERROR(VLOOKUP(D362,Products!A:F,4,0),"")</f>
        <v>1010</v>
      </c>
      <c r="Q362" t="b">
        <f>IFERROR(VLOOKUP(D362,Products!A:F,6,0),"")</f>
        <v>1</v>
      </c>
      <c r="R362">
        <f t="shared" si="15"/>
        <v>0.54298642533936647</v>
      </c>
      <c r="S362">
        <f t="shared" si="16"/>
        <v>1</v>
      </c>
      <c r="T362">
        <f>IF(AND(S362&gt;1,COUNTIF($A$2:A362,A362)=1),1,0)</f>
        <v>0</v>
      </c>
      <c r="U362">
        <f>COUNTIF(Customers!$A$2:$A$301,C362)</f>
        <v>1</v>
      </c>
      <c r="V362">
        <f t="shared" si="17"/>
        <v>0</v>
      </c>
    </row>
    <row r="363" spans="1:22" ht="14.25" customHeight="1" x14ac:dyDescent="0.35">
      <c r="A363" s="10" t="s">
        <v>719</v>
      </c>
      <c r="B363" s="11">
        <v>45591</v>
      </c>
      <c r="C363" s="10" t="s">
        <v>342</v>
      </c>
      <c r="D363" s="10" t="s">
        <v>231</v>
      </c>
      <c r="E363" s="10" t="s">
        <v>193</v>
      </c>
      <c r="F363" s="12">
        <v>1</v>
      </c>
      <c r="G363" s="12">
        <v>1220</v>
      </c>
      <c r="H363" s="12">
        <v>16.100000000000001</v>
      </c>
      <c r="I363" s="12">
        <v>1023.58</v>
      </c>
      <c r="J363" s="10" t="s">
        <v>51</v>
      </c>
      <c r="K363" s="10" t="s">
        <v>58</v>
      </c>
      <c r="L363" t="str">
        <f>IFERROR(VLOOKUP(D363,Products!A:F,3,0),"")</f>
        <v>Electronics</v>
      </c>
      <c r="M363" t="str">
        <f>IFERROR(VLOOKUP(E363,Sales_Reps!A:E,3,0),"")</f>
        <v>West</v>
      </c>
      <c r="N363" t="str">
        <f>IFERROR(VLOOKUP(C363,Customers!A:F,5,0),"")</f>
        <v>SMB</v>
      </c>
      <c r="O363">
        <f>IFERROR(VLOOKUP(C363,Customers!A:F,3,0),"")</f>
        <v>53</v>
      </c>
      <c r="P363">
        <f>IFERROR(VLOOKUP(D363,Products!A:F,4,0),"")</f>
        <v>517</v>
      </c>
      <c r="Q363" t="b">
        <f>IFERROR(VLOOKUP(D363,Products!A:F,6,0),"")</f>
        <v>1</v>
      </c>
      <c r="R363">
        <f t="shared" si="15"/>
        <v>0.57622950819672136</v>
      </c>
      <c r="S363">
        <f t="shared" si="16"/>
        <v>1</v>
      </c>
      <c r="T363">
        <f>IF(AND(S363&gt;1,COUNTIF($A$2:A363,A363)=1),1,0)</f>
        <v>0</v>
      </c>
      <c r="U363">
        <f>COUNTIF(Customers!$A$2:$A$301,C363)</f>
        <v>1</v>
      </c>
      <c r="V363">
        <f t="shared" si="17"/>
        <v>0</v>
      </c>
    </row>
    <row r="364" spans="1:22" ht="14.25" customHeight="1" x14ac:dyDescent="0.35">
      <c r="A364" s="10" t="s">
        <v>720</v>
      </c>
      <c r="B364" s="11">
        <v>45561</v>
      </c>
      <c r="C364" s="10" t="s">
        <v>721</v>
      </c>
      <c r="D364" s="10" t="s">
        <v>151</v>
      </c>
      <c r="E364" s="10" t="s">
        <v>67</v>
      </c>
      <c r="F364" s="12">
        <v>2</v>
      </c>
      <c r="G364" s="12">
        <v>3570</v>
      </c>
      <c r="H364" s="12">
        <v>1.1000000000000001</v>
      </c>
      <c r="I364" s="12">
        <v>7061.46</v>
      </c>
      <c r="J364" s="10" t="s">
        <v>51</v>
      </c>
      <c r="K364" s="10" t="s">
        <v>81</v>
      </c>
      <c r="L364" t="str">
        <f>IFERROR(VLOOKUP(D364,Products!A:F,3,0),"")</f>
        <v>Electronics</v>
      </c>
      <c r="M364" t="str">
        <f>IFERROR(VLOOKUP(E364,Sales_Reps!A:E,3,0),"")</f>
        <v>North</v>
      </c>
      <c r="N364" t="str">
        <f>IFERROR(VLOOKUP(C364,Customers!A:F,5,0),"")</f>
        <v>Corporate</v>
      </c>
      <c r="O364">
        <f>IFERROR(VLOOKUP(C364,Customers!A:F,3,0),"")</f>
        <v>43</v>
      </c>
      <c r="P364">
        <f>IFERROR(VLOOKUP(D364,Products!A:F,4,0),"")</f>
        <v>1665</v>
      </c>
      <c r="Q364" t="b">
        <f>IFERROR(VLOOKUP(D364,Products!A:F,6,0),"")</f>
        <v>1</v>
      </c>
      <c r="R364">
        <f t="shared" si="15"/>
        <v>0.53361344537815125</v>
      </c>
      <c r="S364">
        <f t="shared" si="16"/>
        <v>1</v>
      </c>
      <c r="T364">
        <f>IF(AND(S364&gt;1,COUNTIF($A$2:A364,A364)=1),1,0)</f>
        <v>0</v>
      </c>
      <c r="U364">
        <f>COUNTIF(Customers!$A$2:$A$301,C364)</f>
        <v>1</v>
      </c>
      <c r="V364">
        <f t="shared" si="17"/>
        <v>0</v>
      </c>
    </row>
    <row r="365" spans="1:22" ht="14.25" customHeight="1" x14ac:dyDescent="0.35">
      <c r="A365" s="10" t="s">
        <v>722</v>
      </c>
      <c r="B365" s="11">
        <v>45308</v>
      </c>
      <c r="C365" s="10" t="s">
        <v>723</v>
      </c>
      <c r="D365" s="10" t="s">
        <v>416</v>
      </c>
      <c r="E365" s="10" t="s">
        <v>310</v>
      </c>
      <c r="F365" s="12">
        <v>10</v>
      </c>
      <c r="G365" s="12">
        <v>3450</v>
      </c>
      <c r="H365" s="12">
        <v>12.6</v>
      </c>
      <c r="I365" s="12">
        <v>30153</v>
      </c>
      <c r="J365" s="10" t="s">
        <v>51</v>
      </c>
      <c r="K365" s="10" t="s">
        <v>81</v>
      </c>
      <c r="L365" t="str">
        <f>IFERROR(VLOOKUP(D365,Products!A:F,3,0),"")</f>
        <v>Apparel</v>
      </c>
      <c r="M365" t="str">
        <f>IFERROR(VLOOKUP(E365,Sales_Reps!A:E,3,0),"")</f>
        <v>South</v>
      </c>
      <c r="N365" t="str">
        <f>IFERROR(VLOOKUP(C365,Customers!A:F,5,0),"")</f>
        <v>Retail</v>
      </c>
      <c r="O365">
        <f>IFERROR(VLOOKUP(C365,Customers!A:F,3,0),"")</f>
        <v>29</v>
      </c>
      <c r="P365">
        <f>IFERROR(VLOOKUP(D365,Products!A:F,4,0),"")</f>
        <v>1748</v>
      </c>
      <c r="Q365" t="b">
        <f>IFERROR(VLOOKUP(D365,Products!A:F,6,0),"")</f>
        <v>1</v>
      </c>
      <c r="R365">
        <f t="shared" si="15"/>
        <v>0.49333333333333335</v>
      </c>
      <c r="S365">
        <f t="shared" si="16"/>
        <v>1</v>
      </c>
      <c r="T365">
        <f>IF(AND(S365&gt;1,COUNTIF($A$2:A365,A365)=1),1,0)</f>
        <v>0</v>
      </c>
      <c r="U365">
        <f>COUNTIF(Customers!$A$2:$A$301,C365)</f>
        <v>1</v>
      </c>
      <c r="V365">
        <f t="shared" si="17"/>
        <v>0</v>
      </c>
    </row>
    <row r="366" spans="1:22" ht="14.25" customHeight="1" x14ac:dyDescent="0.35">
      <c r="A366" s="10" t="s">
        <v>724</v>
      </c>
      <c r="B366" s="11">
        <v>45563</v>
      </c>
      <c r="C366" s="10" t="s">
        <v>702</v>
      </c>
      <c r="D366" s="10" t="s">
        <v>302</v>
      </c>
      <c r="E366" s="10" t="s">
        <v>122</v>
      </c>
      <c r="F366" s="12">
        <v>4</v>
      </c>
      <c r="G366" s="12">
        <v>2210</v>
      </c>
      <c r="H366" s="12">
        <v>5.4</v>
      </c>
      <c r="I366" s="12">
        <v>8362.64</v>
      </c>
      <c r="J366" s="10" t="s">
        <v>51</v>
      </c>
      <c r="K366" s="10" t="s">
        <v>52</v>
      </c>
      <c r="L366" t="str">
        <f>IFERROR(VLOOKUP(D366,Products!A:F,3,0),"")</f>
        <v>Grocery</v>
      </c>
      <c r="M366" t="str">
        <f>IFERROR(VLOOKUP(E366,Sales_Reps!A:E,3,0),"")</f>
        <v>East</v>
      </c>
      <c r="N366" t="str">
        <f>IFERROR(VLOOKUP(C366,Customers!A:F,5,0),"")</f>
        <v>Retail</v>
      </c>
      <c r="O366">
        <f>IFERROR(VLOOKUP(C366,Customers!A:F,3,0),"")</f>
        <v>36</v>
      </c>
      <c r="P366">
        <f>IFERROR(VLOOKUP(D366,Products!A:F,4,0),"")</f>
        <v>1010</v>
      </c>
      <c r="Q366" t="b">
        <f>IFERROR(VLOOKUP(D366,Products!A:F,6,0),"")</f>
        <v>1</v>
      </c>
      <c r="R366">
        <f t="shared" si="15"/>
        <v>0.54298642533936647</v>
      </c>
      <c r="S366">
        <f t="shared" si="16"/>
        <v>1</v>
      </c>
      <c r="T366">
        <f>IF(AND(S366&gt;1,COUNTIF($A$2:A366,A366)=1),1,0)</f>
        <v>0</v>
      </c>
      <c r="U366">
        <f>COUNTIF(Customers!$A$2:$A$301,C366)</f>
        <v>1</v>
      </c>
      <c r="V366">
        <f t="shared" si="17"/>
        <v>0</v>
      </c>
    </row>
    <row r="367" spans="1:22" ht="14.25" customHeight="1" x14ac:dyDescent="0.35">
      <c r="A367" s="10" t="s">
        <v>725</v>
      </c>
      <c r="B367" s="11">
        <v>45476</v>
      </c>
      <c r="C367" s="10" t="s">
        <v>726</v>
      </c>
      <c r="D367" s="10" t="s">
        <v>466</v>
      </c>
      <c r="E367" s="10" t="s">
        <v>62</v>
      </c>
      <c r="F367" s="12">
        <v>6</v>
      </c>
      <c r="G367" s="12">
        <v>1090</v>
      </c>
      <c r="H367" s="12">
        <v>2.9</v>
      </c>
      <c r="I367" s="12">
        <v>6350.34</v>
      </c>
      <c r="J367" s="10" t="s">
        <v>104</v>
      </c>
      <c r="K367" s="10" t="s">
        <v>97</v>
      </c>
      <c r="L367" t="str">
        <f>IFERROR(VLOOKUP(D367,Products!A:F,3,0),"")</f>
        <v>Home</v>
      </c>
      <c r="M367" t="str">
        <f>IFERROR(VLOOKUP(E367,Sales_Reps!A:E,3,0),"")</f>
        <v>South</v>
      </c>
      <c r="N367" t="str">
        <f>IFERROR(VLOOKUP(C367,Customers!A:F,5,0),"")</f>
        <v>Retail</v>
      </c>
      <c r="O367">
        <f>IFERROR(VLOOKUP(C367,Customers!A:F,3,0),"")</f>
        <v>52</v>
      </c>
      <c r="P367">
        <f>IFERROR(VLOOKUP(D367,Products!A:F,4,0),"")</f>
        <v>464</v>
      </c>
      <c r="Q367" t="b">
        <f>IFERROR(VLOOKUP(D367,Products!A:F,6,0),"")</f>
        <v>1</v>
      </c>
      <c r="R367">
        <f t="shared" si="15"/>
        <v>0.57431192660550456</v>
      </c>
      <c r="S367">
        <f t="shared" si="16"/>
        <v>1</v>
      </c>
      <c r="T367">
        <f>IF(AND(S367&gt;1,COUNTIF($A$2:A367,A367)=1),1,0)</f>
        <v>0</v>
      </c>
      <c r="U367">
        <f>COUNTIF(Customers!$A$2:$A$301,C367)</f>
        <v>1</v>
      </c>
      <c r="V367">
        <f t="shared" si="17"/>
        <v>0</v>
      </c>
    </row>
    <row r="368" spans="1:22" ht="14.25" customHeight="1" x14ac:dyDescent="0.35">
      <c r="A368" s="10" t="s">
        <v>727</v>
      </c>
      <c r="B368" s="11">
        <v>45364</v>
      </c>
      <c r="C368" s="10" t="s">
        <v>728</v>
      </c>
      <c r="D368" s="10" t="s">
        <v>223</v>
      </c>
      <c r="E368" s="10" t="s">
        <v>202</v>
      </c>
      <c r="F368" s="12">
        <v>8</v>
      </c>
      <c r="G368" s="12">
        <v>1540</v>
      </c>
      <c r="H368" s="12">
        <v>17.899999999999999</v>
      </c>
      <c r="I368" s="12">
        <v>10114.719999999999</v>
      </c>
      <c r="J368" s="10" t="s">
        <v>57</v>
      </c>
      <c r="K368" s="10" t="s">
        <v>58</v>
      </c>
      <c r="L368" t="str">
        <f>IFERROR(VLOOKUP(D368,Products!A:F,3,0),"")</f>
        <v>Beauty</v>
      </c>
      <c r="M368" t="str">
        <f>IFERROR(VLOOKUP(E368,Sales_Reps!A:E,3,0),"")</f>
        <v>East</v>
      </c>
      <c r="N368" t="str">
        <f>IFERROR(VLOOKUP(C368,Customers!A:F,5,0),"")</f>
        <v>SMB</v>
      </c>
      <c r="O368">
        <f>IFERROR(VLOOKUP(C368,Customers!A:F,3,0),"")</f>
        <v>26</v>
      </c>
      <c r="P368">
        <f>IFERROR(VLOOKUP(D368,Products!A:F,4,0),"")</f>
        <v>647</v>
      </c>
      <c r="Q368" t="b">
        <f>IFERROR(VLOOKUP(D368,Products!A:F,6,0),"")</f>
        <v>0</v>
      </c>
      <c r="R368">
        <f t="shared" si="15"/>
        <v>0.57987012987012987</v>
      </c>
      <c r="S368">
        <f t="shared" si="16"/>
        <v>1</v>
      </c>
      <c r="T368">
        <f>IF(AND(S368&gt;1,COUNTIF($A$2:A368,A368)=1),1,0)</f>
        <v>0</v>
      </c>
      <c r="U368">
        <f>COUNTIF(Customers!$A$2:$A$301,C368)</f>
        <v>1</v>
      </c>
      <c r="V368">
        <f t="shared" si="17"/>
        <v>0</v>
      </c>
    </row>
    <row r="369" spans="1:22" ht="14.25" customHeight="1" x14ac:dyDescent="0.35">
      <c r="A369" s="10" t="s">
        <v>729</v>
      </c>
      <c r="B369" s="11">
        <v>45371</v>
      </c>
      <c r="C369" s="10" t="s">
        <v>449</v>
      </c>
      <c r="D369" s="10" t="s">
        <v>102</v>
      </c>
      <c r="E369" s="10" t="s">
        <v>92</v>
      </c>
      <c r="F369" s="12">
        <v>9</v>
      </c>
      <c r="G369" s="12">
        <v>2600</v>
      </c>
      <c r="H369" s="12">
        <v>4.0999999999999996</v>
      </c>
      <c r="I369" s="12">
        <v>22440.6</v>
      </c>
      <c r="J369" s="10" t="s">
        <v>51</v>
      </c>
      <c r="K369" s="10" t="s">
        <v>52</v>
      </c>
      <c r="L369" t="str">
        <f>IFERROR(VLOOKUP(D369,Products!A:F,3,0),"")</f>
        <v>Electronics</v>
      </c>
      <c r="M369" t="str">
        <f>IFERROR(VLOOKUP(E369,Sales_Reps!A:E,3,0),"")</f>
        <v>West</v>
      </c>
      <c r="N369" t="str">
        <f>IFERROR(VLOOKUP(C369,Customers!A:F,5,0),"")</f>
        <v>Retail</v>
      </c>
      <c r="O369">
        <f>IFERROR(VLOOKUP(C369,Customers!A:F,3,0),"")</f>
        <v>49</v>
      </c>
      <c r="P369">
        <f>IFERROR(VLOOKUP(D369,Products!A:F,4,0),"")</f>
        <v>1052</v>
      </c>
      <c r="Q369" t="b">
        <f>IFERROR(VLOOKUP(D369,Products!A:F,6,0),"")</f>
        <v>1</v>
      </c>
      <c r="R369">
        <f t="shared" si="15"/>
        <v>0.5953846153846154</v>
      </c>
      <c r="S369">
        <f t="shared" si="16"/>
        <v>1</v>
      </c>
      <c r="T369">
        <f>IF(AND(S369&gt;1,COUNTIF($A$2:A369,A369)=1),1,0)</f>
        <v>0</v>
      </c>
      <c r="U369">
        <f>COUNTIF(Customers!$A$2:$A$301,C369)</f>
        <v>1</v>
      </c>
      <c r="V369">
        <f t="shared" si="17"/>
        <v>0</v>
      </c>
    </row>
    <row r="370" spans="1:22" ht="14.25" customHeight="1" x14ac:dyDescent="0.35">
      <c r="A370" s="10" t="s">
        <v>730</v>
      </c>
      <c r="B370" s="11">
        <v>45623</v>
      </c>
      <c r="C370" s="10" t="s">
        <v>644</v>
      </c>
      <c r="D370" s="10" t="s">
        <v>111</v>
      </c>
      <c r="E370" s="10" t="s">
        <v>50</v>
      </c>
      <c r="F370" s="12">
        <v>2</v>
      </c>
      <c r="G370" s="12">
        <v>190</v>
      </c>
      <c r="H370" s="12">
        <v>4.8</v>
      </c>
      <c r="I370" s="12">
        <v>361.76</v>
      </c>
      <c r="J370" s="10" t="s">
        <v>51</v>
      </c>
      <c r="K370" s="10" t="s">
        <v>58</v>
      </c>
      <c r="L370" t="str">
        <f>IFERROR(VLOOKUP(D370,Products!A:F,3,0),"")</f>
        <v>Sports</v>
      </c>
      <c r="M370" t="str">
        <f>IFERROR(VLOOKUP(E370,Sales_Reps!A:E,3,0),"")</f>
        <v>North</v>
      </c>
      <c r="N370" t="str">
        <f>IFERROR(VLOOKUP(C370,Customers!A:F,5,0),"")</f>
        <v>Retail</v>
      </c>
      <c r="O370">
        <f>IFERROR(VLOOKUP(C370,Customers!A:F,3,0),"")</f>
        <v>26</v>
      </c>
      <c r="P370">
        <f>IFERROR(VLOOKUP(D370,Products!A:F,4,0),"")</f>
        <v>147</v>
      </c>
      <c r="Q370" t="b">
        <f>IFERROR(VLOOKUP(D370,Products!A:F,6,0),"")</f>
        <v>1</v>
      </c>
      <c r="R370">
        <f t="shared" si="15"/>
        <v>0.22631578947368422</v>
      </c>
      <c r="S370">
        <f t="shared" si="16"/>
        <v>1</v>
      </c>
      <c r="T370">
        <f>IF(AND(S370&gt;1,COUNTIF($A$2:A370,A370)=1),1,0)</f>
        <v>0</v>
      </c>
      <c r="U370">
        <f>COUNTIF(Customers!$A$2:$A$301,C370)</f>
        <v>1</v>
      </c>
      <c r="V370">
        <f t="shared" si="17"/>
        <v>0</v>
      </c>
    </row>
    <row r="371" spans="1:22" ht="14.25" customHeight="1" x14ac:dyDescent="0.35">
      <c r="A371" s="10" t="s">
        <v>731</v>
      </c>
      <c r="B371" s="11">
        <v>45441</v>
      </c>
      <c r="C371" s="10" t="s">
        <v>732</v>
      </c>
      <c r="D371" s="10" t="s">
        <v>131</v>
      </c>
      <c r="E371" s="10" t="s">
        <v>62</v>
      </c>
      <c r="F371" s="12">
        <v>9</v>
      </c>
      <c r="G371" s="12">
        <v>2480</v>
      </c>
      <c r="H371" s="12">
        <v>28.3</v>
      </c>
      <c r="I371" s="12">
        <v>16003.44</v>
      </c>
      <c r="J371" s="10" t="s">
        <v>51</v>
      </c>
      <c r="K371" s="10" t="s">
        <v>52</v>
      </c>
      <c r="L371" t="str">
        <f>IFERROR(VLOOKUP(D371,Products!A:F,3,0),"")</f>
        <v>Apparel</v>
      </c>
      <c r="M371" t="str">
        <f>IFERROR(VLOOKUP(E371,Sales_Reps!A:E,3,0),"")</f>
        <v>South</v>
      </c>
      <c r="N371" t="str">
        <f>IFERROR(VLOOKUP(C371,Customers!A:F,5,0),"")</f>
        <v>Corporate</v>
      </c>
      <c r="O371">
        <f>IFERROR(VLOOKUP(C371,Customers!A:F,3,0),"")</f>
        <v>42</v>
      </c>
      <c r="P371">
        <f>IFERROR(VLOOKUP(D371,Products!A:F,4,0),"")</f>
        <v>1173</v>
      </c>
      <c r="Q371" t="b">
        <f>IFERROR(VLOOKUP(D371,Products!A:F,6,0),"")</f>
        <v>1</v>
      </c>
      <c r="R371">
        <f t="shared" si="15"/>
        <v>0.52701612903225803</v>
      </c>
      <c r="S371">
        <f t="shared" si="16"/>
        <v>1</v>
      </c>
      <c r="T371">
        <f>IF(AND(S371&gt;1,COUNTIF($A$2:A371,A371)=1),1,0)</f>
        <v>0</v>
      </c>
      <c r="U371">
        <f>COUNTIF(Customers!$A$2:$A$301,C371)</f>
        <v>1</v>
      </c>
      <c r="V371">
        <f t="shared" si="17"/>
        <v>0</v>
      </c>
    </row>
    <row r="372" spans="1:22" ht="14.25" customHeight="1" x14ac:dyDescent="0.35">
      <c r="A372" s="10" t="s">
        <v>733</v>
      </c>
      <c r="B372" s="11">
        <v>45442</v>
      </c>
      <c r="C372" s="10" t="s">
        <v>734</v>
      </c>
      <c r="D372" s="10" t="s">
        <v>350</v>
      </c>
      <c r="E372" s="10" t="s">
        <v>67</v>
      </c>
      <c r="F372" s="12">
        <v>7</v>
      </c>
      <c r="G372" s="12">
        <v>2290</v>
      </c>
      <c r="H372" s="12">
        <v>25</v>
      </c>
      <c r="I372" s="12">
        <v>12022.5</v>
      </c>
      <c r="J372" s="10" t="s">
        <v>104</v>
      </c>
      <c r="K372" s="10" t="s">
        <v>52</v>
      </c>
      <c r="L372" t="str">
        <f>IFERROR(VLOOKUP(D372,Products!A:F,3,0),"")</f>
        <v>Beauty</v>
      </c>
      <c r="M372" t="str">
        <f>IFERROR(VLOOKUP(E372,Sales_Reps!A:E,3,0),"")</f>
        <v>North</v>
      </c>
      <c r="N372" t="str">
        <f>IFERROR(VLOOKUP(C372,Customers!A:F,5,0),"")</f>
        <v>Retail</v>
      </c>
      <c r="O372">
        <f>IFERROR(VLOOKUP(C372,Customers!A:F,3,0),"")</f>
        <v>35</v>
      </c>
      <c r="P372">
        <f>IFERROR(VLOOKUP(D372,Products!A:F,4,0),"")</f>
        <v>1219</v>
      </c>
      <c r="Q372" t="b">
        <f>IFERROR(VLOOKUP(D372,Products!A:F,6,0),"")</f>
        <v>1</v>
      </c>
      <c r="R372">
        <f t="shared" si="15"/>
        <v>0.46768558951965067</v>
      </c>
      <c r="S372">
        <f t="shared" si="16"/>
        <v>1</v>
      </c>
      <c r="T372">
        <f>IF(AND(S372&gt;1,COUNTIF($A$2:A372,A372)=1),1,0)</f>
        <v>0</v>
      </c>
      <c r="U372">
        <f>COUNTIF(Customers!$A$2:$A$301,C372)</f>
        <v>1</v>
      </c>
      <c r="V372">
        <f t="shared" si="17"/>
        <v>0</v>
      </c>
    </row>
    <row r="373" spans="1:22" ht="14.25" customHeight="1" x14ac:dyDescent="0.35">
      <c r="A373" s="10" t="s">
        <v>735</v>
      </c>
      <c r="B373" s="11">
        <v>45567</v>
      </c>
      <c r="C373" s="10" t="s">
        <v>200</v>
      </c>
      <c r="D373" s="10" t="s">
        <v>223</v>
      </c>
      <c r="E373" s="10" t="s">
        <v>152</v>
      </c>
      <c r="F373" s="12">
        <v>9</v>
      </c>
      <c r="G373" s="12">
        <v>1540</v>
      </c>
      <c r="H373" s="12">
        <v>23.3</v>
      </c>
      <c r="I373" s="12">
        <v>10630.62</v>
      </c>
      <c r="J373" s="10" t="s">
        <v>51</v>
      </c>
      <c r="K373" s="10" t="s">
        <v>97</v>
      </c>
      <c r="L373" t="str">
        <f>IFERROR(VLOOKUP(D373,Products!A:F,3,0),"")</f>
        <v>Beauty</v>
      </c>
      <c r="M373" t="str">
        <f>IFERROR(VLOOKUP(E373,Sales_Reps!A:E,3,0),"")</f>
        <v>South</v>
      </c>
      <c r="N373" t="str">
        <f>IFERROR(VLOOKUP(C373,Customers!A:F,5,0),"")</f>
        <v>Retail</v>
      </c>
      <c r="O373">
        <f>IFERROR(VLOOKUP(C373,Customers!A:F,3,0),"")</f>
        <v>64</v>
      </c>
      <c r="P373">
        <f>IFERROR(VLOOKUP(D373,Products!A:F,4,0),"")</f>
        <v>647</v>
      </c>
      <c r="Q373" t="b">
        <f>IFERROR(VLOOKUP(D373,Products!A:F,6,0),"")</f>
        <v>0</v>
      </c>
      <c r="R373">
        <f t="shared" si="15"/>
        <v>0.57987012987012987</v>
      </c>
      <c r="S373">
        <f t="shared" si="16"/>
        <v>2</v>
      </c>
      <c r="T373">
        <f>IF(AND(S373&gt;1,COUNTIF($A$2:A373,A373)=1),1,0)</f>
        <v>1</v>
      </c>
      <c r="U373">
        <f>COUNTIF(Customers!$A$2:$A$301,C373)</f>
        <v>1</v>
      </c>
      <c r="V373">
        <f t="shared" si="17"/>
        <v>0</v>
      </c>
    </row>
    <row r="374" spans="1:22" ht="14.25" customHeight="1" x14ac:dyDescent="0.35">
      <c r="A374" s="10" t="s">
        <v>736</v>
      </c>
      <c r="B374" s="11">
        <v>45653</v>
      </c>
      <c r="C374" s="10" t="s">
        <v>323</v>
      </c>
      <c r="D374" s="10" t="s">
        <v>407</v>
      </c>
      <c r="E374" s="10" t="s">
        <v>75</v>
      </c>
      <c r="F374" s="12">
        <v>2</v>
      </c>
      <c r="G374" s="12">
        <v>5080</v>
      </c>
      <c r="H374" s="12">
        <v>2.5</v>
      </c>
      <c r="I374" s="12">
        <v>9906</v>
      </c>
      <c r="J374" s="10" t="s">
        <v>104</v>
      </c>
      <c r="K374" s="10" t="s">
        <v>63</v>
      </c>
      <c r="L374" t="str">
        <f>IFERROR(VLOOKUP(D374,Products!A:F,3,0),"")</f>
        <v>Home</v>
      </c>
      <c r="M374" t="str">
        <f>IFERROR(VLOOKUP(E374,Sales_Reps!A:E,3,0),"")</f>
        <v>West</v>
      </c>
      <c r="N374" t="str">
        <f>IFERROR(VLOOKUP(C374,Customers!A:F,5,0),"")</f>
        <v>SMB</v>
      </c>
      <c r="O374">
        <f>IFERROR(VLOOKUP(C374,Customers!A:F,3,0),"")</f>
        <v>28</v>
      </c>
      <c r="P374">
        <f>IFERROR(VLOOKUP(D374,Products!A:F,4,0),"")</f>
        <v>2459</v>
      </c>
      <c r="Q374" t="b">
        <f>IFERROR(VLOOKUP(D374,Products!A:F,6,0),"")</f>
        <v>1</v>
      </c>
      <c r="R374">
        <f t="shared" si="15"/>
        <v>0.51594488188976373</v>
      </c>
      <c r="S374">
        <f t="shared" si="16"/>
        <v>1</v>
      </c>
      <c r="T374">
        <f>IF(AND(S374&gt;1,COUNTIF($A$2:A374,A374)=1),1,0)</f>
        <v>0</v>
      </c>
      <c r="U374">
        <f>COUNTIF(Customers!$A$2:$A$301,C374)</f>
        <v>1</v>
      </c>
      <c r="V374">
        <f t="shared" si="17"/>
        <v>0</v>
      </c>
    </row>
    <row r="375" spans="1:22" ht="14.25" customHeight="1" x14ac:dyDescent="0.35">
      <c r="A375" s="10" t="s">
        <v>737</v>
      </c>
      <c r="B375" s="11">
        <v>45331</v>
      </c>
      <c r="C375" s="10" t="s">
        <v>457</v>
      </c>
      <c r="D375" s="10" t="s">
        <v>319</v>
      </c>
      <c r="E375" s="10" t="s">
        <v>310</v>
      </c>
      <c r="F375" s="12">
        <v>4</v>
      </c>
      <c r="G375" s="12">
        <v>2510</v>
      </c>
      <c r="H375" s="12">
        <v>23.6</v>
      </c>
      <c r="I375" s="12">
        <v>7670.56</v>
      </c>
      <c r="J375" s="10" t="s">
        <v>51</v>
      </c>
      <c r="K375" s="10" t="s">
        <v>52</v>
      </c>
      <c r="L375" t="str">
        <f>IFERROR(VLOOKUP(D375,Products!A:F,3,0),"")</f>
        <v>Apparel</v>
      </c>
      <c r="M375" t="str">
        <f>IFERROR(VLOOKUP(E375,Sales_Reps!A:E,3,0),"")</f>
        <v>South</v>
      </c>
      <c r="N375" t="str">
        <f>IFERROR(VLOOKUP(C375,Customers!A:F,5,0),"")</f>
        <v>Retail</v>
      </c>
      <c r="O375">
        <f>IFERROR(VLOOKUP(C375,Customers!A:F,3,0),"")</f>
        <v>57</v>
      </c>
      <c r="P375">
        <f>IFERROR(VLOOKUP(D375,Products!A:F,4,0),"")</f>
        <v>1075</v>
      </c>
      <c r="Q375" t="b">
        <f>IFERROR(VLOOKUP(D375,Products!A:F,6,0),"")</f>
        <v>0</v>
      </c>
      <c r="R375">
        <f t="shared" si="15"/>
        <v>0.57171314741035861</v>
      </c>
      <c r="S375">
        <f t="shared" si="16"/>
        <v>1</v>
      </c>
      <c r="T375">
        <f>IF(AND(S375&gt;1,COUNTIF($A$2:A375,A375)=1),1,0)</f>
        <v>0</v>
      </c>
      <c r="U375">
        <f>COUNTIF(Customers!$A$2:$A$301,C375)</f>
        <v>1</v>
      </c>
      <c r="V375">
        <f t="shared" si="17"/>
        <v>0</v>
      </c>
    </row>
    <row r="376" spans="1:22" ht="14.25" customHeight="1" x14ac:dyDescent="0.35">
      <c r="A376" s="10" t="s">
        <v>738</v>
      </c>
      <c r="B376" s="11">
        <v>45332</v>
      </c>
      <c r="C376" s="10" t="s">
        <v>323</v>
      </c>
      <c r="D376" s="10" t="s">
        <v>350</v>
      </c>
      <c r="E376" s="10" t="s">
        <v>237</v>
      </c>
      <c r="F376" s="12">
        <v>5</v>
      </c>
      <c r="G376" s="12">
        <v>2290</v>
      </c>
      <c r="H376" s="12">
        <v>17</v>
      </c>
      <c r="I376" s="12">
        <v>9503.5</v>
      </c>
      <c r="J376" s="10" t="s">
        <v>51</v>
      </c>
      <c r="K376" s="10" t="s">
        <v>63</v>
      </c>
      <c r="L376" t="str">
        <f>IFERROR(VLOOKUP(D376,Products!A:F,3,0),"")</f>
        <v>Beauty</v>
      </c>
      <c r="M376" t="str">
        <f>IFERROR(VLOOKUP(E376,Sales_Reps!A:E,3,0),"")</f>
        <v>South</v>
      </c>
      <c r="N376" t="str">
        <f>IFERROR(VLOOKUP(C376,Customers!A:F,5,0),"")</f>
        <v>SMB</v>
      </c>
      <c r="O376">
        <f>IFERROR(VLOOKUP(C376,Customers!A:F,3,0),"")</f>
        <v>28</v>
      </c>
      <c r="P376">
        <f>IFERROR(VLOOKUP(D376,Products!A:F,4,0),"")</f>
        <v>1219</v>
      </c>
      <c r="Q376" t="b">
        <f>IFERROR(VLOOKUP(D376,Products!A:F,6,0),"")</f>
        <v>1</v>
      </c>
      <c r="R376">
        <f t="shared" si="15"/>
        <v>0.46768558951965067</v>
      </c>
      <c r="S376">
        <f t="shared" si="16"/>
        <v>1</v>
      </c>
      <c r="T376">
        <f>IF(AND(S376&gt;1,COUNTIF($A$2:A376,A376)=1),1,0)</f>
        <v>0</v>
      </c>
      <c r="U376">
        <f>COUNTIF(Customers!$A$2:$A$301,C376)</f>
        <v>1</v>
      </c>
      <c r="V376">
        <f t="shared" si="17"/>
        <v>0</v>
      </c>
    </row>
    <row r="377" spans="1:22" ht="14.25" customHeight="1" x14ac:dyDescent="0.35">
      <c r="A377" s="10" t="s">
        <v>739</v>
      </c>
      <c r="B377" s="11">
        <v>45340</v>
      </c>
      <c r="C377" s="10" t="s">
        <v>292</v>
      </c>
      <c r="D377" s="10" t="s">
        <v>61</v>
      </c>
      <c r="E377" s="10" t="s">
        <v>67</v>
      </c>
      <c r="F377" s="12">
        <v>8</v>
      </c>
      <c r="G377" s="12">
        <v>470</v>
      </c>
      <c r="H377" s="12">
        <v>9.3000000000000007</v>
      </c>
      <c r="I377" s="12">
        <v>3410.32</v>
      </c>
      <c r="J377" s="10" t="s">
        <v>51</v>
      </c>
      <c r="K377" s="10" t="s">
        <v>58</v>
      </c>
      <c r="L377" t="str">
        <f>IFERROR(VLOOKUP(D377,Products!A:F,3,0),"")</f>
        <v>Sports</v>
      </c>
      <c r="M377" t="str">
        <f>IFERROR(VLOOKUP(E377,Sales_Reps!A:E,3,0),"")</f>
        <v>North</v>
      </c>
      <c r="N377" t="str">
        <f>IFERROR(VLOOKUP(C377,Customers!A:F,5,0),"")</f>
        <v>Retail</v>
      </c>
      <c r="O377">
        <f>IFERROR(VLOOKUP(C377,Customers!A:F,3,0),"")</f>
        <v>28</v>
      </c>
      <c r="P377">
        <f>IFERROR(VLOOKUP(D377,Products!A:F,4,0),"")</f>
        <v>302</v>
      </c>
      <c r="Q377" t="b">
        <f>IFERROR(VLOOKUP(D377,Products!A:F,6,0),"")</f>
        <v>0</v>
      </c>
      <c r="R377">
        <f t="shared" si="15"/>
        <v>0.35744680851063831</v>
      </c>
      <c r="S377">
        <f t="shared" si="16"/>
        <v>1</v>
      </c>
      <c r="T377">
        <f>IF(AND(S377&gt;1,COUNTIF($A$2:A377,A377)=1),1,0)</f>
        <v>0</v>
      </c>
      <c r="U377">
        <f>COUNTIF(Customers!$A$2:$A$301,C377)</f>
        <v>1</v>
      </c>
      <c r="V377">
        <f t="shared" si="17"/>
        <v>0</v>
      </c>
    </row>
    <row r="378" spans="1:22" ht="14.25" customHeight="1" x14ac:dyDescent="0.35">
      <c r="A378" s="10" t="s">
        <v>740</v>
      </c>
      <c r="B378" s="11">
        <v>45564</v>
      </c>
      <c r="C378" s="10" t="s">
        <v>284</v>
      </c>
      <c r="D378" s="10" t="s">
        <v>155</v>
      </c>
      <c r="E378" s="10" t="s">
        <v>168</v>
      </c>
      <c r="F378" s="12">
        <v>8</v>
      </c>
      <c r="G378" s="12">
        <v>5100</v>
      </c>
      <c r="H378" s="12">
        <v>4.5999999999999996</v>
      </c>
      <c r="I378" s="12">
        <v>38923.199999999997</v>
      </c>
      <c r="J378" s="10" t="s">
        <v>51</v>
      </c>
      <c r="K378" s="10" t="s">
        <v>97</v>
      </c>
      <c r="L378" t="str">
        <f>IFERROR(VLOOKUP(D378,Products!A:F,3,0),"")</f>
        <v>Beauty</v>
      </c>
      <c r="M378" t="str">
        <f>IFERROR(VLOOKUP(E378,Sales_Reps!A:E,3,0),"")</f>
        <v>South</v>
      </c>
      <c r="N378" t="str">
        <f>IFERROR(VLOOKUP(C378,Customers!A:F,5,0),"")</f>
        <v>SMB</v>
      </c>
      <c r="O378">
        <f>IFERROR(VLOOKUP(C378,Customers!A:F,3,0),"")</f>
        <v>36</v>
      </c>
      <c r="P378">
        <f>IFERROR(VLOOKUP(D378,Products!A:F,4,0),"")</f>
        <v>2237</v>
      </c>
      <c r="Q378" t="b">
        <f>IFERROR(VLOOKUP(D378,Products!A:F,6,0),"")</f>
        <v>1</v>
      </c>
      <c r="R378">
        <f t="shared" si="15"/>
        <v>0.56137254901960787</v>
      </c>
      <c r="S378">
        <f t="shared" si="16"/>
        <v>1</v>
      </c>
      <c r="T378">
        <f>IF(AND(S378&gt;1,COUNTIF($A$2:A378,A378)=1),1,0)</f>
        <v>0</v>
      </c>
      <c r="U378">
        <f>COUNTIF(Customers!$A$2:$A$301,C378)</f>
        <v>1</v>
      </c>
      <c r="V378">
        <f t="shared" si="17"/>
        <v>0</v>
      </c>
    </row>
    <row r="379" spans="1:22" ht="14.25" customHeight="1" x14ac:dyDescent="0.35">
      <c r="A379" s="10" t="s">
        <v>741</v>
      </c>
      <c r="B379" s="11">
        <v>45296</v>
      </c>
      <c r="C379" s="10" t="s">
        <v>546</v>
      </c>
      <c r="D379" s="10" t="s">
        <v>328</v>
      </c>
      <c r="E379" s="10" t="s">
        <v>96</v>
      </c>
      <c r="F379" s="12">
        <v>7</v>
      </c>
      <c r="G379" s="12">
        <v>5330</v>
      </c>
      <c r="H379" s="12">
        <v>2.5</v>
      </c>
      <c r="I379" s="12">
        <v>36377.25</v>
      </c>
      <c r="J379" s="10" t="s">
        <v>51</v>
      </c>
      <c r="K379" s="10" t="s">
        <v>58</v>
      </c>
      <c r="L379" t="str">
        <f>IFERROR(VLOOKUP(D379,Products!A:F,3,0),"")</f>
        <v>Electronics</v>
      </c>
      <c r="M379" t="str">
        <f>IFERROR(VLOOKUP(E379,Sales_Reps!A:E,3,0),"")</f>
        <v>South</v>
      </c>
      <c r="N379" t="str">
        <f>IFERROR(VLOOKUP(C379,Customers!A:F,5,0),"")</f>
        <v>SMB</v>
      </c>
      <c r="O379">
        <f>IFERROR(VLOOKUP(C379,Customers!A:F,3,0),"")</f>
        <v>59</v>
      </c>
      <c r="P379">
        <f>IFERROR(VLOOKUP(D379,Products!A:F,4,0),"")</f>
        <v>2405</v>
      </c>
      <c r="Q379" t="b">
        <f>IFERROR(VLOOKUP(D379,Products!A:F,6,0),"")</f>
        <v>1</v>
      </c>
      <c r="R379">
        <f t="shared" si="15"/>
        <v>0.54878048780487809</v>
      </c>
      <c r="S379">
        <f t="shared" si="16"/>
        <v>1</v>
      </c>
      <c r="T379">
        <f>IF(AND(S379&gt;1,COUNTIF($A$2:A379,A379)=1),1,0)</f>
        <v>0</v>
      </c>
      <c r="U379">
        <f>COUNTIF(Customers!$A$2:$A$301,C379)</f>
        <v>1</v>
      </c>
      <c r="V379">
        <f t="shared" si="17"/>
        <v>0</v>
      </c>
    </row>
    <row r="380" spans="1:22" ht="14.25" customHeight="1" x14ac:dyDescent="0.35">
      <c r="A380" s="10" t="s">
        <v>742</v>
      </c>
      <c r="B380" s="11">
        <v>45364</v>
      </c>
      <c r="C380" s="10" t="s">
        <v>743</v>
      </c>
      <c r="D380" s="10" t="s">
        <v>259</v>
      </c>
      <c r="E380" s="10" t="s">
        <v>92</v>
      </c>
      <c r="F380" s="12">
        <v>10</v>
      </c>
      <c r="G380" s="12">
        <v>2030</v>
      </c>
      <c r="H380" s="12">
        <v>8.5</v>
      </c>
      <c r="I380" s="12">
        <v>18574.5</v>
      </c>
      <c r="J380" s="10" t="s">
        <v>51</v>
      </c>
      <c r="K380" s="10" t="s">
        <v>81</v>
      </c>
      <c r="L380" t="str">
        <f>IFERROR(VLOOKUP(D380,Products!A:F,3,0),"")</f>
        <v>Home</v>
      </c>
      <c r="M380" t="str">
        <f>IFERROR(VLOOKUP(E380,Sales_Reps!A:E,3,0),"")</f>
        <v>West</v>
      </c>
      <c r="N380" t="str">
        <f>IFERROR(VLOOKUP(C380,Customers!A:F,5,0),"")</f>
        <v>Retail</v>
      </c>
      <c r="O380">
        <f>IFERROR(VLOOKUP(C380,Customers!A:F,3,0),"")</f>
        <v>27</v>
      </c>
      <c r="P380">
        <f>IFERROR(VLOOKUP(D380,Products!A:F,4,0),"")</f>
        <v>1143</v>
      </c>
      <c r="Q380" t="b">
        <f>IFERROR(VLOOKUP(D380,Products!A:F,6,0),"")</f>
        <v>1</v>
      </c>
      <c r="R380">
        <f t="shared" si="15"/>
        <v>0.43694581280788175</v>
      </c>
      <c r="S380">
        <f t="shared" si="16"/>
        <v>1</v>
      </c>
      <c r="T380">
        <f>IF(AND(S380&gt;1,COUNTIF($A$2:A380,A380)=1),1,0)</f>
        <v>0</v>
      </c>
      <c r="U380">
        <f>COUNTIF(Customers!$A$2:$A$301,C380)</f>
        <v>1</v>
      </c>
      <c r="V380">
        <f t="shared" si="17"/>
        <v>0</v>
      </c>
    </row>
    <row r="381" spans="1:22" ht="14.25" customHeight="1" x14ac:dyDescent="0.35">
      <c r="A381" s="10" t="s">
        <v>744</v>
      </c>
      <c r="B381" s="11">
        <v>45560</v>
      </c>
      <c r="C381" s="10" t="s">
        <v>745</v>
      </c>
      <c r="D381" s="10" t="s">
        <v>407</v>
      </c>
      <c r="E381" s="10" t="s">
        <v>112</v>
      </c>
      <c r="F381" s="12">
        <v>8</v>
      </c>
      <c r="G381" s="12">
        <v>5080</v>
      </c>
      <c r="H381" s="12">
        <v>9.6</v>
      </c>
      <c r="I381" s="12">
        <v>36738.559999999998</v>
      </c>
      <c r="J381" s="10" t="s">
        <v>104</v>
      </c>
      <c r="K381" s="10" t="s">
        <v>63</v>
      </c>
      <c r="L381" t="str">
        <f>IFERROR(VLOOKUP(D381,Products!A:F,3,0),"")</f>
        <v>Home</v>
      </c>
      <c r="M381" t="str">
        <f>IFERROR(VLOOKUP(E381,Sales_Reps!A:E,3,0),"")</f>
        <v>North</v>
      </c>
      <c r="N381" t="str">
        <f>IFERROR(VLOOKUP(C381,Customers!A:F,5,0),"")</f>
        <v>SMB</v>
      </c>
      <c r="O381">
        <f>IFERROR(VLOOKUP(C381,Customers!A:F,3,0),"")</f>
        <v>29</v>
      </c>
      <c r="P381">
        <f>IFERROR(VLOOKUP(D381,Products!A:F,4,0),"")</f>
        <v>2459</v>
      </c>
      <c r="Q381" t="b">
        <f>IFERROR(VLOOKUP(D381,Products!A:F,6,0),"")</f>
        <v>1</v>
      </c>
      <c r="R381">
        <f t="shared" si="15"/>
        <v>0.51594488188976373</v>
      </c>
      <c r="S381">
        <f t="shared" si="16"/>
        <v>1</v>
      </c>
      <c r="T381">
        <f>IF(AND(S381&gt;1,COUNTIF($A$2:A381,A381)=1),1,0)</f>
        <v>0</v>
      </c>
      <c r="U381">
        <f>COUNTIF(Customers!$A$2:$A$301,C381)</f>
        <v>1</v>
      </c>
      <c r="V381">
        <f t="shared" si="17"/>
        <v>0</v>
      </c>
    </row>
    <row r="382" spans="1:22" ht="14.25" customHeight="1" x14ac:dyDescent="0.35">
      <c r="A382" s="10" t="s">
        <v>746</v>
      </c>
      <c r="B382" s="11">
        <v>45378</v>
      </c>
      <c r="C382" s="10" t="s">
        <v>139</v>
      </c>
      <c r="D382" s="10" t="s">
        <v>331</v>
      </c>
      <c r="E382" s="10" t="s">
        <v>62</v>
      </c>
      <c r="F382" s="12">
        <v>1</v>
      </c>
      <c r="G382" s="12">
        <v>2380</v>
      </c>
      <c r="H382" s="12">
        <v>11.6</v>
      </c>
      <c r="I382" s="12">
        <v>2103.92</v>
      </c>
      <c r="J382" s="10" t="s">
        <v>57</v>
      </c>
      <c r="K382" s="10" t="s">
        <v>97</v>
      </c>
      <c r="L382" t="str">
        <f>IFERROR(VLOOKUP(D382,Products!A:F,3,0),"")</f>
        <v>Grocery</v>
      </c>
      <c r="M382" t="str">
        <f>IFERROR(VLOOKUP(E382,Sales_Reps!A:E,3,0),"")</f>
        <v>South</v>
      </c>
      <c r="N382" t="str">
        <f>IFERROR(VLOOKUP(C382,Customers!A:F,5,0),"")</f>
        <v>SMB</v>
      </c>
      <c r="O382">
        <f>IFERROR(VLOOKUP(C382,Customers!A:F,3,0),"")</f>
        <v>40</v>
      </c>
      <c r="P382">
        <f>IFERROR(VLOOKUP(D382,Products!A:F,4,0),"")</f>
        <v>1182</v>
      </c>
      <c r="Q382" t="b">
        <f>IFERROR(VLOOKUP(D382,Products!A:F,6,0),"")</f>
        <v>1</v>
      </c>
      <c r="R382">
        <f t="shared" si="15"/>
        <v>0.50336134453781511</v>
      </c>
      <c r="S382">
        <f t="shared" si="16"/>
        <v>1</v>
      </c>
      <c r="T382">
        <f>IF(AND(S382&gt;1,COUNTIF($A$2:A382,A382)=1),1,0)</f>
        <v>0</v>
      </c>
      <c r="U382">
        <f>COUNTIF(Customers!$A$2:$A$301,C382)</f>
        <v>1</v>
      </c>
      <c r="V382">
        <f t="shared" si="17"/>
        <v>0</v>
      </c>
    </row>
    <row r="383" spans="1:22" ht="14.25" customHeight="1" x14ac:dyDescent="0.35">
      <c r="A383" s="10" t="s">
        <v>747</v>
      </c>
      <c r="B383" s="11">
        <v>45590</v>
      </c>
      <c r="C383" s="10" t="s">
        <v>236</v>
      </c>
      <c r="D383" s="10" t="s">
        <v>223</v>
      </c>
      <c r="E383" s="10" t="s">
        <v>307</v>
      </c>
      <c r="F383" s="12">
        <v>8</v>
      </c>
      <c r="G383" s="12">
        <v>1540</v>
      </c>
      <c r="H383" s="12">
        <v>27.8</v>
      </c>
      <c r="I383" s="12">
        <v>8895.0400000000009</v>
      </c>
      <c r="J383" s="10" t="s">
        <v>51</v>
      </c>
      <c r="K383" s="10" t="s">
        <v>58</v>
      </c>
      <c r="L383" t="str">
        <f>IFERROR(VLOOKUP(D383,Products!A:F,3,0),"")</f>
        <v>Beauty</v>
      </c>
      <c r="M383" t="str">
        <f>IFERROR(VLOOKUP(E383,Sales_Reps!A:E,3,0),"")</f>
        <v>West</v>
      </c>
      <c r="N383" t="str">
        <f>IFERROR(VLOOKUP(C383,Customers!A:F,5,0),"")</f>
        <v>SMB</v>
      </c>
      <c r="O383">
        <f>IFERROR(VLOOKUP(C383,Customers!A:F,3,0),"")</f>
        <v>55</v>
      </c>
      <c r="P383">
        <f>IFERROR(VLOOKUP(D383,Products!A:F,4,0),"")</f>
        <v>647</v>
      </c>
      <c r="Q383" t="b">
        <f>IFERROR(VLOOKUP(D383,Products!A:F,6,0),"")</f>
        <v>0</v>
      </c>
      <c r="R383">
        <f t="shared" si="15"/>
        <v>0.57987012987012987</v>
      </c>
      <c r="S383">
        <f t="shared" si="16"/>
        <v>1</v>
      </c>
      <c r="T383">
        <f>IF(AND(S383&gt;1,COUNTIF($A$2:A383,A383)=1),1,0)</f>
        <v>0</v>
      </c>
      <c r="U383">
        <f>COUNTIF(Customers!$A$2:$A$301,C383)</f>
        <v>1</v>
      </c>
      <c r="V383">
        <f t="shared" si="17"/>
        <v>0</v>
      </c>
    </row>
    <row r="384" spans="1:22" ht="14.25" customHeight="1" x14ac:dyDescent="0.35">
      <c r="A384" s="10" t="s">
        <v>748</v>
      </c>
      <c r="B384" s="11">
        <v>45591</v>
      </c>
      <c r="C384" s="10" t="s">
        <v>749</v>
      </c>
      <c r="D384" s="10" t="s">
        <v>95</v>
      </c>
      <c r="E384" s="10" t="s">
        <v>80</v>
      </c>
      <c r="F384" s="12">
        <v>1</v>
      </c>
      <c r="G384" s="12">
        <v>2270</v>
      </c>
      <c r="H384" s="12">
        <v>6.5</v>
      </c>
      <c r="I384" s="12">
        <v>2122.4499999999998</v>
      </c>
      <c r="J384" s="10" t="s">
        <v>57</v>
      </c>
      <c r="K384" s="10" t="s">
        <v>750</v>
      </c>
      <c r="L384" t="str">
        <f>IFERROR(VLOOKUP(D384,Products!A:F,3,0),"")</f>
        <v>Grocery</v>
      </c>
      <c r="M384" t="str">
        <f>IFERROR(VLOOKUP(E384,Sales_Reps!A:E,3,0),"")</f>
        <v>West</v>
      </c>
      <c r="N384" t="str">
        <f>IFERROR(VLOOKUP(C384,Customers!A:F,5,0),"")</f>
        <v>Retail</v>
      </c>
      <c r="O384">
        <f>IFERROR(VLOOKUP(C384,Customers!A:F,3,0),"")</f>
        <v>31</v>
      </c>
      <c r="P384">
        <f>IFERROR(VLOOKUP(D384,Products!A:F,4,0),"")</f>
        <v>1203</v>
      </c>
      <c r="Q384" t="b">
        <f>IFERROR(VLOOKUP(D384,Products!A:F,6,0),"")</f>
        <v>1</v>
      </c>
      <c r="R384">
        <f t="shared" si="15"/>
        <v>0.47004405286343615</v>
      </c>
      <c r="S384">
        <f t="shared" si="16"/>
        <v>1</v>
      </c>
      <c r="T384">
        <f>IF(AND(S384&gt;1,COUNTIF($A$2:A384,A384)=1),1,0)</f>
        <v>0</v>
      </c>
      <c r="U384">
        <f>COUNTIF(Customers!$A$2:$A$301,C384)</f>
        <v>1</v>
      </c>
      <c r="V384">
        <f t="shared" si="17"/>
        <v>0</v>
      </c>
    </row>
    <row r="385" spans="1:22" ht="14.25" customHeight="1" x14ac:dyDescent="0.35">
      <c r="A385" s="10" t="s">
        <v>751</v>
      </c>
      <c r="B385" s="11">
        <v>45503</v>
      </c>
      <c r="C385" s="10" t="s">
        <v>280</v>
      </c>
      <c r="D385" s="10" t="s">
        <v>131</v>
      </c>
      <c r="E385" s="10" t="s">
        <v>92</v>
      </c>
      <c r="F385" s="12">
        <v>6</v>
      </c>
      <c r="G385" s="12">
        <v>2480</v>
      </c>
      <c r="H385" s="12">
        <v>25.9</v>
      </c>
      <c r="I385" s="12">
        <v>11026.08</v>
      </c>
      <c r="J385" s="10" t="s">
        <v>51</v>
      </c>
      <c r="K385" s="10" t="s">
        <v>52</v>
      </c>
      <c r="L385" t="str">
        <f>IFERROR(VLOOKUP(D385,Products!A:F,3,0),"")</f>
        <v>Apparel</v>
      </c>
      <c r="M385" t="str">
        <f>IFERROR(VLOOKUP(E385,Sales_Reps!A:E,3,0),"")</f>
        <v>West</v>
      </c>
      <c r="N385" t="str">
        <f>IFERROR(VLOOKUP(C385,Customers!A:F,5,0),"")</f>
        <v>SMB</v>
      </c>
      <c r="O385">
        <f>IFERROR(VLOOKUP(C385,Customers!A:F,3,0),"")</f>
        <v>60</v>
      </c>
      <c r="P385">
        <f>IFERROR(VLOOKUP(D385,Products!A:F,4,0),"")</f>
        <v>1173</v>
      </c>
      <c r="Q385" t="b">
        <f>IFERROR(VLOOKUP(D385,Products!A:F,6,0),"")</f>
        <v>1</v>
      </c>
      <c r="R385">
        <f t="shared" si="15"/>
        <v>0.52701612903225803</v>
      </c>
      <c r="S385">
        <f t="shared" si="16"/>
        <v>1</v>
      </c>
      <c r="T385">
        <f>IF(AND(S385&gt;1,COUNTIF($A$2:A385,A385)=1),1,0)</f>
        <v>0</v>
      </c>
      <c r="U385">
        <f>COUNTIF(Customers!$A$2:$A$301,C385)</f>
        <v>1</v>
      </c>
      <c r="V385">
        <f t="shared" si="17"/>
        <v>0</v>
      </c>
    </row>
    <row r="386" spans="1:22" ht="14.25" customHeight="1" x14ac:dyDescent="0.35">
      <c r="A386" s="10" t="s">
        <v>752</v>
      </c>
      <c r="B386" s="11">
        <v>45608</v>
      </c>
      <c r="C386" s="10" t="s">
        <v>282</v>
      </c>
      <c r="D386" s="10" t="s">
        <v>623</v>
      </c>
      <c r="E386" s="10" t="s">
        <v>85</v>
      </c>
      <c r="F386" s="12">
        <v>3</v>
      </c>
      <c r="G386" s="12">
        <v>3560</v>
      </c>
      <c r="H386" s="12">
        <v>0.4</v>
      </c>
      <c r="I386" s="12">
        <v>10637.28</v>
      </c>
      <c r="J386" s="10" t="s">
        <v>108</v>
      </c>
      <c r="K386" s="10" t="s">
        <v>58</v>
      </c>
      <c r="L386" t="str">
        <f>IFERROR(VLOOKUP(D386,Products!A:F,3,0),"")</f>
        <v>Apparel</v>
      </c>
      <c r="M386" t="str">
        <f>IFERROR(VLOOKUP(E386,Sales_Reps!A:E,3,0),"")</f>
        <v>East</v>
      </c>
      <c r="N386" t="str">
        <f>IFERROR(VLOOKUP(C386,Customers!A:F,5,0),"")</f>
        <v>SMB</v>
      </c>
      <c r="O386">
        <f>IFERROR(VLOOKUP(C386,Customers!A:F,3,0),"")</f>
        <v>57</v>
      </c>
      <c r="P386">
        <f>IFERROR(VLOOKUP(D386,Products!A:F,4,0),"")</f>
        <v>2629</v>
      </c>
      <c r="Q386" t="b">
        <f>IFERROR(VLOOKUP(D386,Products!A:F,6,0),"")</f>
        <v>1</v>
      </c>
      <c r="R386">
        <f t="shared" ref="R386:R449" si="18">IFERROR((G386-P386)/G386,"")</f>
        <v>0.26151685393258428</v>
      </c>
      <c r="S386">
        <f t="shared" ref="S386:S449" si="19">COUNTIF($A$2:$A$2001,A386)</f>
        <v>1</v>
      </c>
      <c r="T386">
        <f>IF(AND(S386&gt;1,COUNTIF($A$2:A386,A386)=1),1,0)</f>
        <v>0</v>
      </c>
      <c r="U386">
        <f>COUNTIF(Customers!$A$2:$A$301,C386)</f>
        <v>1</v>
      </c>
      <c r="V386">
        <f t="shared" ref="V386:V449" si="20">IF(AND(K386="Bengaluru",L386="Grocery"),I386,0)</f>
        <v>0</v>
      </c>
    </row>
    <row r="387" spans="1:22" ht="14.25" customHeight="1" x14ac:dyDescent="0.35">
      <c r="A387" s="10" t="s">
        <v>753</v>
      </c>
      <c r="B387" s="11">
        <v>45422</v>
      </c>
      <c r="C387" s="10" t="s">
        <v>615</v>
      </c>
      <c r="D387" s="10" t="s">
        <v>243</v>
      </c>
      <c r="E387" s="10" t="s">
        <v>67</v>
      </c>
      <c r="F387" s="12">
        <v>4</v>
      </c>
      <c r="G387" s="12">
        <v>2660</v>
      </c>
      <c r="H387" s="12">
        <v>19.7</v>
      </c>
      <c r="I387" s="12">
        <v>8543.92</v>
      </c>
      <c r="J387" s="10" t="s">
        <v>104</v>
      </c>
      <c r="K387" s="10" t="s">
        <v>97</v>
      </c>
      <c r="L387" t="str">
        <f>IFERROR(VLOOKUP(D387,Products!A:F,3,0),"")</f>
        <v>Electronics</v>
      </c>
      <c r="M387" t="str">
        <f>IFERROR(VLOOKUP(E387,Sales_Reps!A:E,3,0),"")</f>
        <v>North</v>
      </c>
      <c r="N387" t="str">
        <f>IFERROR(VLOOKUP(C387,Customers!A:F,5,0),"")</f>
        <v>Retail</v>
      </c>
      <c r="O387">
        <f>IFERROR(VLOOKUP(C387,Customers!A:F,3,0),"")</f>
        <v>50</v>
      </c>
      <c r="P387">
        <f>IFERROR(VLOOKUP(D387,Products!A:F,4,0),"")</f>
        <v>1259</v>
      </c>
      <c r="Q387" t="b">
        <f>IFERROR(VLOOKUP(D387,Products!A:F,6,0),"")</f>
        <v>0</v>
      </c>
      <c r="R387">
        <f t="shared" si="18"/>
        <v>0.52669172932330832</v>
      </c>
      <c r="S387">
        <f t="shared" si="19"/>
        <v>1</v>
      </c>
      <c r="T387">
        <f>IF(AND(S387&gt;1,COUNTIF($A$2:A387,A387)=1),1,0)</f>
        <v>0</v>
      </c>
      <c r="U387">
        <f>COUNTIF(Customers!$A$2:$A$301,C387)</f>
        <v>1</v>
      </c>
      <c r="V387">
        <f t="shared" si="20"/>
        <v>0</v>
      </c>
    </row>
    <row r="388" spans="1:22" ht="14.25" customHeight="1" x14ac:dyDescent="0.35">
      <c r="A388" s="10" t="s">
        <v>754</v>
      </c>
      <c r="B388" s="11">
        <v>45386</v>
      </c>
      <c r="C388" s="10" t="s">
        <v>136</v>
      </c>
      <c r="D388" s="10" t="s">
        <v>231</v>
      </c>
      <c r="E388" s="10" t="s">
        <v>216</v>
      </c>
      <c r="F388" s="12">
        <v>10</v>
      </c>
      <c r="G388" s="12">
        <v>1220</v>
      </c>
      <c r="H388" s="12">
        <v>10.1</v>
      </c>
      <c r="I388" s="12">
        <v>10967.8</v>
      </c>
      <c r="J388" s="10" t="s">
        <v>104</v>
      </c>
      <c r="K388" s="10" t="s">
        <v>52</v>
      </c>
      <c r="L388" t="str">
        <f>IFERROR(VLOOKUP(D388,Products!A:F,3,0),"")</f>
        <v>Electronics</v>
      </c>
      <c r="M388" t="str">
        <f>IFERROR(VLOOKUP(E388,Sales_Reps!A:E,3,0),"")</f>
        <v>South</v>
      </c>
      <c r="N388" t="str">
        <f>IFERROR(VLOOKUP(C388,Customers!A:F,5,0),"")</f>
        <v>Retail</v>
      </c>
      <c r="O388">
        <f>IFERROR(VLOOKUP(C388,Customers!A:F,3,0),"")</f>
        <v>50</v>
      </c>
      <c r="P388">
        <f>IFERROR(VLOOKUP(D388,Products!A:F,4,0),"")</f>
        <v>517</v>
      </c>
      <c r="Q388" t="b">
        <f>IFERROR(VLOOKUP(D388,Products!A:F,6,0),"")</f>
        <v>1</v>
      </c>
      <c r="R388">
        <f t="shared" si="18"/>
        <v>0.57622950819672136</v>
      </c>
      <c r="S388">
        <f t="shared" si="19"/>
        <v>1</v>
      </c>
      <c r="T388">
        <f>IF(AND(S388&gt;1,COUNTIF($A$2:A388,A388)=1),1,0)</f>
        <v>0</v>
      </c>
      <c r="U388">
        <f>COUNTIF(Customers!$A$2:$A$301,C388)</f>
        <v>1</v>
      </c>
      <c r="V388">
        <f t="shared" si="20"/>
        <v>0</v>
      </c>
    </row>
    <row r="389" spans="1:22" ht="14.25" customHeight="1" x14ac:dyDescent="0.35">
      <c r="A389" s="10" t="s">
        <v>755</v>
      </c>
      <c r="B389" s="11">
        <v>45584</v>
      </c>
      <c r="C389" s="10" t="s">
        <v>640</v>
      </c>
      <c r="D389" s="10" t="s">
        <v>102</v>
      </c>
      <c r="E389" s="10" t="s">
        <v>62</v>
      </c>
      <c r="F389" s="12">
        <v>8</v>
      </c>
      <c r="G389" s="12">
        <v>2600</v>
      </c>
      <c r="H389" s="12">
        <v>26.7</v>
      </c>
      <c r="I389" s="12">
        <v>15246.4</v>
      </c>
      <c r="J389" s="10" t="s">
        <v>51</v>
      </c>
      <c r="K389" s="10" t="s">
        <v>52</v>
      </c>
      <c r="L389" t="str">
        <f>IFERROR(VLOOKUP(D389,Products!A:F,3,0),"")</f>
        <v>Electronics</v>
      </c>
      <c r="M389" t="str">
        <f>IFERROR(VLOOKUP(E389,Sales_Reps!A:E,3,0),"")</f>
        <v>South</v>
      </c>
      <c r="N389" t="str">
        <f>IFERROR(VLOOKUP(C389,Customers!A:F,5,0),"")</f>
        <v>SMB</v>
      </c>
      <c r="O389">
        <f>IFERROR(VLOOKUP(C389,Customers!A:F,3,0),"")</f>
        <v>35</v>
      </c>
      <c r="P389">
        <f>IFERROR(VLOOKUP(D389,Products!A:F,4,0),"")</f>
        <v>1052</v>
      </c>
      <c r="Q389" t="b">
        <f>IFERROR(VLOOKUP(D389,Products!A:F,6,0),"")</f>
        <v>1</v>
      </c>
      <c r="R389">
        <f t="shared" si="18"/>
        <v>0.5953846153846154</v>
      </c>
      <c r="S389">
        <f t="shared" si="19"/>
        <v>1</v>
      </c>
      <c r="T389">
        <f>IF(AND(S389&gt;1,COUNTIF($A$2:A389,A389)=1),1,0)</f>
        <v>0</v>
      </c>
      <c r="U389">
        <f>COUNTIF(Customers!$A$2:$A$301,C389)</f>
        <v>1</v>
      </c>
      <c r="V389">
        <f t="shared" si="20"/>
        <v>0</v>
      </c>
    </row>
    <row r="390" spans="1:22" ht="14.25" customHeight="1" x14ac:dyDescent="0.35">
      <c r="A390" s="10" t="s">
        <v>756</v>
      </c>
      <c r="B390" s="11">
        <v>45440</v>
      </c>
      <c r="C390" s="10" t="s">
        <v>482</v>
      </c>
      <c r="D390" s="10" t="s">
        <v>416</v>
      </c>
      <c r="E390" s="10" t="s">
        <v>156</v>
      </c>
      <c r="F390" s="12">
        <v>10</v>
      </c>
      <c r="G390" s="12">
        <v>3450</v>
      </c>
      <c r="H390" s="12">
        <v>20.399999999999999</v>
      </c>
      <c r="I390" s="12">
        <v>27462</v>
      </c>
      <c r="J390" s="10" t="s">
        <v>51</v>
      </c>
      <c r="K390" s="10" t="s">
        <v>52</v>
      </c>
      <c r="L390" t="str">
        <f>IFERROR(VLOOKUP(D390,Products!A:F,3,0),"")</f>
        <v>Apparel</v>
      </c>
      <c r="M390" t="str">
        <f>IFERROR(VLOOKUP(E390,Sales_Reps!A:E,3,0),"")</f>
        <v>East</v>
      </c>
      <c r="N390" t="str">
        <f>IFERROR(VLOOKUP(C390,Customers!A:F,5,0),"")</f>
        <v>Retail</v>
      </c>
      <c r="O390">
        <f>IFERROR(VLOOKUP(C390,Customers!A:F,3,0),"")</f>
        <v>49</v>
      </c>
      <c r="P390">
        <f>IFERROR(VLOOKUP(D390,Products!A:F,4,0),"")</f>
        <v>1748</v>
      </c>
      <c r="Q390" t="b">
        <f>IFERROR(VLOOKUP(D390,Products!A:F,6,0),"")</f>
        <v>1</v>
      </c>
      <c r="R390">
        <f t="shared" si="18"/>
        <v>0.49333333333333335</v>
      </c>
      <c r="S390">
        <f t="shared" si="19"/>
        <v>1</v>
      </c>
      <c r="T390">
        <f>IF(AND(S390&gt;1,COUNTIF($A$2:A390,A390)=1),1,0)</f>
        <v>0</v>
      </c>
      <c r="U390">
        <f>COUNTIF(Customers!$A$2:$A$301,C390)</f>
        <v>1</v>
      </c>
      <c r="V390">
        <f t="shared" si="20"/>
        <v>0</v>
      </c>
    </row>
    <row r="391" spans="1:22" ht="14.25" customHeight="1" x14ac:dyDescent="0.35">
      <c r="A391" s="10" t="s">
        <v>757</v>
      </c>
      <c r="B391" s="11">
        <v>45440</v>
      </c>
      <c r="C391" s="10" t="s">
        <v>172</v>
      </c>
      <c r="D391" s="10" t="s">
        <v>479</v>
      </c>
      <c r="E391" s="10" t="s">
        <v>85</v>
      </c>
      <c r="F391" s="12">
        <v>1</v>
      </c>
      <c r="G391" s="12">
        <v>6940</v>
      </c>
      <c r="H391" s="12">
        <v>9.6999999999999993</v>
      </c>
      <c r="I391" s="12">
        <v>6266.82</v>
      </c>
      <c r="J391" s="10" t="s">
        <v>51</v>
      </c>
      <c r="K391" s="10" t="s">
        <v>97</v>
      </c>
      <c r="L391" t="str">
        <f>IFERROR(VLOOKUP(D391,Products!A:F,3,0),"")</f>
        <v>Sports</v>
      </c>
      <c r="M391" t="str">
        <f>IFERROR(VLOOKUP(E391,Sales_Reps!A:E,3,0),"")</f>
        <v>East</v>
      </c>
      <c r="N391" t="str">
        <f>IFERROR(VLOOKUP(C391,Customers!A:F,5,0),"")</f>
        <v>Retail</v>
      </c>
      <c r="O391">
        <f>IFERROR(VLOOKUP(C391,Customers!A:F,3,0),"")</f>
        <v>26</v>
      </c>
      <c r="P391">
        <f>IFERROR(VLOOKUP(D391,Products!A:F,4,0),"")</f>
        <v>2827</v>
      </c>
      <c r="Q391" t="b">
        <f>IFERROR(VLOOKUP(D391,Products!A:F,6,0),"")</f>
        <v>1</v>
      </c>
      <c r="R391">
        <f t="shared" si="18"/>
        <v>0.5926512968299712</v>
      </c>
      <c r="S391">
        <f t="shared" si="19"/>
        <v>1</v>
      </c>
      <c r="T391">
        <f>IF(AND(S391&gt;1,COUNTIF($A$2:A391,A391)=1),1,0)</f>
        <v>0</v>
      </c>
      <c r="U391">
        <f>COUNTIF(Customers!$A$2:$A$301,C391)</f>
        <v>1</v>
      </c>
      <c r="V391">
        <f t="shared" si="20"/>
        <v>0</v>
      </c>
    </row>
    <row r="392" spans="1:22" ht="14.25" customHeight="1" x14ac:dyDescent="0.35">
      <c r="A392" s="10" t="s">
        <v>758</v>
      </c>
      <c r="B392" s="11">
        <v>45358</v>
      </c>
      <c r="C392" s="10" t="s">
        <v>759</v>
      </c>
      <c r="D392" s="10" t="s">
        <v>143</v>
      </c>
      <c r="E392" s="10" t="s">
        <v>67</v>
      </c>
      <c r="F392" s="12">
        <v>10</v>
      </c>
      <c r="G392" s="12">
        <v>3350</v>
      </c>
      <c r="H392" s="12">
        <v>3.2</v>
      </c>
      <c r="I392" s="12">
        <v>32428</v>
      </c>
      <c r="J392" s="10" t="s">
        <v>51</v>
      </c>
      <c r="K392" s="10" t="s">
        <v>58</v>
      </c>
      <c r="L392" t="str">
        <f>IFERROR(VLOOKUP(D392,Products!A:F,3,0),"")</f>
        <v>Beauty</v>
      </c>
      <c r="M392" t="str">
        <f>IFERROR(VLOOKUP(E392,Sales_Reps!A:E,3,0),"")</f>
        <v>North</v>
      </c>
      <c r="N392" t="str">
        <f>IFERROR(VLOOKUP(C392,Customers!A:F,5,0),"")</f>
        <v>Retail</v>
      </c>
      <c r="O392">
        <f>IFERROR(VLOOKUP(C392,Customers!A:F,3,0),"")</f>
        <v>22</v>
      </c>
      <c r="P392">
        <f>IFERROR(VLOOKUP(D392,Products!A:F,4,0),"")</f>
        <v>1728</v>
      </c>
      <c r="Q392" t="b">
        <f>IFERROR(VLOOKUP(D392,Products!A:F,6,0),"")</f>
        <v>1</v>
      </c>
      <c r="R392">
        <f t="shared" si="18"/>
        <v>0.48417910447761192</v>
      </c>
      <c r="S392">
        <f t="shared" si="19"/>
        <v>1</v>
      </c>
      <c r="T392">
        <f>IF(AND(S392&gt;1,COUNTIF($A$2:A392,A392)=1),1,0)</f>
        <v>0</v>
      </c>
      <c r="U392">
        <f>COUNTIF(Customers!$A$2:$A$301,C392)</f>
        <v>1</v>
      </c>
      <c r="V392">
        <f t="shared" si="20"/>
        <v>0</v>
      </c>
    </row>
    <row r="393" spans="1:22" ht="14.25" customHeight="1" x14ac:dyDescent="0.35">
      <c r="A393" s="10" t="s">
        <v>760</v>
      </c>
      <c r="B393" s="11">
        <v>45387</v>
      </c>
      <c r="C393" s="10" t="s">
        <v>761</v>
      </c>
      <c r="D393" s="10" t="s">
        <v>223</v>
      </c>
      <c r="E393" s="10" t="s">
        <v>165</v>
      </c>
      <c r="F393" s="12">
        <v>7</v>
      </c>
      <c r="G393" s="12">
        <v>1540</v>
      </c>
      <c r="H393" s="12">
        <v>0.5</v>
      </c>
      <c r="I393" s="12">
        <v>10726.1</v>
      </c>
      <c r="J393" s="10" t="s">
        <v>51</v>
      </c>
      <c r="K393" s="10" t="s">
        <v>63</v>
      </c>
      <c r="L393" t="str">
        <f>IFERROR(VLOOKUP(D393,Products!A:F,3,0),"")</f>
        <v>Beauty</v>
      </c>
      <c r="M393" t="str">
        <f>IFERROR(VLOOKUP(E393,Sales_Reps!A:E,3,0),"")</f>
        <v>West</v>
      </c>
      <c r="N393" t="str">
        <f>IFERROR(VLOOKUP(C393,Customers!A:F,5,0),"")</f>
        <v>Retail</v>
      </c>
      <c r="O393">
        <f>IFERROR(VLOOKUP(C393,Customers!A:F,3,0),"")</f>
        <v>63</v>
      </c>
      <c r="P393">
        <f>IFERROR(VLOOKUP(D393,Products!A:F,4,0),"")</f>
        <v>647</v>
      </c>
      <c r="Q393" t="b">
        <f>IFERROR(VLOOKUP(D393,Products!A:F,6,0),"")</f>
        <v>0</v>
      </c>
      <c r="R393">
        <f t="shared" si="18"/>
        <v>0.57987012987012987</v>
      </c>
      <c r="S393">
        <f t="shared" si="19"/>
        <v>1</v>
      </c>
      <c r="T393">
        <f>IF(AND(S393&gt;1,COUNTIF($A$2:A393,A393)=1),1,0)</f>
        <v>0</v>
      </c>
      <c r="U393">
        <f>COUNTIF(Customers!$A$2:$A$301,C393)</f>
        <v>1</v>
      </c>
      <c r="V393">
        <f t="shared" si="20"/>
        <v>0</v>
      </c>
    </row>
    <row r="394" spans="1:22" ht="14.25" customHeight="1" x14ac:dyDescent="0.35">
      <c r="A394" s="10" t="s">
        <v>762</v>
      </c>
      <c r="B394" s="11">
        <v>45655</v>
      </c>
      <c r="C394" s="10" t="s">
        <v>763</v>
      </c>
      <c r="D394" s="10" t="s">
        <v>49</v>
      </c>
      <c r="E394" s="10" t="s">
        <v>165</v>
      </c>
      <c r="F394" s="12">
        <v>10</v>
      </c>
      <c r="G394" s="12">
        <v>3620</v>
      </c>
      <c r="H394" s="12">
        <v>22</v>
      </c>
      <c r="I394" s="12">
        <v>28236</v>
      </c>
      <c r="J394" s="10" t="s">
        <v>51</v>
      </c>
      <c r="K394" s="10" t="s">
        <v>52</v>
      </c>
      <c r="L394" t="str">
        <f>IFERROR(VLOOKUP(D394,Products!A:F,3,0),"")</f>
        <v>Apparel</v>
      </c>
      <c r="M394" t="str">
        <f>IFERROR(VLOOKUP(E394,Sales_Reps!A:E,3,0),"")</f>
        <v>West</v>
      </c>
      <c r="N394" t="str">
        <f>IFERROR(VLOOKUP(C394,Customers!A:F,5,0),"")</f>
        <v/>
      </c>
      <c r="O394" t="str">
        <f>IFERROR(VLOOKUP(C394,Customers!A:F,3,0),"")</f>
        <v/>
      </c>
      <c r="P394">
        <f>IFERROR(VLOOKUP(D394,Products!A:F,4,0),"")</f>
        <v>2509</v>
      </c>
      <c r="Q394" t="b">
        <f>IFERROR(VLOOKUP(D394,Products!A:F,6,0),"")</f>
        <v>1</v>
      </c>
      <c r="R394">
        <f t="shared" si="18"/>
        <v>0.3069060773480663</v>
      </c>
      <c r="S394">
        <f t="shared" si="19"/>
        <v>1</v>
      </c>
      <c r="T394">
        <f>IF(AND(S394&gt;1,COUNTIF($A$2:A394,A394)=1),1,0)</f>
        <v>0</v>
      </c>
      <c r="U394">
        <f>COUNTIF(Customers!$A$2:$A$301,C394)</f>
        <v>0</v>
      </c>
      <c r="V394">
        <f t="shared" si="20"/>
        <v>0</v>
      </c>
    </row>
    <row r="395" spans="1:22" ht="14.25" customHeight="1" x14ac:dyDescent="0.35">
      <c r="A395" s="10" t="s">
        <v>764</v>
      </c>
      <c r="B395" s="11">
        <v>45629</v>
      </c>
      <c r="C395" s="10" t="s">
        <v>197</v>
      </c>
      <c r="D395" s="10" t="s">
        <v>61</v>
      </c>
      <c r="E395" s="10" t="s">
        <v>165</v>
      </c>
      <c r="F395" s="12">
        <v>2</v>
      </c>
      <c r="G395" s="12">
        <v>470</v>
      </c>
      <c r="H395" s="12">
        <v>26.5</v>
      </c>
      <c r="I395" s="12">
        <v>690.9</v>
      </c>
      <c r="J395" s="10" t="s">
        <v>57</v>
      </c>
      <c r="K395" s="10" t="s">
        <v>52</v>
      </c>
      <c r="L395" t="str">
        <f>IFERROR(VLOOKUP(D395,Products!A:F,3,0),"")</f>
        <v>Sports</v>
      </c>
      <c r="M395" t="str">
        <f>IFERROR(VLOOKUP(E395,Sales_Reps!A:E,3,0),"")</f>
        <v>West</v>
      </c>
      <c r="N395" t="str">
        <f>IFERROR(VLOOKUP(C395,Customers!A:F,5,0),"")</f>
        <v>SMB</v>
      </c>
      <c r="O395">
        <f>IFERROR(VLOOKUP(C395,Customers!A:F,3,0),"")</f>
        <v>29</v>
      </c>
      <c r="P395">
        <f>IFERROR(VLOOKUP(D395,Products!A:F,4,0),"")</f>
        <v>302</v>
      </c>
      <c r="Q395" t="b">
        <f>IFERROR(VLOOKUP(D395,Products!A:F,6,0),"")</f>
        <v>0</v>
      </c>
      <c r="R395">
        <f t="shared" si="18"/>
        <v>0.35744680851063831</v>
      </c>
      <c r="S395">
        <f t="shared" si="19"/>
        <v>1</v>
      </c>
      <c r="T395">
        <f>IF(AND(S395&gt;1,COUNTIF($A$2:A395,A395)=1),1,0)</f>
        <v>0</v>
      </c>
      <c r="U395">
        <f>COUNTIF(Customers!$A$2:$A$301,C395)</f>
        <v>1</v>
      </c>
      <c r="V395">
        <f t="shared" si="20"/>
        <v>0</v>
      </c>
    </row>
    <row r="396" spans="1:22" ht="14.25" customHeight="1" x14ac:dyDescent="0.35">
      <c r="A396" s="10" t="s">
        <v>765</v>
      </c>
      <c r="B396" s="11">
        <v>45323</v>
      </c>
      <c r="C396" s="10" t="s">
        <v>766</v>
      </c>
      <c r="D396" s="10" t="s">
        <v>66</v>
      </c>
      <c r="E396" s="10" t="s">
        <v>96</v>
      </c>
      <c r="F396" s="12">
        <v>6</v>
      </c>
      <c r="G396" s="12">
        <v>3660</v>
      </c>
      <c r="H396" s="12">
        <v>1.5</v>
      </c>
      <c r="I396" s="12">
        <v>21630.6</v>
      </c>
      <c r="J396" s="10" t="s">
        <v>51</v>
      </c>
      <c r="K396" s="10" t="s">
        <v>58</v>
      </c>
      <c r="L396" t="str">
        <f>IFERROR(VLOOKUP(D396,Products!A:F,3,0),"")</f>
        <v>Grocery</v>
      </c>
      <c r="M396" t="str">
        <f>IFERROR(VLOOKUP(E396,Sales_Reps!A:E,3,0),"")</f>
        <v>South</v>
      </c>
      <c r="N396" t="str">
        <f>IFERROR(VLOOKUP(C396,Customers!A:F,5,0),"")</f>
        <v>SMB</v>
      </c>
      <c r="O396">
        <f>IFERROR(VLOOKUP(C396,Customers!A:F,3,0),"")</f>
        <v>39</v>
      </c>
      <c r="P396">
        <f>IFERROR(VLOOKUP(D396,Products!A:F,4,0),"")</f>
        <v>2214</v>
      </c>
      <c r="Q396" t="b">
        <f>IFERROR(VLOOKUP(D396,Products!A:F,6,0),"")</f>
        <v>0</v>
      </c>
      <c r="R396">
        <f t="shared" si="18"/>
        <v>0.39508196721311473</v>
      </c>
      <c r="S396">
        <f t="shared" si="19"/>
        <v>1</v>
      </c>
      <c r="T396">
        <f>IF(AND(S396&gt;1,COUNTIF($A$2:A396,A396)=1),1,0)</f>
        <v>0</v>
      </c>
      <c r="U396">
        <f>COUNTIF(Customers!$A$2:$A$301,C396)</f>
        <v>1</v>
      </c>
      <c r="V396">
        <f t="shared" si="20"/>
        <v>0</v>
      </c>
    </row>
    <row r="397" spans="1:22" ht="14.25" customHeight="1" x14ac:dyDescent="0.35">
      <c r="A397" s="10" t="s">
        <v>767</v>
      </c>
      <c r="B397" s="11">
        <v>45432</v>
      </c>
      <c r="C397" s="10" t="s">
        <v>83</v>
      </c>
      <c r="D397" s="10" t="s">
        <v>479</v>
      </c>
      <c r="E397" s="10" t="s">
        <v>202</v>
      </c>
      <c r="F397" s="12">
        <v>10</v>
      </c>
      <c r="G397" s="12">
        <v>6940</v>
      </c>
      <c r="H397" s="12">
        <v>1.9</v>
      </c>
      <c r="I397" s="12">
        <v>68081.399999999994</v>
      </c>
      <c r="J397" s="10" t="s">
        <v>51</v>
      </c>
      <c r="K397" s="10" t="s">
        <v>81</v>
      </c>
      <c r="L397" t="str">
        <f>IFERROR(VLOOKUP(D397,Products!A:F,3,0),"")</f>
        <v>Sports</v>
      </c>
      <c r="M397" t="str">
        <f>IFERROR(VLOOKUP(E397,Sales_Reps!A:E,3,0),"")</f>
        <v>East</v>
      </c>
      <c r="N397" t="str">
        <f>IFERROR(VLOOKUP(C397,Customers!A:F,5,0),"")</f>
        <v>Corporate</v>
      </c>
      <c r="O397">
        <f>IFERROR(VLOOKUP(C397,Customers!A:F,3,0),"")</f>
        <v>57</v>
      </c>
      <c r="P397">
        <f>IFERROR(VLOOKUP(D397,Products!A:F,4,0),"")</f>
        <v>2827</v>
      </c>
      <c r="Q397" t="b">
        <f>IFERROR(VLOOKUP(D397,Products!A:F,6,0),"")</f>
        <v>1</v>
      </c>
      <c r="R397">
        <f t="shared" si="18"/>
        <v>0.5926512968299712</v>
      </c>
      <c r="S397">
        <f t="shared" si="19"/>
        <v>1</v>
      </c>
      <c r="T397">
        <f>IF(AND(S397&gt;1,COUNTIF($A$2:A397,A397)=1),1,0)</f>
        <v>0</v>
      </c>
      <c r="U397">
        <f>COUNTIF(Customers!$A$2:$A$301,C397)</f>
        <v>1</v>
      </c>
      <c r="V397">
        <f t="shared" si="20"/>
        <v>0</v>
      </c>
    </row>
    <row r="398" spans="1:22" ht="14.25" customHeight="1" x14ac:dyDescent="0.35">
      <c r="A398" s="10" t="s">
        <v>768</v>
      </c>
      <c r="B398" s="11">
        <v>45397</v>
      </c>
      <c r="C398" s="10" t="s">
        <v>544</v>
      </c>
      <c r="D398" s="10" t="s">
        <v>350</v>
      </c>
      <c r="E398" s="10" t="s">
        <v>56</v>
      </c>
      <c r="F398" s="12">
        <v>8</v>
      </c>
      <c r="G398" s="12">
        <v>2290</v>
      </c>
      <c r="H398" s="12">
        <v>27.9</v>
      </c>
      <c r="I398" s="12">
        <v>13208.72</v>
      </c>
      <c r="J398" s="10" t="s">
        <v>51</v>
      </c>
      <c r="K398" s="10" t="s">
        <v>52</v>
      </c>
      <c r="L398" t="str">
        <f>IFERROR(VLOOKUP(D398,Products!A:F,3,0),"")</f>
        <v>Beauty</v>
      </c>
      <c r="M398" t="str">
        <f>IFERROR(VLOOKUP(E398,Sales_Reps!A:E,3,0),"")</f>
        <v>North</v>
      </c>
      <c r="N398" t="str">
        <f>IFERROR(VLOOKUP(C398,Customers!A:F,5,0),"")</f>
        <v>Corporate</v>
      </c>
      <c r="O398">
        <f>IFERROR(VLOOKUP(C398,Customers!A:F,3,0),"")</f>
        <v>40</v>
      </c>
      <c r="P398">
        <f>IFERROR(VLOOKUP(D398,Products!A:F,4,0),"")</f>
        <v>1219</v>
      </c>
      <c r="Q398" t="b">
        <f>IFERROR(VLOOKUP(D398,Products!A:F,6,0),"")</f>
        <v>1</v>
      </c>
      <c r="R398">
        <f t="shared" si="18"/>
        <v>0.46768558951965067</v>
      </c>
      <c r="S398">
        <f t="shared" si="19"/>
        <v>1</v>
      </c>
      <c r="T398">
        <f>IF(AND(S398&gt;1,COUNTIF($A$2:A398,A398)=1),1,0)</f>
        <v>0</v>
      </c>
      <c r="U398">
        <f>COUNTIF(Customers!$A$2:$A$301,C398)</f>
        <v>1</v>
      </c>
      <c r="V398">
        <f t="shared" si="20"/>
        <v>0</v>
      </c>
    </row>
    <row r="399" spans="1:22" ht="14.25" customHeight="1" x14ac:dyDescent="0.35">
      <c r="A399" s="10" t="s">
        <v>769</v>
      </c>
      <c r="B399" s="11">
        <v>45573</v>
      </c>
      <c r="C399" s="10" t="s">
        <v>476</v>
      </c>
      <c r="D399" s="10" t="s">
        <v>70</v>
      </c>
      <c r="E399" s="10" t="s">
        <v>80</v>
      </c>
      <c r="F399" s="12">
        <v>9</v>
      </c>
      <c r="G399" s="12">
        <v>3160</v>
      </c>
      <c r="H399" s="12">
        <v>10.199999999999999</v>
      </c>
      <c r="I399" s="12">
        <v>25539.119999999999</v>
      </c>
      <c r="J399" s="10" t="s">
        <v>51</v>
      </c>
      <c r="K399" s="10" t="s">
        <v>97</v>
      </c>
      <c r="L399" t="str">
        <f>IFERROR(VLOOKUP(D399,Products!A:F,3,0),"")</f>
        <v>Apparel</v>
      </c>
      <c r="M399" t="str">
        <f>IFERROR(VLOOKUP(E399,Sales_Reps!A:E,3,0),"")</f>
        <v>West</v>
      </c>
      <c r="N399" t="str">
        <f>IFERROR(VLOOKUP(C399,Customers!A:F,5,0),"")</f>
        <v>Retail</v>
      </c>
      <c r="O399">
        <f>IFERROR(VLOOKUP(C399,Customers!A:F,3,0),"")</f>
        <v>61</v>
      </c>
      <c r="P399">
        <f>IFERROR(VLOOKUP(D399,Products!A:F,4,0),"")</f>
        <v>1886</v>
      </c>
      <c r="Q399" t="b">
        <f>IFERROR(VLOOKUP(D399,Products!A:F,6,0),"")</f>
        <v>1</v>
      </c>
      <c r="R399">
        <f t="shared" si="18"/>
        <v>0.4031645569620253</v>
      </c>
      <c r="S399">
        <f t="shared" si="19"/>
        <v>1</v>
      </c>
      <c r="T399">
        <f>IF(AND(S399&gt;1,COUNTIF($A$2:A399,A399)=1),1,0)</f>
        <v>0</v>
      </c>
      <c r="U399">
        <f>COUNTIF(Customers!$A$2:$A$301,C399)</f>
        <v>1</v>
      </c>
      <c r="V399">
        <f t="shared" si="20"/>
        <v>0</v>
      </c>
    </row>
    <row r="400" spans="1:22" ht="14.25" customHeight="1" x14ac:dyDescent="0.35">
      <c r="A400" s="10" t="s">
        <v>770</v>
      </c>
      <c r="B400" s="11">
        <v>45307</v>
      </c>
      <c r="C400" s="10" t="s">
        <v>771</v>
      </c>
      <c r="D400" s="10" t="s">
        <v>407</v>
      </c>
      <c r="E400" s="10" t="s">
        <v>92</v>
      </c>
      <c r="F400" s="12">
        <v>6</v>
      </c>
      <c r="G400" s="12">
        <v>5080</v>
      </c>
      <c r="H400" s="12">
        <v>25.4</v>
      </c>
      <c r="I400" s="12">
        <v>22738.080000000002</v>
      </c>
      <c r="J400" s="10" t="s">
        <v>51</v>
      </c>
      <c r="K400" s="10" t="s">
        <v>52</v>
      </c>
      <c r="L400" t="str">
        <f>IFERROR(VLOOKUP(D400,Products!A:F,3,0),"")</f>
        <v>Home</v>
      </c>
      <c r="M400" t="str">
        <f>IFERROR(VLOOKUP(E400,Sales_Reps!A:E,3,0),"")</f>
        <v>West</v>
      </c>
      <c r="N400" t="str">
        <f>IFERROR(VLOOKUP(C400,Customers!A:F,5,0),"")</f>
        <v>Retail</v>
      </c>
      <c r="O400">
        <f>IFERROR(VLOOKUP(C400,Customers!A:F,3,0),"")</f>
        <v>36</v>
      </c>
      <c r="P400">
        <f>IFERROR(VLOOKUP(D400,Products!A:F,4,0),"")</f>
        <v>2459</v>
      </c>
      <c r="Q400" t="b">
        <f>IFERROR(VLOOKUP(D400,Products!A:F,6,0),"")</f>
        <v>1</v>
      </c>
      <c r="R400">
        <f t="shared" si="18"/>
        <v>0.51594488188976373</v>
      </c>
      <c r="S400">
        <f t="shared" si="19"/>
        <v>1</v>
      </c>
      <c r="T400">
        <f>IF(AND(S400&gt;1,COUNTIF($A$2:A400,A400)=1),1,0)</f>
        <v>0</v>
      </c>
      <c r="U400">
        <f>COUNTIF(Customers!$A$2:$A$301,C400)</f>
        <v>1</v>
      </c>
      <c r="V400">
        <f t="shared" si="20"/>
        <v>0</v>
      </c>
    </row>
    <row r="401" spans="1:22" ht="14.25" customHeight="1" x14ac:dyDescent="0.35">
      <c r="A401" s="10" t="s">
        <v>772</v>
      </c>
      <c r="B401" s="11">
        <v>45620</v>
      </c>
      <c r="C401" s="10" t="s">
        <v>708</v>
      </c>
      <c r="D401" s="10" t="s">
        <v>164</v>
      </c>
      <c r="E401" s="10" t="s">
        <v>289</v>
      </c>
      <c r="F401" s="12">
        <v>6</v>
      </c>
      <c r="G401" s="12">
        <v>2760</v>
      </c>
      <c r="H401" s="12">
        <v>21.3</v>
      </c>
      <c r="I401" s="12">
        <v>13032.72</v>
      </c>
      <c r="J401" s="10" t="s">
        <v>51</v>
      </c>
      <c r="K401" s="10" t="s">
        <v>97</v>
      </c>
      <c r="L401" t="str">
        <f>IFERROR(VLOOKUP(D401,Products!A:F,3,0),"")</f>
        <v>Grocery</v>
      </c>
      <c r="M401" t="str">
        <f>IFERROR(VLOOKUP(E401,Sales_Reps!A:E,3,0),"")</f>
        <v>South</v>
      </c>
      <c r="N401" t="str">
        <f>IFERROR(VLOOKUP(C401,Customers!A:F,5,0),"")</f>
        <v>Retail</v>
      </c>
      <c r="O401">
        <f>IFERROR(VLOOKUP(C401,Customers!A:F,3,0),"")</f>
        <v>64</v>
      </c>
      <c r="P401">
        <f>IFERROR(VLOOKUP(D401,Products!A:F,4,0),"")</f>
        <v>1435</v>
      </c>
      <c r="Q401" t="b">
        <f>IFERROR(VLOOKUP(D401,Products!A:F,6,0),"")</f>
        <v>1</v>
      </c>
      <c r="R401">
        <f t="shared" si="18"/>
        <v>0.48007246376811596</v>
      </c>
      <c r="S401">
        <f t="shared" si="19"/>
        <v>1</v>
      </c>
      <c r="T401">
        <f>IF(AND(S401&gt;1,COUNTIF($A$2:A401,A401)=1),1,0)</f>
        <v>0</v>
      </c>
      <c r="U401">
        <f>COUNTIF(Customers!$A$2:$A$301,C401)</f>
        <v>1</v>
      </c>
      <c r="V401">
        <f t="shared" si="20"/>
        <v>0</v>
      </c>
    </row>
    <row r="402" spans="1:22" ht="14.25" customHeight="1" x14ac:dyDescent="0.35">
      <c r="A402" s="10" t="s">
        <v>773</v>
      </c>
      <c r="B402" s="11">
        <v>45462</v>
      </c>
      <c r="C402" s="10" t="s">
        <v>774</v>
      </c>
      <c r="D402" s="10" t="s">
        <v>231</v>
      </c>
      <c r="E402" s="10" t="s">
        <v>289</v>
      </c>
      <c r="F402" s="12">
        <v>5</v>
      </c>
      <c r="G402" s="12">
        <v>1220</v>
      </c>
      <c r="H402" s="12">
        <v>7.6</v>
      </c>
      <c r="I402" s="12">
        <v>5636.4</v>
      </c>
      <c r="J402" s="10" t="s">
        <v>51</v>
      </c>
      <c r="K402" s="10" t="s">
        <v>76</v>
      </c>
      <c r="L402" t="str">
        <f>IFERROR(VLOOKUP(D402,Products!A:F,3,0),"")</f>
        <v>Electronics</v>
      </c>
      <c r="M402" t="str">
        <f>IFERROR(VLOOKUP(E402,Sales_Reps!A:E,3,0),"")</f>
        <v>South</v>
      </c>
      <c r="N402" t="str">
        <f>IFERROR(VLOOKUP(C402,Customers!A:F,5,0),"")</f>
        <v/>
      </c>
      <c r="O402" t="str">
        <f>IFERROR(VLOOKUP(C402,Customers!A:F,3,0),"")</f>
        <v/>
      </c>
      <c r="P402">
        <f>IFERROR(VLOOKUP(D402,Products!A:F,4,0),"")</f>
        <v>517</v>
      </c>
      <c r="Q402" t="b">
        <f>IFERROR(VLOOKUP(D402,Products!A:F,6,0),"")</f>
        <v>1</v>
      </c>
      <c r="R402">
        <f t="shared" si="18"/>
        <v>0.57622950819672136</v>
      </c>
      <c r="S402">
        <f t="shared" si="19"/>
        <v>1</v>
      </c>
      <c r="T402">
        <f>IF(AND(S402&gt;1,COUNTIF($A$2:A402,A402)=1),1,0)</f>
        <v>0</v>
      </c>
      <c r="U402">
        <f>COUNTIF(Customers!$A$2:$A$301,C402)</f>
        <v>0</v>
      </c>
      <c r="V402">
        <f t="shared" si="20"/>
        <v>0</v>
      </c>
    </row>
    <row r="403" spans="1:22" ht="14.25" customHeight="1" x14ac:dyDescent="0.35">
      <c r="A403" s="10" t="s">
        <v>775</v>
      </c>
      <c r="B403" s="11">
        <v>45622</v>
      </c>
      <c r="C403" s="10" t="s">
        <v>265</v>
      </c>
      <c r="D403" s="10" t="s">
        <v>148</v>
      </c>
      <c r="E403" s="10" t="s">
        <v>92</v>
      </c>
      <c r="F403" s="12">
        <v>5</v>
      </c>
      <c r="G403" s="12">
        <v>4880</v>
      </c>
      <c r="H403" s="12">
        <v>8.5</v>
      </c>
      <c r="I403" s="12">
        <v>22326</v>
      </c>
      <c r="J403" s="10" t="s">
        <v>51</v>
      </c>
      <c r="K403" s="10" t="s">
        <v>58</v>
      </c>
      <c r="L403" t="str">
        <f>IFERROR(VLOOKUP(D403,Products!A:F,3,0),"")</f>
        <v>Beauty</v>
      </c>
      <c r="M403" t="str">
        <f>IFERROR(VLOOKUP(E403,Sales_Reps!A:E,3,0),"")</f>
        <v>West</v>
      </c>
      <c r="N403" t="str">
        <f>IFERROR(VLOOKUP(C403,Customers!A:F,5,0),"")</f>
        <v>Retail</v>
      </c>
      <c r="O403">
        <f>IFERROR(VLOOKUP(C403,Customers!A:F,3,0),"")</f>
        <v>41</v>
      </c>
      <c r="P403">
        <f>IFERROR(VLOOKUP(D403,Products!A:F,4,0),"")</f>
        <v>2768</v>
      </c>
      <c r="Q403" t="b">
        <f>IFERROR(VLOOKUP(D403,Products!A:F,6,0),"")</f>
        <v>1</v>
      </c>
      <c r="R403">
        <f t="shared" si="18"/>
        <v>0.43278688524590164</v>
      </c>
      <c r="S403">
        <f t="shared" si="19"/>
        <v>1</v>
      </c>
      <c r="T403">
        <f>IF(AND(S403&gt;1,COUNTIF($A$2:A403,A403)=1),1,0)</f>
        <v>0</v>
      </c>
      <c r="U403">
        <f>COUNTIF(Customers!$A$2:$A$301,C403)</f>
        <v>1</v>
      </c>
      <c r="V403">
        <f t="shared" si="20"/>
        <v>0</v>
      </c>
    </row>
    <row r="404" spans="1:22" ht="14.25" customHeight="1" x14ac:dyDescent="0.35">
      <c r="A404" s="10" t="s">
        <v>776</v>
      </c>
      <c r="B404" s="11">
        <v>45596</v>
      </c>
      <c r="C404" s="10" t="s">
        <v>195</v>
      </c>
      <c r="D404" s="10" t="s">
        <v>228</v>
      </c>
      <c r="E404" s="10" t="s">
        <v>249</v>
      </c>
      <c r="F404" s="12">
        <v>7</v>
      </c>
      <c r="G404" s="12">
        <v>4070</v>
      </c>
      <c r="H404" s="12">
        <v>28</v>
      </c>
      <c r="I404" s="12">
        <v>20512.8</v>
      </c>
      <c r="J404" s="10" t="s">
        <v>51</v>
      </c>
      <c r="K404" s="10" t="s">
        <v>81</v>
      </c>
      <c r="L404" t="str">
        <f>IFERROR(VLOOKUP(D404,Products!A:F,3,0),"")</f>
        <v>Grocery</v>
      </c>
      <c r="M404" t="str">
        <f>IFERROR(VLOOKUP(E404,Sales_Reps!A:E,3,0),"")</f>
        <v>East</v>
      </c>
      <c r="N404" t="str">
        <f>IFERROR(VLOOKUP(C404,Customers!A:F,5,0),"")</f>
        <v>SMB</v>
      </c>
      <c r="O404">
        <f>IFERROR(VLOOKUP(C404,Customers!A:F,3,0),"")</f>
        <v>64</v>
      </c>
      <c r="P404">
        <f>IFERROR(VLOOKUP(D404,Products!A:F,4,0),"")</f>
        <v>2027</v>
      </c>
      <c r="Q404" t="b">
        <f>IFERROR(VLOOKUP(D404,Products!A:F,6,0),"")</f>
        <v>1</v>
      </c>
      <c r="R404">
        <f t="shared" si="18"/>
        <v>0.50196560196560192</v>
      </c>
      <c r="S404">
        <f t="shared" si="19"/>
        <v>1</v>
      </c>
      <c r="T404">
        <f>IF(AND(S404&gt;1,COUNTIF($A$2:A404,A404)=1),1,0)</f>
        <v>0</v>
      </c>
      <c r="U404">
        <f>COUNTIF(Customers!$A$2:$A$301,C404)</f>
        <v>1</v>
      </c>
      <c r="V404">
        <f t="shared" si="20"/>
        <v>20512.8</v>
      </c>
    </row>
    <row r="405" spans="1:22" ht="14.25" customHeight="1" x14ac:dyDescent="0.35">
      <c r="A405" s="10" t="s">
        <v>777</v>
      </c>
      <c r="B405" s="11">
        <v>45506</v>
      </c>
      <c r="C405" s="10" t="s">
        <v>465</v>
      </c>
      <c r="D405" s="10" t="s">
        <v>372</v>
      </c>
      <c r="E405" s="10" t="s">
        <v>92</v>
      </c>
      <c r="F405" s="12">
        <v>2</v>
      </c>
      <c r="G405" s="12">
        <v>3970</v>
      </c>
      <c r="H405" s="12">
        <v>14</v>
      </c>
      <c r="I405" s="12">
        <v>6828.4</v>
      </c>
      <c r="J405" s="10" t="s">
        <v>51</v>
      </c>
      <c r="K405" s="10" t="s">
        <v>97</v>
      </c>
      <c r="L405" t="str">
        <f>IFERROR(VLOOKUP(D405,Products!A:F,3,0),"")</f>
        <v>Electronics</v>
      </c>
      <c r="M405" t="str">
        <f>IFERROR(VLOOKUP(E405,Sales_Reps!A:E,3,0),"")</f>
        <v>West</v>
      </c>
      <c r="N405" t="str">
        <f>IFERROR(VLOOKUP(C405,Customers!A:F,5,0),"")</f>
        <v>SMB</v>
      </c>
      <c r="O405">
        <f>IFERROR(VLOOKUP(C405,Customers!A:F,3,0),"")</f>
        <v>65</v>
      </c>
      <c r="P405">
        <f>IFERROR(VLOOKUP(D405,Products!A:F,4,0),"")</f>
        <v>2865</v>
      </c>
      <c r="Q405" t="b">
        <f>IFERROR(VLOOKUP(D405,Products!A:F,6,0),"")</f>
        <v>1</v>
      </c>
      <c r="R405">
        <f t="shared" si="18"/>
        <v>0.27833753148614609</v>
      </c>
      <c r="S405">
        <f t="shared" si="19"/>
        <v>1</v>
      </c>
      <c r="T405">
        <f>IF(AND(S405&gt;1,COUNTIF($A$2:A405,A405)=1),1,0)</f>
        <v>0</v>
      </c>
      <c r="U405">
        <f>COUNTIF(Customers!$A$2:$A$301,C405)</f>
        <v>1</v>
      </c>
      <c r="V405">
        <f t="shared" si="20"/>
        <v>0</v>
      </c>
    </row>
    <row r="406" spans="1:22" ht="14.25" customHeight="1" x14ac:dyDescent="0.35">
      <c r="A406" s="10" t="s">
        <v>778</v>
      </c>
      <c r="B406" s="11">
        <v>45349</v>
      </c>
      <c r="C406" s="10" t="s">
        <v>230</v>
      </c>
      <c r="D406" s="10" t="s">
        <v>243</v>
      </c>
      <c r="E406" s="10" t="s">
        <v>267</v>
      </c>
      <c r="F406" s="12">
        <v>9</v>
      </c>
      <c r="G406" s="12">
        <v>2660</v>
      </c>
      <c r="H406" s="12">
        <v>10.1</v>
      </c>
      <c r="I406" s="12">
        <v>21522.06</v>
      </c>
      <c r="J406" s="10" t="s">
        <v>51</v>
      </c>
      <c r="K406" s="10" t="s">
        <v>63</v>
      </c>
      <c r="L406" t="str">
        <f>IFERROR(VLOOKUP(D406,Products!A:F,3,0),"")</f>
        <v>Electronics</v>
      </c>
      <c r="M406" t="str">
        <f>IFERROR(VLOOKUP(E406,Sales_Reps!A:E,3,0),"")</f>
        <v>East</v>
      </c>
      <c r="N406" t="str">
        <f>IFERROR(VLOOKUP(C406,Customers!A:F,5,0),"")</f>
        <v>Corporate</v>
      </c>
      <c r="O406">
        <f>IFERROR(VLOOKUP(C406,Customers!A:F,3,0),"")</f>
        <v>55</v>
      </c>
      <c r="P406">
        <f>IFERROR(VLOOKUP(D406,Products!A:F,4,0),"")</f>
        <v>1259</v>
      </c>
      <c r="Q406" t="b">
        <f>IFERROR(VLOOKUP(D406,Products!A:F,6,0),"")</f>
        <v>0</v>
      </c>
      <c r="R406">
        <f t="shared" si="18"/>
        <v>0.52669172932330832</v>
      </c>
      <c r="S406">
        <f t="shared" si="19"/>
        <v>1</v>
      </c>
      <c r="T406">
        <f>IF(AND(S406&gt;1,COUNTIF($A$2:A406,A406)=1),1,0)</f>
        <v>0</v>
      </c>
      <c r="U406">
        <f>COUNTIF(Customers!$A$2:$A$301,C406)</f>
        <v>1</v>
      </c>
      <c r="V406">
        <f t="shared" si="20"/>
        <v>0</v>
      </c>
    </row>
    <row r="407" spans="1:22" ht="14.25" customHeight="1" x14ac:dyDescent="0.35">
      <c r="A407" s="10" t="s">
        <v>779</v>
      </c>
      <c r="B407" s="11">
        <v>45407</v>
      </c>
      <c r="C407" s="10" t="s">
        <v>780</v>
      </c>
      <c r="D407" s="10" t="s">
        <v>159</v>
      </c>
      <c r="E407" s="10" t="s">
        <v>249</v>
      </c>
      <c r="F407" s="12">
        <v>9</v>
      </c>
      <c r="G407" s="12">
        <v>2860</v>
      </c>
      <c r="H407" s="12">
        <v>10.1</v>
      </c>
      <c r="I407" s="12">
        <v>23140.26</v>
      </c>
      <c r="J407" s="10" t="s">
        <v>108</v>
      </c>
      <c r="K407" s="10" t="s">
        <v>52</v>
      </c>
      <c r="L407" t="str">
        <f>IFERROR(VLOOKUP(D407,Products!A:F,3,0),"")</f>
        <v>Sports</v>
      </c>
      <c r="M407" t="str">
        <f>IFERROR(VLOOKUP(E407,Sales_Reps!A:E,3,0),"")</f>
        <v>East</v>
      </c>
      <c r="N407" t="str">
        <f>IFERROR(VLOOKUP(C407,Customers!A:F,5,0),"")</f>
        <v>Retail</v>
      </c>
      <c r="O407">
        <f>IFERROR(VLOOKUP(C407,Customers!A:F,3,0),"")</f>
        <v>36</v>
      </c>
      <c r="P407">
        <f>IFERROR(VLOOKUP(D407,Products!A:F,4,0),"")</f>
        <v>2028</v>
      </c>
      <c r="Q407" t="b">
        <f>IFERROR(VLOOKUP(D407,Products!A:F,6,0),"")</f>
        <v>1</v>
      </c>
      <c r="R407">
        <f t="shared" si="18"/>
        <v>0.29090909090909089</v>
      </c>
      <c r="S407">
        <f t="shared" si="19"/>
        <v>1</v>
      </c>
      <c r="T407">
        <f>IF(AND(S407&gt;1,COUNTIF($A$2:A407,A407)=1),1,0)</f>
        <v>0</v>
      </c>
      <c r="U407">
        <f>COUNTIF(Customers!$A$2:$A$301,C407)</f>
        <v>1</v>
      </c>
      <c r="V407">
        <f t="shared" si="20"/>
        <v>0</v>
      </c>
    </row>
    <row r="408" spans="1:22" ht="14.25" customHeight="1" x14ac:dyDescent="0.35">
      <c r="A408" s="10" t="s">
        <v>781</v>
      </c>
      <c r="B408" s="11">
        <v>45591</v>
      </c>
      <c r="C408" s="10" t="s">
        <v>255</v>
      </c>
      <c r="D408" s="10" t="s">
        <v>231</v>
      </c>
      <c r="E408" s="10" t="s">
        <v>50</v>
      </c>
      <c r="F408" s="12">
        <v>7</v>
      </c>
      <c r="G408" s="12">
        <v>1220</v>
      </c>
      <c r="H408" s="12">
        <v>23.5</v>
      </c>
      <c r="I408" s="12">
        <v>6533.1</v>
      </c>
      <c r="J408" s="10" t="s">
        <v>108</v>
      </c>
      <c r="K408" s="10" t="s">
        <v>63</v>
      </c>
      <c r="L408" t="str">
        <f>IFERROR(VLOOKUP(D408,Products!A:F,3,0),"")</f>
        <v>Electronics</v>
      </c>
      <c r="M408" t="str">
        <f>IFERROR(VLOOKUP(E408,Sales_Reps!A:E,3,0),"")</f>
        <v>North</v>
      </c>
      <c r="N408" t="str">
        <f>IFERROR(VLOOKUP(C408,Customers!A:F,5,0),"")</f>
        <v>Retail</v>
      </c>
      <c r="O408">
        <f>IFERROR(VLOOKUP(C408,Customers!A:F,3,0),"")</f>
        <v>35</v>
      </c>
      <c r="P408">
        <f>IFERROR(VLOOKUP(D408,Products!A:F,4,0),"")</f>
        <v>517</v>
      </c>
      <c r="Q408" t="b">
        <f>IFERROR(VLOOKUP(D408,Products!A:F,6,0),"")</f>
        <v>1</v>
      </c>
      <c r="R408">
        <f t="shared" si="18"/>
        <v>0.57622950819672136</v>
      </c>
      <c r="S408">
        <f t="shared" si="19"/>
        <v>1</v>
      </c>
      <c r="T408">
        <f>IF(AND(S408&gt;1,COUNTIF($A$2:A408,A408)=1),1,0)</f>
        <v>0</v>
      </c>
      <c r="U408">
        <f>COUNTIF(Customers!$A$2:$A$301,C408)</f>
        <v>1</v>
      </c>
      <c r="V408">
        <f t="shared" si="20"/>
        <v>0</v>
      </c>
    </row>
    <row r="409" spans="1:22" ht="14.25" customHeight="1" x14ac:dyDescent="0.35">
      <c r="A409" s="10" t="s">
        <v>782</v>
      </c>
      <c r="B409" s="11">
        <v>45584</v>
      </c>
      <c r="C409" s="10" t="s">
        <v>398</v>
      </c>
      <c r="D409" s="10" t="s">
        <v>209</v>
      </c>
      <c r="E409" s="10" t="s">
        <v>165</v>
      </c>
      <c r="F409" s="12">
        <v>1</v>
      </c>
      <c r="G409" s="12">
        <v>2270</v>
      </c>
      <c r="H409" s="12">
        <v>5.8</v>
      </c>
      <c r="I409" s="12">
        <v>2138.34</v>
      </c>
      <c r="J409" s="10" t="s">
        <v>104</v>
      </c>
      <c r="K409" s="10" t="s">
        <v>63</v>
      </c>
      <c r="L409" t="str">
        <f>IFERROR(VLOOKUP(D409,Products!A:F,3,0),"")</f>
        <v>Grocery</v>
      </c>
      <c r="M409" t="str">
        <f>IFERROR(VLOOKUP(E409,Sales_Reps!A:E,3,0),"")</f>
        <v>West</v>
      </c>
      <c r="N409" t="str">
        <f>IFERROR(VLOOKUP(C409,Customers!A:F,5,0),"")</f>
        <v>Corporate</v>
      </c>
      <c r="O409">
        <f>IFERROR(VLOOKUP(C409,Customers!A:F,3,0),"")</f>
        <v>31</v>
      </c>
      <c r="P409">
        <f>IFERROR(VLOOKUP(D409,Products!A:F,4,0),"")</f>
        <v>1412</v>
      </c>
      <c r="Q409" t="b">
        <f>IFERROR(VLOOKUP(D409,Products!A:F,6,0),"")</f>
        <v>1</v>
      </c>
      <c r="R409">
        <f t="shared" si="18"/>
        <v>0.37797356828193834</v>
      </c>
      <c r="S409">
        <f t="shared" si="19"/>
        <v>1</v>
      </c>
      <c r="T409">
        <f>IF(AND(S409&gt;1,COUNTIF($A$2:A409,A409)=1),1,0)</f>
        <v>0</v>
      </c>
      <c r="U409">
        <f>COUNTIF(Customers!$A$2:$A$301,C409)</f>
        <v>1</v>
      </c>
      <c r="V409">
        <f t="shared" si="20"/>
        <v>0</v>
      </c>
    </row>
    <row r="410" spans="1:22" ht="14.25" customHeight="1" x14ac:dyDescent="0.35">
      <c r="A410" s="10" t="s">
        <v>783</v>
      </c>
      <c r="B410" s="11">
        <v>45581</v>
      </c>
      <c r="C410" s="10" t="s">
        <v>581</v>
      </c>
      <c r="D410" s="10" t="s">
        <v>167</v>
      </c>
      <c r="E410" s="10" t="s">
        <v>261</v>
      </c>
      <c r="F410" s="12">
        <v>2</v>
      </c>
      <c r="G410" s="12">
        <v>660</v>
      </c>
      <c r="H410" s="12">
        <v>2.2999999999999998</v>
      </c>
      <c r="I410" s="12">
        <v>1289.6400000000001</v>
      </c>
      <c r="J410" s="10" t="s">
        <v>51</v>
      </c>
      <c r="K410" s="10" t="s">
        <v>76</v>
      </c>
      <c r="L410" t="str">
        <f>IFERROR(VLOOKUP(D410,Products!A:F,3,0),"")</f>
        <v>Home</v>
      </c>
      <c r="M410" t="str">
        <f>IFERROR(VLOOKUP(E410,Sales_Reps!A:E,3,0),"")</f>
        <v>North</v>
      </c>
      <c r="N410" t="str">
        <f>IFERROR(VLOOKUP(C410,Customers!A:F,5,0),"")</f>
        <v>SMB</v>
      </c>
      <c r="O410">
        <f>IFERROR(VLOOKUP(C410,Customers!A:F,3,0),"")</f>
        <v>65</v>
      </c>
      <c r="P410">
        <f>IFERROR(VLOOKUP(D410,Products!A:F,4,0),"")</f>
        <v>329</v>
      </c>
      <c r="Q410" t="b">
        <f>IFERROR(VLOOKUP(D410,Products!A:F,6,0),"")</f>
        <v>1</v>
      </c>
      <c r="R410">
        <f t="shared" si="18"/>
        <v>0.50151515151515147</v>
      </c>
      <c r="S410">
        <f t="shared" si="19"/>
        <v>1</v>
      </c>
      <c r="T410">
        <f>IF(AND(S410&gt;1,COUNTIF($A$2:A410,A410)=1),1,0)</f>
        <v>0</v>
      </c>
      <c r="U410">
        <f>COUNTIF(Customers!$A$2:$A$301,C410)</f>
        <v>1</v>
      </c>
      <c r="V410">
        <f t="shared" si="20"/>
        <v>0</v>
      </c>
    </row>
    <row r="411" spans="1:22" ht="14.25" customHeight="1" x14ac:dyDescent="0.35">
      <c r="A411" s="10" t="s">
        <v>784</v>
      </c>
      <c r="B411" s="11">
        <v>45441</v>
      </c>
      <c r="C411" s="10" t="s">
        <v>309</v>
      </c>
      <c r="D411" s="10" t="s">
        <v>70</v>
      </c>
      <c r="E411" s="10" t="s">
        <v>62</v>
      </c>
      <c r="F411" s="12">
        <v>1</v>
      </c>
      <c r="G411" s="12">
        <v>3160</v>
      </c>
      <c r="H411" s="12">
        <v>5.6</v>
      </c>
      <c r="I411" s="12">
        <v>2983.04</v>
      </c>
      <c r="J411" s="10" t="s">
        <v>51</v>
      </c>
      <c r="K411" s="10" t="s">
        <v>58</v>
      </c>
      <c r="L411" t="str">
        <f>IFERROR(VLOOKUP(D411,Products!A:F,3,0),"")</f>
        <v>Apparel</v>
      </c>
      <c r="M411" t="str">
        <f>IFERROR(VLOOKUP(E411,Sales_Reps!A:E,3,0),"")</f>
        <v>South</v>
      </c>
      <c r="N411" t="str">
        <f>IFERROR(VLOOKUP(C411,Customers!A:F,5,0),"")</f>
        <v>Corporate</v>
      </c>
      <c r="O411">
        <f>IFERROR(VLOOKUP(C411,Customers!A:F,3,0),"")</f>
        <v>38</v>
      </c>
      <c r="P411">
        <f>IFERROR(VLOOKUP(D411,Products!A:F,4,0),"")</f>
        <v>1886</v>
      </c>
      <c r="Q411" t="b">
        <f>IFERROR(VLOOKUP(D411,Products!A:F,6,0),"")</f>
        <v>1</v>
      </c>
      <c r="R411">
        <f t="shared" si="18"/>
        <v>0.4031645569620253</v>
      </c>
      <c r="S411">
        <f t="shared" si="19"/>
        <v>1</v>
      </c>
      <c r="T411">
        <f>IF(AND(S411&gt;1,COUNTIF($A$2:A411,A411)=1),1,0)</f>
        <v>0</v>
      </c>
      <c r="U411">
        <f>COUNTIF(Customers!$A$2:$A$301,C411)</f>
        <v>1</v>
      </c>
      <c r="V411">
        <f t="shared" si="20"/>
        <v>0</v>
      </c>
    </row>
    <row r="412" spans="1:22" ht="14.25" customHeight="1" x14ac:dyDescent="0.35">
      <c r="A412" s="10" t="s">
        <v>785</v>
      </c>
      <c r="B412" s="11">
        <v>45408</v>
      </c>
      <c r="C412" s="10" t="s">
        <v>69</v>
      </c>
      <c r="D412" s="10" t="s">
        <v>102</v>
      </c>
      <c r="E412" s="10" t="s">
        <v>216</v>
      </c>
      <c r="F412" s="12">
        <v>1</v>
      </c>
      <c r="G412" s="12">
        <v>2600</v>
      </c>
      <c r="H412" s="12">
        <v>1</v>
      </c>
      <c r="I412" s="12">
        <v>2574</v>
      </c>
      <c r="J412" s="10" t="s">
        <v>51</v>
      </c>
      <c r="K412" s="10" t="s">
        <v>58</v>
      </c>
      <c r="L412" t="str">
        <f>IFERROR(VLOOKUP(D412,Products!A:F,3,0),"")</f>
        <v>Electronics</v>
      </c>
      <c r="M412" t="str">
        <f>IFERROR(VLOOKUP(E412,Sales_Reps!A:E,3,0),"")</f>
        <v>South</v>
      </c>
      <c r="N412" t="str">
        <f>IFERROR(VLOOKUP(C412,Customers!A:F,5,0),"")</f>
        <v>Retail</v>
      </c>
      <c r="O412">
        <f>IFERROR(VLOOKUP(C412,Customers!A:F,3,0),"")</f>
        <v>36</v>
      </c>
      <c r="P412">
        <f>IFERROR(VLOOKUP(D412,Products!A:F,4,0),"")</f>
        <v>1052</v>
      </c>
      <c r="Q412" t="b">
        <f>IFERROR(VLOOKUP(D412,Products!A:F,6,0),"")</f>
        <v>1</v>
      </c>
      <c r="R412">
        <f t="shared" si="18"/>
        <v>0.5953846153846154</v>
      </c>
      <c r="S412">
        <f t="shared" si="19"/>
        <v>1</v>
      </c>
      <c r="T412">
        <f>IF(AND(S412&gt;1,COUNTIF($A$2:A412,A412)=1),1,0)</f>
        <v>0</v>
      </c>
      <c r="U412">
        <f>COUNTIF(Customers!$A$2:$A$301,C412)</f>
        <v>1</v>
      </c>
      <c r="V412">
        <f t="shared" si="20"/>
        <v>0</v>
      </c>
    </row>
    <row r="413" spans="1:22" ht="14.25" customHeight="1" x14ac:dyDescent="0.35">
      <c r="A413" s="10" t="s">
        <v>786</v>
      </c>
      <c r="B413" s="11">
        <v>45515</v>
      </c>
      <c r="C413" s="10" t="s">
        <v>787</v>
      </c>
      <c r="D413" s="10" t="s">
        <v>234</v>
      </c>
      <c r="E413" s="10" t="s">
        <v>62</v>
      </c>
      <c r="F413" s="12">
        <v>4</v>
      </c>
      <c r="G413" s="12">
        <v>4610</v>
      </c>
      <c r="H413" s="12">
        <v>18.7</v>
      </c>
      <c r="I413" s="12">
        <v>14991.72</v>
      </c>
      <c r="J413" s="10" t="s">
        <v>51</v>
      </c>
      <c r="K413" s="10" t="s">
        <v>58</v>
      </c>
      <c r="L413" t="str">
        <f>IFERROR(VLOOKUP(D413,Products!A:F,3,0),"")</f>
        <v>Home</v>
      </c>
      <c r="M413" t="str">
        <f>IFERROR(VLOOKUP(E413,Sales_Reps!A:E,3,0),"")</f>
        <v>South</v>
      </c>
      <c r="N413" t="str">
        <f>IFERROR(VLOOKUP(C413,Customers!A:F,5,0),"")</f>
        <v>Retail</v>
      </c>
      <c r="O413">
        <f>IFERROR(VLOOKUP(C413,Customers!A:F,3,0),"")</f>
        <v>32</v>
      </c>
      <c r="P413">
        <f>IFERROR(VLOOKUP(D413,Products!A:F,4,0),"")</f>
        <v>1850</v>
      </c>
      <c r="Q413" t="b">
        <f>IFERROR(VLOOKUP(D413,Products!A:F,6,0),"")</f>
        <v>1</v>
      </c>
      <c r="R413">
        <f t="shared" si="18"/>
        <v>0.59869848156182215</v>
      </c>
      <c r="S413">
        <f t="shared" si="19"/>
        <v>1</v>
      </c>
      <c r="T413">
        <f>IF(AND(S413&gt;1,COUNTIF($A$2:A413,A413)=1),1,0)</f>
        <v>0</v>
      </c>
      <c r="U413">
        <f>COUNTIF(Customers!$A$2:$A$301,C413)</f>
        <v>1</v>
      </c>
      <c r="V413">
        <f t="shared" si="20"/>
        <v>0</v>
      </c>
    </row>
    <row r="414" spans="1:22" ht="14.25" customHeight="1" x14ac:dyDescent="0.35">
      <c r="A414" s="10" t="s">
        <v>788</v>
      </c>
      <c r="B414" s="11">
        <v>45412</v>
      </c>
      <c r="C414" s="10" t="s">
        <v>523</v>
      </c>
      <c r="D414" s="10" t="s">
        <v>201</v>
      </c>
      <c r="E414" s="10" t="s">
        <v>267</v>
      </c>
      <c r="F414" s="12">
        <v>3</v>
      </c>
      <c r="G414" s="12">
        <v>3640</v>
      </c>
      <c r="H414" s="12">
        <v>9.6999999999999993</v>
      </c>
      <c r="I414" s="12">
        <v>9860.76</v>
      </c>
      <c r="J414" s="10" t="s">
        <v>104</v>
      </c>
      <c r="K414" s="10" t="s">
        <v>52</v>
      </c>
      <c r="L414" t="str">
        <f>IFERROR(VLOOKUP(D414,Products!A:F,3,0),"")</f>
        <v>Apparel</v>
      </c>
      <c r="M414" t="str">
        <f>IFERROR(VLOOKUP(E414,Sales_Reps!A:E,3,0),"")</f>
        <v>East</v>
      </c>
      <c r="N414" t="str">
        <f>IFERROR(VLOOKUP(C414,Customers!A:F,5,0),"")</f>
        <v>Retail</v>
      </c>
      <c r="O414">
        <f>IFERROR(VLOOKUP(C414,Customers!A:F,3,0),"")</f>
        <v>62</v>
      </c>
      <c r="P414">
        <f>IFERROR(VLOOKUP(D414,Products!A:F,4,0),"")</f>
        <v>2611</v>
      </c>
      <c r="Q414" t="b">
        <f>IFERROR(VLOOKUP(D414,Products!A:F,6,0),"")</f>
        <v>1</v>
      </c>
      <c r="R414">
        <f t="shared" si="18"/>
        <v>0.28269230769230769</v>
      </c>
      <c r="S414">
        <f t="shared" si="19"/>
        <v>1</v>
      </c>
      <c r="T414">
        <f>IF(AND(S414&gt;1,COUNTIF($A$2:A414,A414)=1),1,0)</f>
        <v>0</v>
      </c>
      <c r="U414">
        <f>COUNTIF(Customers!$A$2:$A$301,C414)</f>
        <v>1</v>
      </c>
      <c r="V414">
        <f t="shared" si="20"/>
        <v>0</v>
      </c>
    </row>
    <row r="415" spans="1:22" ht="14.25" customHeight="1" x14ac:dyDescent="0.35">
      <c r="A415" s="10" t="s">
        <v>789</v>
      </c>
      <c r="B415" s="11">
        <v>45448</v>
      </c>
      <c r="C415" s="10" t="s">
        <v>510</v>
      </c>
      <c r="D415" s="10" t="s">
        <v>137</v>
      </c>
      <c r="E415" s="10" t="s">
        <v>103</v>
      </c>
      <c r="F415" s="12">
        <v>6</v>
      </c>
      <c r="G415" s="12">
        <v>2720</v>
      </c>
      <c r="H415" s="12">
        <v>13</v>
      </c>
      <c r="I415" s="12">
        <v>14198.4</v>
      </c>
      <c r="J415" s="10" t="s">
        <v>57</v>
      </c>
      <c r="K415" s="10" t="s">
        <v>63</v>
      </c>
      <c r="L415" t="str">
        <f>IFERROR(VLOOKUP(D415,Products!A:F,3,0),"")</f>
        <v>Apparel</v>
      </c>
      <c r="M415" t="str">
        <f>IFERROR(VLOOKUP(E415,Sales_Reps!A:E,3,0),"")</f>
        <v>North</v>
      </c>
      <c r="N415" t="str">
        <f>IFERROR(VLOOKUP(C415,Customers!A:F,5,0),"")</f>
        <v>SMB</v>
      </c>
      <c r="O415">
        <f>IFERROR(VLOOKUP(C415,Customers!A:F,3,0),"")</f>
        <v>29</v>
      </c>
      <c r="P415">
        <f>IFERROR(VLOOKUP(D415,Products!A:F,4,0),"")</f>
        <v>1962</v>
      </c>
      <c r="Q415" t="b">
        <f>IFERROR(VLOOKUP(D415,Products!A:F,6,0),"")</f>
        <v>1</v>
      </c>
      <c r="R415">
        <f t="shared" si="18"/>
        <v>0.2786764705882353</v>
      </c>
      <c r="S415">
        <f t="shared" si="19"/>
        <v>1</v>
      </c>
      <c r="T415">
        <f>IF(AND(S415&gt;1,COUNTIF($A$2:A415,A415)=1),1,0)</f>
        <v>0</v>
      </c>
      <c r="U415">
        <f>COUNTIF(Customers!$A$2:$A$301,C415)</f>
        <v>1</v>
      </c>
      <c r="V415">
        <f t="shared" si="20"/>
        <v>0</v>
      </c>
    </row>
    <row r="416" spans="1:22" ht="14.25" customHeight="1" x14ac:dyDescent="0.35">
      <c r="A416" s="10" t="s">
        <v>790</v>
      </c>
      <c r="B416" s="11">
        <v>45644</v>
      </c>
      <c r="C416" s="10" t="s">
        <v>494</v>
      </c>
      <c r="D416" s="10" t="s">
        <v>425</v>
      </c>
      <c r="E416" s="10" t="s">
        <v>71</v>
      </c>
      <c r="F416" s="12">
        <v>5</v>
      </c>
      <c r="G416" s="12">
        <v>3780</v>
      </c>
      <c r="H416" s="12">
        <v>15.2</v>
      </c>
      <c r="I416" s="12">
        <v>16027.2</v>
      </c>
      <c r="J416" s="10" t="s">
        <v>51</v>
      </c>
      <c r="K416" s="10" t="s">
        <v>63</v>
      </c>
      <c r="L416" t="str">
        <f>IFERROR(VLOOKUP(D416,Products!A:F,3,0),"")</f>
        <v>Sports</v>
      </c>
      <c r="M416" t="str">
        <f>IFERROR(VLOOKUP(E416,Sales_Reps!A:E,3,0),"")</f>
        <v>North</v>
      </c>
      <c r="N416" t="str">
        <f>IFERROR(VLOOKUP(C416,Customers!A:F,5,0),"")</f>
        <v>Retail</v>
      </c>
      <c r="O416">
        <f>IFERROR(VLOOKUP(C416,Customers!A:F,3,0),"")</f>
        <v>45</v>
      </c>
      <c r="P416">
        <f>IFERROR(VLOOKUP(D416,Products!A:F,4,0),"")</f>
        <v>1860</v>
      </c>
      <c r="Q416" t="b">
        <f>IFERROR(VLOOKUP(D416,Products!A:F,6,0),"")</f>
        <v>1</v>
      </c>
      <c r="R416">
        <f t="shared" si="18"/>
        <v>0.50793650793650791</v>
      </c>
      <c r="S416">
        <f t="shared" si="19"/>
        <v>1</v>
      </c>
      <c r="T416">
        <f>IF(AND(S416&gt;1,COUNTIF($A$2:A416,A416)=1),1,0)</f>
        <v>0</v>
      </c>
      <c r="U416">
        <f>COUNTIF(Customers!$A$2:$A$301,C416)</f>
        <v>1</v>
      </c>
      <c r="V416">
        <f t="shared" si="20"/>
        <v>0</v>
      </c>
    </row>
    <row r="417" spans="1:22" ht="14.25" customHeight="1" x14ac:dyDescent="0.35">
      <c r="A417" s="10" t="s">
        <v>791</v>
      </c>
      <c r="B417" s="11">
        <v>45407</v>
      </c>
      <c r="C417" s="10" t="s">
        <v>792</v>
      </c>
      <c r="D417" s="10" t="s">
        <v>466</v>
      </c>
      <c r="E417" s="10" t="s">
        <v>134</v>
      </c>
      <c r="F417" s="12">
        <v>9</v>
      </c>
      <c r="G417" s="12">
        <v>1090</v>
      </c>
      <c r="H417" s="12">
        <v>28.5</v>
      </c>
      <c r="I417" s="12">
        <v>7014.15</v>
      </c>
      <c r="J417" s="10" t="s">
        <v>51</v>
      </c>
      <c r="K417" s="10" t="s">
        <v>97</v>
      </c>
      <c r="L417" t="str">
        <f>IFERROR(VLOOKUP(D417,Products!A:F,3,0),"")</f>
        <v>Home</v>
      </c>
      <c r="M417" t="str">
        <f>IFERROR(VLOOKUP(E417,Sales_Reps!A:E,3,0),"")</f>
        <v>West</v>
      </c>
      <c r="N417" t="str">
        <f>IFERROR(VLOOKUP(C417,Customers!A:F,5,0),"")</f>
        <v>Retail</v>
      </c>
      <c r="O417">
        <f>IFERROR(VLOOKUP(C417,Customers!A:F,3,0),"")</f>
        <v>52</v>
      </c>
      <c r="P417">
        <f>IFERROR(VLOOKUP(D417,Products!A:F,4,0),"")</f>
        <v>464</v>
      </c>
      <c r="Q417" t="b">
        <f>IFERROR(VLOOKUP(D417,Products!A:F,6,0),"")</f>
        <v>1</v>
      </c>
      <c r="R417">
        <f t="shared" si="18"/>
        <v>0.57431192660550456</v>
      </c>
      <c r="S417">
        <f t="shared" si="19"/>
        <v>1</v>
      </c>
      <c r="T417">
        <f>IF(AND(S417&gt;1,COUNTIF($A$2:A417,A417)=1),1,0)</f>
        <v>0</v>
      </c>
      <c r="U417">
        <f>COUNTIF(Customers!$A$2:$A$301,C417)</f>
        <v>1</v>
      </c>
      <c r="V417">
        <f t="shared" si="20"/>
        <v>0</v>
      </c>
    </row>
    <row r="418" spans="1:22" ht="14.25" customHeight="1" x14ac:dyDescent="0.35">
      <c r="A418" s="10" t="s">
        <v>793</v>
      </c>
      <c r="B418" s="11">
        <v>45581</v>
      </c>
      <c r="C418" s="10" t="s">
        <v>549</v>
      </c>
      <c r="D418" s="10" t="s">
        <v>466</v>
      </c>
      <c r="E418" s="10" t="s">
        <v>92</v>
      </c>
      <c r="F418" s="12">
        <v>6</v>
      </c>
      <c r="G418" s="12">
        <v>1090</v>
      </c>
      <c r="H418" s="12">
        <v>28.7</v>
      </c>
      <c r="I418" s="12">
        <v>4663.0200000000004</v>
      </c>
      <c r="J418" s="10" t="s">
        <v>51</v>
      </c>
      <c r="K418" s="10" t="s">
        <v>58</v>
      </c>
      <c r="L418" t="str">
        <f>IFERROR(VLOOKUP(D418,Products!A:F,3,0),"")</f>
        <v>Home</v>
      </c>
      <c r="M418" t="str">
        <f>IFERROR(VLOOKUP(E418,Sales_Reps!A:E,3,0),"")</f>
        <v>West</v>
      </c>
      <c r="N418" t="str">
        <f>IFERROR(VLOOKUP(C418,Customers!A:F,5,0),"")</f>
        <v>Retail</v>
      </c>
      <c r="O418">
        <f>IFERROR(VLOOKUP(C418,Customers!A:F,3,0),"")</f>
        <v>26</v>
      </c>
      <c r="P418">
        <f>IFERROR(VLOOKUP(D418,Products!A:F,4,0),"")</f>
        <v>464</v>
      </c>
      <c r="Q418" t="b">
        <f>IFERROR(VLOOKUP(D418,Products!A:F,6,0),"")</f>
        <v>1</v>
      </c>
      <c r="R418">
        <f t="shared" si="18"/>
        <v>0.57431192660550456</v>
      </c>
      <c r="S418">
        <f t="shared" si="19"/>
        <v>1</v>
      </c>
      <c r="T418">
        <f>IF(AND(S418&gt;1,COUNTIF($A$2:A418,A418)=1),1,0)</f>
        <v>0</v>
      </c>
      <c r="U418">
        <f>COUNTIF(Customers!$A$2:$A$301,C418)</f>
        <v>1</v>
      </c>
      <c r="V418">
        <f t="shared" si="20"/>
        <v>0</v>
      </c>
    </row>
    <row r="419" spans="1:22" ht="14.25" customHeight="1" x14ac:dyDescent="0.35">
      <c r="A419" s="10" t="s">
        <v>794</v>
      </c>
      <c r="B419" s="11">
        <v>45366</v>
      </c>
      <c r="C419" s="10" t="s">
        <v>577</v>
      </c>
      <c r="D419" s="10" t="s">
        <v>319</v>
      </c>
      <c r="E419" s="10" t="s">
        <v>134</v>
      </c>
      <c r="F419" s="12">
        <v>5</v>
      </c>
      <c r="G419" s="12">
        <v>2510</v>
      </c>
      <c r="H419" s="12">
        <v>25</v>
      </c>
      <c r="I419" s="12">
        <v>9412.5</v>
      </c>
      <c r="J419" s="10" t="s">
        <v>51</v>
      </c>
      <c r="K419" s="10" t="s">
        <v>76</v>
      </c>
      <c r="L419" t="str">
        <f>IFERROR(VLOOKUP(D419,Products!A:F,3,0),"")</f>
        <v>Apparel</v>
      </c>
      <c r="M419" t="str">
        <f>IFERROR(VLOOKUP(E419,Sales_Reps!A:E,3,0),"")</f>
        <v>West</v>
      </c>
      <c r="N419" t="str">
        <f>IFERROR(VLOOKUP(C419,Customers!A:F,5,0),"")</f>
        <v>Retail</v>
      </c>
      <c r="O419">
        <f>IFERROR(VLOOKUP(C419,Customers!A:F,3,0),"")</f>
        <v>44</v>
      </c>
      <c r="P419">
        <f>IFERROR(VLOOKUP(D419,Products!A:F,4,0),"")</f>
        <v>1075</v>
      </c>
      <c r="Q419" t="b">
        <f>IFERROR(VLOOKUP(D419,Products!A:F,6,0),"")</f>
        <v>0</v>
      </c>
      <c r="R419">
        <f t="shared" si="18"/>
        <v>0.57171314741035861</v>
      </c>
      <c r="S419">
        <f t="shared" si="19"/>
        <v>1</v>
      </c>
      <c r="T419">
        <f>IF(AND(S419&gt;1,COUNTIF($A$2:A419,A419)=1),1,0)</f>
        <v>0</v>
      </c>
      <c r="U419">
        <f>COUNTIF(Customers!$A$2:$A$301,C419)</f>
        <v>1</v>
      </c>
      <c r="V419">
        <f t="shared" si="20"/>
        <v>0</v>
      </c>
    </row>
    <row r="420" spans="1:22" ht="14.25" customHeight="1" x14ac:dyDescent="0.35">
      <c r="A420" s="10" t="s">
        <v>795</v>
      </c>
      <c r="B420" s="11">
        <v>45577</v>
      </c>
      <c r="C420" s="10" t="s">
        <v>337</v>
      </c>
      <c r="D420" s="10" t="s">
        <v>372</v>
      </c>
      <c r="E420" s="10" t="s">
        <v>96</v>
      </c>
      <c r="F420" s="12">
        <v>5</v>
      </c>
      <c r="G420" s="12">
        <v>3970</v>
      </c>
      <c r="H420" s="12">
        <v>26</v>
      </c>
      <c r="I420" s="12">
        <v>14689</v>
      </c>
      <c r="J420" s="10" t="s">
        <v>51</v>
      </c>
      <c r="K420" s="10" t="s">
        <v>52</v>
      </c>
      <c r="L420" t="str">
        <f>IFERROR(VLOOKUP(D420,Products!A:F,3,0),"")</f>
        <v>Electronics</v>
      </c>
      <c r="M420" t="str">
        <f>IFERROR(VLOOKUP(E420,Sales_Reps!A:E,3,0),"")</f>
        <v>South</v>
      </c>
      <c r="N420" t="str">
        <f>IFERROR(VLOOKUP(C420,Customers!A:F,5,0),"")</f>
        <v>Retail</v>
      </c>
      <c r="O420">
        <f>IFERROR(VLOOKUP(C420,Customers!A:F,3,0),"")</f>
        <v>43</v>
      </c>
      <c r="P420">
        <f>IFERROR(VLOOKUP(D420,Products!A:F,4,0),"")</f>
        <v>2865</v>
      </c>
      <c r="Q420" t="b">
        <f>IFERROR(VLOOKUP(D420,Products!A:F,6,0),"")</f>
        <v>1</v>
      </c>
      <c r="R420">
        <f t="shared" si="18"/>
        <v>0.27833753148614609</v>
      </c>
      <c r="S420">
        <f t="shared" si="19"/>
        <v>1</v>
      </c>
      <c r="T420">
        <f>IF(AND(S420&gt;1,COUNTIF($A$2:A420,A420)=1),1,0)</f>
        <v>0</v>
      </c>
      <c r="U420">
        <f>COUNTIF(Customers!$A$2:$A$301,C420)</f>
        <v>1</v>
      </c>
      <c r="V420">
        <f t="shared" si="20"/>
        <v>0</v>
      </c>
    </row>
    <row r="421" spans="1:22" ht="14.25" customHeight="1" x14ac:dyDescent="0.35">
      <c r="A421" s="10" t="s">
        <v>796</v>
      </c>
      <c r="B421" s="11">
        <v>45333</v>
      </c>
      <c r="C421" s="10" t="s">
        <v>492</v>
      </c>
      <c r="D421" s="10" t="s">
        <v>228</v>
      </c>
      <c r="E421" s="10" t="s">
        <v>179</v>
      </c>
      <c r="F421" s="12">
        <v>9</v>
      </c>
      <c r="G421" s="12">
        <v>4070</v>
      </c>
      <c r="H421" s="12">
        <v>15.7</v>
      </c>
      <c r="I421" s="12">
        <v>30879.09</v>
      </c>
      <c r="J421" s="10" t="s">
        <v>51</v>
      </c>
      <c r="K421" s="10" t="s">
        <v>76</v>
      </c>
      <c r="L421" t="str">
        <f>IFERROR(VLOOKUP(D421,Products!A:F,3,0),"")</f>
        <v>Grocery</v>
      </c>
      <c r="M421" t="str">
        <f>IFERROR(VLOOKUP(E421,Sales_Reps!A:E,3,0),"")</f>
        <v>North</v>
      </c>
      <c r="N421" t="str">
        <f>IFERROR(VLOOKUP(C421,Customers!A:F,5,0),"")</f>
        <v>Retail</v>
      </c>
      <c r="O421">
        <f>IFERROR(VLOOKUP(C421,Customers!A:F,3,0),"")</f>
        <v>44</v>
      </c>
      <c r="P421">
        <f>IFERROR(VLOOKUP(D421,Products!A:F,4,0),"")</f>
        <v>2027</v>
      </c>
      <c r="Q421" t="b">
        <f>IFERROR(VLOOKUP(D421,Products!A:F,6,0),"")</f>
        <v>1</v>
      </c>
      <c r="R421">
        <f t="shared" si="18"/>
        <v>0.50196560196560192</v>
      </c>
      <c r="S421">
        <f t="shared" si="19"/>
        <v>1</v>
      </c>
      <c r="T421">
        <f>IF(AND(S421&gt;1,COUNTIF($A$2:A421,A421)=1),1,0)</f>
        <v>0</v>
      </c>
      <c r="U421">
        <f>COUNTIF(Customers!$A$2:$A$301,C421)</f>
        <v>1</v>
      </c>
      <c r="V421">
        <f t="shared" si="20"/>
        <v>0</v>
      </c>
    </row>
    <row r="422" spans="1:22" ht="14.25" customHeight="1" x14ac:dyDescent="0.35">
      <c r="A422" s="10" t="s">
        <v>797</v>
      </c>
      <c r="B422" s="11">
        <v>45418</v>
      </c>
      <c r="C422" s="10" t="s">
        <v>218</v>
      </c>
      <c r="D422" s="10" t="s">
        <v>88</v>
      </c>
      <c r="E422" s="10" t="s">
        <v>103</v>
      </c>
      <c r="F422" s="12">
        <v>6</v>
      </c>
      <c r="G422" s="12">
        <v>5490</v>
      </c>
      <c r="H422" s="12">
        <v>8.5</v>
      </c>
      <c r="I422" s="12">
        <v>30140.1</v>
      </c>
      <c r="J422" s="10" t="s">
        <v>108</v>
      </c>
      <c r="K422" s="10" t="s">
        <v>58</v>
      </c>
      <c r="L422" t="str">
        <f>IFERROR(VLOOKUP(D422,Products!A:F,3,0),"")</f>
        <v>Home</v>
      </c>
      <c r="M422" t="str">
        <f>IFERROR(VLOOKUP(E422,Sales_Reps!A:E,3,0),"")</f>
        <v>North</v>
      </c>
      <c r="N422" t="str">
        <f>IFERROR(VLOOKUP(C422,Customers!A:F,5,0),"")</f>
        <v>Retail</v>
      </c>
      <c r="O422">
        <f>IFERROR(VLOOKUP(C422,Customers!A:F,3,0),"")</f>
        <v>24</v>
      </c>
      <c r="P422">
        <f>IFERROR(VLOOKUP(D422,Products!A:F,4,0),"")</f>
        <v>2549</v>
      </c>
      <c r="Q422" t="b">
        <f>IFERROR(VLOOKUP(D422,Products!A:F,6,0),"")</f>
        <v>1</v>
      </c>
      <c r="R422">
        <f t="shared" si="18"/>
        <v>0.53570127504553733</v>
      </c>
      <c r="S422">
        <f t="shared" si="19"/>
        <v>1</v>
      </c>
      <c r="T422">
        <f>IF(AND(S422&gt;1,COUNTIF($A$2:A422,A422)=1),1,0)</f>
        <v>0</v>
      </c>
      <c r="U422">
        <f>COUNTIF(Customers!$A$2:$A$301,C422)</f>
        <v>1</v>
      </c>
      <c r="V422">
        <f t="shared" si="20"/>
        <v>0</v>
      </c>
    </row>
    <row r="423" spans="1:22" ht="14.25" customHeight="1" x14ac:dyDescent="0.35">
      <c r="A423" s="10" t="s">
        <v>798</v>
      </c>
      <c r="B423" s="11">
        <v>45615</v>
      </c>
      <c r="C423" s="10" t="s">
        <v>799</v>
      </c>
      <c r="D423" s="10" t="s">
        <v>146</v>
      </c>
      <c r="E423" s="10" t="s">
        <v>249</v>
      </c>
      <c r="F423" s="12">
        <v>9</v>
      </c>
      <c r="G423" s="12">
        <v>1010</v>
      </c>
      <c r="H423" s="12">
        <v>3.6</v>
      </c>
      <c r="I423" s="12">
        <v>8762.76</v>
      </c>
      <c r="J423" s="10" t="s">
        <v>51</v>
      </c>
      <c r="K423" s="10" t="s">
        <v>81</v>
      </c>
      <c r="L423" t="str">
        <f>IFERROR(VLOOKUP(D423,Products!A:F,3,0),"")</f>
        <v>Sports</v>
      </c>
      <c r="M423" t="str">
        <f>IFERROR(VLOOKUP(E423,Sales_Reps!A:E,3,0),"")</f>
        <v>East</v>
      </c>
      <c r="N423" t="str">
        <f>IFERROR(VLOOKUP(C423,Customers!A:F,5,0),"")</f>
        <v>Retail</v>
      </c>
      <c r="O423">
        <f>IFERROR(VLOOKUP(C423,Customers!A:F,3,0),"")</f>
        <v>52</v>
      </c>
      <c r="P423">
        <f>IFERROR(VLOOKUP(D423,Products!A:F,4,0),"")</f>
        <v>516</v>
      </c>
      <c r="Q423" t="b">
        <f>IFERROR(VLOOKUP(D423,Products!A:F,6,0),"")</f>
        <v>1</v>
      </c>
      <c r="R423">
        <f t="shared" si="18"/>
        <v>0.4891089108910891</v>
      </c>
      <c r="S423">
        <f t="shared" si="19"/>
        <v>1</v>
      </c>
      <c r="T423">
        <f>IF(AND(S423&gt;1,COUNTIF($A$2:A423,A423)=1),1,0)</f>
        <v>0</v>
      </c>
      <c r="U423">
        <f>COUNTIF(Customers!$A$2:$A$301,C423)</f>
        <v>1</v>
      </c>
      <c r="V423">
        <f t="shared" si="20"/>
        <v>0</v>
      </c>
    </row>
    <row r="424" spans="1:22" ht="14.25" customHeight="1" x14ac:dyDescent="0.35">
      <c r="A424" s="10" t="s">
        <v>800</v>
      </c>
      <c r="B424" s="11">
        <v>45631</v>
      </c>
      <c r="C424" s="10" t="s">
        <v>801</v>
      </c>
      <c r="D424" s="10" t="s">
        <v>66</v>
      </c>
      <c r="E424" s="10" t="s">
        <v>71</v>
      </c>
      <c r="F424" s="12">
        <v>6</v>
      </c>
      <c r="G424" s="12">
        <v>3660</v>
      </c>
      <c r="H424" s="12">
        <v>10.8</v>
      </c>
      <c r="I424" s="12">
        <v>19588.32</v>
      </c>
      <c r="J424" s="10" t="s">
        <v>51</v>
      </c>
      <c r="K424" s="10" t="s">
        <v>81</v>
      </c>
      <c r="L424" t="str">
        <f>IFERROR(VLOOKUP(D424,Products!A:F,3,0),"")</f>
        <v>Grocery</v>
      </c>
      <c r="M424" t="str">
        <f>IFERROR(VLOOKUP(E424,Sales_Reps!A:E,3,0),"")</f>
        <v>North</v>
      </c>
      <c r="N424" t="str">
        <f>IFERROR(VLOOKUP(C424,Customers!A:F,5,0),"")</f>
        <v>Retail</v>
      </c>
      <c r="O424">
        <f>IFERROR(VLOOKUP(C424,Customers!A:F,3,0),"")</f>
        <v>37</v>
      </c>
      <c r="P424">
        <f>IFERROR(VLOOKUP(D424,Products!A:F,4,0),"")</f>
        <v>2214</v>
      </c>
      <c r="Q424" t="b">
        <f>IFERROR(VLOOKUP(D424,Products!A:F,6,0),"")</f>
        <v>0</v>
      </c>
      <c r="R424">
        <f t="shared" si="18"/>
        <v>0.39508196721311473</v>
      </c>
      <c r="S424">
        <f t="shared" si="19"/>
        <v>1</v>
      </c>
      <c r="T424">
        <f>IF(AND(S424&gt;1,COUNTIF($A$2:A424,A424)=1),1,0)</f>
        <v>0</v>
      </c>
      <c r="U424">
        <f>COUNTIF(Customers!$A$2:$A$301,C424)</f>
        <v>1</v>
      </c>
      <c r="V424">
        <f t="shared" si="20"/>
        <v>19588.32</v>
      </c>
    </row>
    <row r="425" spans="1:22" ht="14.25" customHeight="1" x14ac:dyDescent="0.35">
      <c r="A425" s="10" t="s">
        <v>802</v>
      </c>
      <c r="B425" s="11">
        <v>45524</v>
      </c>
      <c r="C425" s="10" t="s">
        <v>377</v>
      </c>
      <c r="D425" s="10" t="s">
        <v>121</v>
      </c>
      <c r="E425" s="10" t="s">
        <v>310</v>
      </c>
      <c r="F425" s="12">
        <v>6</v>
      </c>
      <c r="G425" s="12">
        <v>3450</v>
      </c>
      <c r="H425" s="12">
        <v>10.7</v>
      </c>
      <c r="I425" s="12">
        <v>18485.099999999999</v>
      </c>
      <c r="J425" s="10" t="s">
        <v>51</v>
      </c>
      <c r="K425" s="10" t="s">
        <v>52</v>
      </c>
      <c r="L425" t="str">
        <f>IFERROR(VLOOKUP(D425,Products!A:F,3,0),"")</f>
        <v>Beauty</v>
      </c>
      <c r="M425" t="str">
        <f>IFERROR(VLOOKUP(E425,Sales_Reps!A:E,3,0),"")</f>
        <v>South</v>
      </c>
      <c r="N425" t="str">
        <f>IFERROR(VLOOKUP(C425,Customers!A:F,5,0),"")</f>
        <v>Retail</v>
      </c>
      <c r="O425">
        <f>IFERROR(VLOOKUP(C425,Customers!A:F,3,0),"")</f>
        <v>22</v>
      </c>
      <c r="P425">
        <f>IFERROR(VLOOKUP(D425,Products!A:F,4,0),"")</f>
        <v>2420</v>
      </c>
      <c r="Q425" t="b">
        <f>IFERROR(VLOOKUP(D425,Products!A:F,6,0),"")</f>
        <v>1</v>
      </c>
      <c r="R425">
        <f t="shared" si="18"/>
        <v>0.29855072463768118</v>
      </c>
      <c r="S425">
        <f t="shared" si="19"/>
        <v>1</v>
      </c>
      <c r="T425">
        <f>IF(AND(S425&gt;1,COUNTIF($A$2:A425,A425)=1),1,0)</f>
        <v>0</v>
      </c>
      <c r="U425">
        <f>COUNTIF(Customers!$A$2:$A$301,C425)</f>
        <v>1</v>
      </c>
      <c r="V425">
        <f t="shared" si="20"/>
        <v>0</v>
      </c>
    </row>
    <row r="426" spans="1:22" ht="14.25" customHeight="1" x14ac:dyDescent="0.35">
      <c r="A426" s="10" t="s">
        <v>803</v>
      </c>
      <c r="B426" s="11">
        <v>45379</v>
      </c>
      <c r="C426" s="10" t="s">
        <v>189</v>
      </c>
      <c r="D426" s="10" t="s">
        <v>228</v>
      </c>
      <c r="E426" s="10" t="s">
        <v>237</v>
      </c>
      <c r="F426" s="12">
        <v>10</v>
      </c>
      <c r="G426" s="12">
        <v>4070</v>
      </c>
      <c r="H426" s="12">
        <v>23.4</v>
      </c>
      <c r="I426" s="12">
        <v>31176.2</v>
      </c>
      <c r="J426" s="10" t="s">
        <v>108</v>
      </c>
      <c r="K426" s="10" t="s">
        <v>58</v>
      </c>
      <c r="L426" t="str">
        <f>IFERROR(VLOOKUP(D426,Products!A:F,3,0),"")</f>
        <v>Grocery</v>
      </c>
      <c r="M426" t="str">
        <f>IFERROR(VLOOKUP(E426,Sales_Reps!A:E,3,0),"")</f>
        <v>South</v>
      </c>
      <c r="N426" t="str">
        <f>IFERROR(VLOOKUP(C426,Customers!A:F,5,0),"")</f>
        <v>Retail</v>
      </c>
      <c r="O426">
        <f>IFERROR(VLOOKUP(C426,Customers!A:F,3,0),"")</f>
        <v>37</v>
      </c>
      <c r="P426">
        <f>IFERROR(VLOOKUP(D426,Products!A:F,4,0),"")</f>
        <v>2027</v>
      </c>
      <c r="Q426" t="b">
        <f>IFERROR(VLOOKUP(D426,Products!A:F,6,0),"")</f>
        <v>1</v>
      </c>
      <c r="R426">
        <f t="shared" si="18"/>
        <v>0.50196560196560192</v>
      </c>
      <c r="S426">
        <f t="shared" si="19"/>
        <v>1</v>
      </c>
      <c r="T426">
        <f>IF(AND(S426&gt;1,COUNTIF($A$2:A426,A426)=1),1,0)</f>
        <v>0</v>
      </c>
      <c r="U426">
        <f>COUNTIF(Customers!$A$2:$A$301,C426)</f>
        <v>1</v>
      </c>
      <c r="V426">
        <f t="shared" si="20"/>
        <v>0</v>
      </c>
    </row>
    <row r="427" spans="1:22" ht="14.25" customHeight="1" x14ac:dyDescent="0.35">
      <c r="A427" s="10" t="s">
        <v>804</v>
      </c>
      <c r="B427" s="11">
        <v>45454</v>
      </c>
      <c r="C427" s="10" t="s">
        <v>805</v>
      </c>
      <c r="D427" s="10" t="s">
        <v>151</v>
      </c>
      <c r="E427" s="10" t="s">
        <v>75</v>
      </c>
      <c r="F427" s="12">
        <v>9</v>
      </c>
      <c r="G427" s="12">
        <v>3570</v>
      </c>
      <c r="H427" s="12">
        <v>15.2</v>
      </c>
      <c r="I427" s="12">
        <v>27246.240000000002</v>
      </c>
      <c r="J427" s="10" t="s">
        <v>51</v>
      </c>
      <c r="K427" s="10" t="s">
        <v>81</v>
      </c>
      <c r="L427" t="str">
        <f>IFERROR(VLOOKUP(D427,Products!A:F,3,0),"")</f>
        <v>Electronics</v>
      </c>
      <c r="M427" t="str">
        <f>IFERROR(VLOOKUP(E427,Sales_Reps!A:E,3,0),"")</f>
        <v>West</v>
      </c>
      <c r="N427" t="str">
        <f>IFERROR(VLOOKUP(C427,Customers!A:F,5,0),"")</f>
        <v>Corporate</v>
      </c>
      <c r="O427">
        <f>IFERROR(VLOOKUP(C427,Customers!A:F,3,0),"")</f>
        <v>41</v>
      </c>
      <c r="P427">
        <f>IFERROR(VLOOKUP(D427,Products!A:F,4,0),"")</f>
        <v>1665</v>
      </c>
      <c r="Q427" t="b">
        <f>IFERROR(VLOOKUP(D427,Products!A:F,6,0),"")</f>
        <v>1</v>
      </c>
      <c r="R427">
        <f t="shared" si="18"/>
        <v>0.53361344537815125</v>
      </c>
      <c r="S427">
        <f t="shared" si="19"/>
        <v>1</v>
      </c>
      <c r="T427">
        <f>IF(AND(S427&gt;1,COUNTIF($A$2:A427,A427)=1),1,0)</f>
        <v>0</v>
      </c>
      <c r="U427">
        <f>COUNTIF(Customers!$A$2:$A$301,C427)</f>
        <v>1</v>
      </c>
      <c r="V427">
        <f t="shared" si="20"/>
        <v>0</v>
      </c>
    </row>
    <row r="428" spans="1:22" ht="14.25" customHeight="1" x14ac:dyDescent="0.35">
      <c r="A428" s="10" t="s">
        <v>806</v>
      </c>
      <c r="B428" s="11">
        <v>45562</v>
      </c>
      <c r="C428" s="10" t="s">
        <v>83</v>
      </c>
      <c r="D428" s="10" t="s">
        <v>479</v>
      </c>
      <c r="E428" s="10" t="s">
        <v>56</v>
      </c>
      <c r="F428" s="12">
        <v>10</v>
      </c>
      <c r="G428" s="12">
        <v>6940</v>
      </c>
      <c r="H428" s="12">
        <v>21.8</v>
      </c>
      <c r="I428" s="12">
        <v>54270.8</v>
      </c>
      <c r="J428" s="10" t="s">
        <v>57</v>
      </c>
      <c r="K428" s="10" t="s">
        <v>81</v>
      </c>
      <c r="L428" t="str">
        <f>IFERROR(VLOOKUP(D428,Products!A:F,3,0),"")</f>
        <v>Sports</v>
      </c>
      <c r="M428" t="str">
        <f>IFERROR(VLOOKUP(E428,Sales_Reps!A:E,3,0),"")</f>
        <v>North</v>
      </c>
      <c r="N428" t="str">
        <f>IFERROR(VLOOKUP(C428,Customers!A:F,5,0),"")</f>
        <v>Corporate</v>
      </c>
      <c r="O428">
        <f>IFERROR(VLOOKUP(C428,Customers!A:F,3,0),"")</f>
        <v>57</v>
      </c>
      <c r="P428">
        <f>IFERROR(VLOOKUP(D428,Products!A:F,4,0),"")</f>
        <v>2827</v>
      </c>
      <c r="Q428" t="b">
        <f>IFERROR(VLOOKUP(D428,Products!A:F,6,0),"")</f>
        <v>1</v>
      </c>
      <c r="R428">
        <f t="shared" si="18"/>
        <v>0.5926512968299712</v>
      </c>
      <c r="S428">
        <f t="shared" si="19"/>
        <v>1</v>
      </c>
      <c r="T428">
        <f>IF(AND(S428&gt;1,COUNTIF($A$2:A428,A428)=1),1,0)</f>
        <v>0</v>
      </c>
      <c r="U428">
        <f>COUNTIF(Customers!$A$2:$A$301,C428)</f>
        <v>1</v>
      </c>
      <c r="V428">
        <f t="shared" si="20"/>
        <v>0</v>
      </c>
    </row>
    <row r="429" spans="1:22" ht="14.25" customHeight="1" x14ac:dyDescent="0.35">
      <c r="A429" s="10" t="s">
        <v>807</v>
      </c>
      <c r="B429" s="11">
        <v>45489</v>
      </c>
      <c r="C429" s="10" t="s">
        <v>280</v>
      </c>
      <c r="D429" s="10" t="s">
        <v>140</v>
      </c>
      <c r="E429" s="10" t="s">
        <v>62</v>
      </c>
      <c r="F429" s="12">
        <v>9</v>
      </c>
      <c r="G429" s="12">
        <v>1650</v>
      </c>
      <c r="H429" s="12">
        <v>24.3</v>
      </c>
      <c r="I429" s="12">
        <v>11241.45</v>
      </c>
      <c r="J429" s="10" t="s">
        <v>51</v>
      </c>
      <c r="K429" s="10" t="s">
        <v>52</v>
      </c>
      <c r="L429" t="str">
        <f>IFERROR(VLOOKUP(D429,Products!A:F,3,0),"")</f>
        <v>Beauty</v>
      </c>
      <c r="M429" t="str">
        <f>IFERROR(VLOOKUP(E429,Sales_Reps!A:E,3,0),"")</f>
        <v>South</v>
      </c>
      <c r="N429" t="str">
        <f>IFERROR(VLOOKUP(C429,Customers!A:F,5,0),"")</f>
        <v>SMB</v>
      </c>
      <c r="O429">
        <f>IFERROR(VLOOKUP(C429,Customers!A:F,3,0),"")</f>
        <v>60</v>
      </c>
      <c r="P429">
        <f>IFERROR(VLOOKUP(D429,Products!A:F,4,0),"")</f>
        <v>1222</v>
      </c>
      <c r="Q429" t="b">
        <f>IFERROR(VLOOKUP(D429,Products!A:F,6,0),"")</f>
        <v>1</v>
      </c>
      <c r="R429">
        <f t="shared" si="18"/>
        <v>0.2593939393939394</v>
      </c>
      <c r="S429">
        <f t="shared" si="19"/>
        <v>1</v>
      </c>
      <c r="T429">
        <f>IF(AND(S429&gt;1,COUNTIF($A$2:A429,A429)=1),1,0)</f>
        <v>0</v>
      </c>
      <c r="U429">
        <f>COUNTIF(Customers!$A$2:$A$301,C429)</f>
        <v>1</v>
      </c>
      <c r="V429">
        <f t="shared" si="20"/>
        <v>0</v>
      </c>
    </row>
    <row r="430" spans="1:22" ht="14.25" customHeight="1" x14ac:dyDescent="0.35">
      <c r="A430" s="10" t="s">
        <v>808</v>
      </c>
      <c r="B430" s="11">
        <v>45624</v>
      </c>
      <c r="C430" s="10" t="s">
        <v>531</v>
      </c>
      <c r="D430" s="10" t="s">
        <v>84</v>
      </c>
      <c r="E430" s="10" t="s">
        <v>62</v>
      </c>
      <c r="F430" s="12">
        <v>10</v>
      </c>
      <c r="G430" s="12">
        <v>1430</v>
      </c>
      <c r="H430" s="12">
        <v>25.2</v>
      </c>
      <c r="I430" s="12">
        <v>10696.4</v>
      </c>
      <c r="J430" s="10" t="s">
        <v>51</v>
      </c>
      <c r="K430" s="10" t="s">
        <v>81</v>
      </c>
      <c r="L430" t="str">
        <f>IFERROR(VLOOKUP(D430,Products!A:F,3,0),"")</f>
        <v>Electronics</v>
      </c>
      <c r="M430" t="str">
        <f>IFERROR(VLOOKUP(E430,Sales_Reps!A:E,3,0),"")</f>
        <v>South</v>
      </c>
      <c r="N430" t="str">
        <f>IFERROR(VLOOKUP(C430,Customers!A:F,5,0),"")</f>
        <v>Corporate</v>
      </c>
      <c r="O430">
        <f>IFERROR(VLOOKUP(C430,Customers!A:F,3,0),"")</f>
        <v>41</v>
      </c>
      <c r="P430">
        <f>IFERROR(VLOOKUP(D430,Products!A:F,4,0),"")</f>
        <v>861</v>
      </c>
      <c r="Q430" t="b">
        <f>IFERROR(VLOOKUP(D430,Products!A:F,6,0),"")</f>
        <v>1</v>
      </c>
      <c r="R430">
        <f t="shared" si="18"/>
        <v>0.39790209790209791</v>
      </c>
      <c r="S430">
        <f t="shared" si="19"/>
        <v>1</v>
      </c>
      <c r="T430">
        <f>IF(AND(S430&gt;1,COUNTIF($A$2:A430,A430)=1),1,0)</f>
        <v>0</v>
      </c>
      <c r="U430">
        <f>COUNTIF(Customers!$A$2:$A$301,C430)</f>
        <v>1</v>
      </c>
      <c r="V430">
        <f t="shared" si="20"/>
        <v>0</v>
      </c>
    </row>
    <row r="431" spans="1:22" ht="14.25" customHeight="1" x14ac:dyDescent="0.35">
      <c r="A431" s="10" t="s">
        <v>809</v>
      </c>
      <c r="B431" s="11">
        <v>45480</v>
      </c>
      <c r="C431" s="10" t="s">
        <v>588</v>
      </c>
      <c r="D431" s="10" t="s">
        <v>315</v>
      </c>
      <c r="E431" s="10" t="s">
        <v>96</v>
      </c>
      <c r="F431" s="12">
        <v>4</v>
      </c>
      <c r="G431" s="12">
        <v>4060</v>
      </c>
      <c r="H431" s="12">
        <v>1.6</v>
      </c>
      <c r="I431" s="12">
        <v>15980.16</v>
      </c>
      <c r="J431" s="10" t="s">
        <v>51</v>
      </c>
      <c r="K431" s="10" t="s">
        <v>52</v>
      </c>
      <c r="L431" t="str">
        <f>IFERROR(VLOOKUP(D431,Products!A:F,3,0),"")</f>
        <v>Grocery</v>
      </c>
      <c r="M431" t="str">
        <f>IFERROR(VLOOKUP(E431,Sales_Reps!A:E,3,0),"")</f>
        <v>South</v>
      </c>
      <c r="N431" t="str">
        <f>IFERROR(VLOOKUP(C431,Customers!A:F,5,0),"")</f>
        <v>Corporate</v>
      </c>
      <c r="O431">
        <f>IFERROR(VLOOKUP(C431,Customers!A:F,3,0),"")</f>
        <v>31</v>
      </c>
      <c r="P431">
        <f>IFERROR(VLOOKUP(D431,Products!A:F,4,0),"")</f>
        <v>2911</v>
      </c>
      <c r="Q431" t="b">
        <f>IFERROR(VLOOKUP(D431,Products!A:F,6,0),"")</f>
        <v>1</v>
      </c>
      <c r="R431">
        <f t="shared" si="18"/>
        <v>0.28300492610837441</v>
      </c>
      <c r="S431">
        <f t="shared" si="19"/>
        <v>1</v>
      </c>
      <c r="T431">
        <f>IF(AND(S431&gt;1,COUNTIF($A$2:A431,A431)=1),1,0)</f>
        <v>0</v>
      </c>
      <c r="U431">
        <f>COUNTIF(Customers!$A$2:$A$301,C431)</f>
        <v>1</v>
      </c>
      <c r="V431">
        <f t="shared" si="20"/>
        <v>0</v>
      </c>
    </row>
    <row r="432" spans="1:22" ht="14.25" customHeight="1" x14ac:dyDescent="0.35">
      <c r="A432" s="10" t="s">
        <v>810</v>
      </c>
      <c r="B432" s="11">
        <v>45420</v>
      </c>
      <c r="C432" s="10" t="s">
        <v>570</v>
      </c>
      <c r="D432" s="10" t="s">
        <v>74</v>
      </c>
      <c r="E432" s="10" t="s">
        <v>56</v>
      </c>
      <c r="F432" s="12">
        <v>9</v>
      </c>
      <c r="G432" s="12">
        <v>370</v>
      </c>
      <c r="H432" s="12">
        <v>17</v>
      </c>
      <c r="I432" s="12">
        <v>2763.9</v>
      </c>
      <c r="J432" s="10" t="s">
        <v>51</v>
      </c>
      <c r="K432" s="10" t="s">
        <v>76</v>
      </c>
      <c r="L432" t="str">
        <f>IFERROR(VLOOKUP(D432,Products!A:F,3,0),"")</f>
        <v>Home</v>
      </c>
      <c r="M432" t="str">
        <f>IFERROR(VLOOKUP(E432,Sales_Reps!A:E,3,0),"")</f>
        <v>North</v>
      </c>
      <c r="N432" t="str">
        <f>IFERROR(VLOOKUP(C432,Customers!A:F,5,0),"")</f>
        <v>Retail</v>
      </c>
      <c r="O432">
        <f>IFERROR(VLOOKUP(C432,Customers!A:F,3,0),"")</f>
        <v>52</v>
      </c>
      <c r="P432">
        <f>IFERROR(VLOOKUP(D432,Products!A:F,4,0),"")</f>
        <v>288</v>
      </c>
      <c r="Q432" t="b">
        <f>IFERROR(VLOOKUP(D432,Products!A:F,6,0),"")</f>
        <v>1</v>
      </c>
      <c r="R432">
        <f t="shared" si="18"/>
        <v>0.22162162162162163</v>
      </c>
      <c r="S432">
        <f t="shared" si="19"/>
        <v>1</v>
      </c>
      <c r="T432">
        <f>IF(AND(S432&gt;1,COUNTIF($A$2:A432,A432)=1),1,0)</f>
        <v>0</v>
      </c>
      <c r="U432">
        <f>COUNTIF(Customers!$A$2:$A$301,C432)</f>
        <v>1</v>
      </c>
      <c r="V432">
        <f t="shared" si="20"/>
        <v>0</v>
      </c>
    </row>
    <row r="433" spans="1:22" ht="14.25" customHeight="1" x14ac:dyDescent="0.35">
      <c r="A433" s="10" t="s">
        <v>811</v>
      </c>
      <c r="B433" s="11">
        <v>45322</v>
      </c>
      <c r="C433" s="10" t="s">
        <v>667</v>
      </c>
      <c r="D433" s="10" t="s">
        <v>223</v>
      </c>
      <c r="E433" s="10" t="s">
        <v>96</v>
      </c>
      <c r="F433" s="12">
        <v>1</v>
      </c>
      <c r="G433" s="12">
        <v>1540</v>
      </c>
      <c r="H433" s="12">
        <v>24</v>
      </c>
      <c r="I433" s="12">
        <v>1170.4000000000001</v>
      </c>
      <c r="J433" s="10" t="s">
        <v>104</v>
      </c>
      <c r="K433" s="10" t="s">
        <v>52</v>
      </c>
      <c r="L433" t="str">
        <f>IFERROR(VLOOKUP(D433,Products!A:F,3,0),"")</f>
        <v>Beauty</v>
      </c>
      <c r="M433" t="str">
        <f>IFERROR(VLOOKUP(E433,Sales_Reps!A:E,3,0),"")</f>
        <v>South</v>
      </c>
      <c r="N433" t="str">
        <f>IFERROR(VLOOKUP(C433,Customers!A:F,5,0),"")</f>
        <v>Corporate</v>
      </c>
      <c r="O433">
        <f>IFERROR(VLOOKUP(C433,Customers!A:F,3,0),"")</f>
        <v>52</v>
      </c>
      <c r="P433">
        <f>IFERROR(VLOOKUP(D433,Products!A:F,4,0),"")</f>
        <v>647</v>
      </c>
      <c r="Q433" t="b">
        <f>IFERROR(VLOOKUP(D433,Products!A:F,6,0),"")</f>
        <v>0</v>
      </c>
      <c r="R433">
        <f t="shared" si="18"/>
        <v>0.57987012987012987</v>
      </c>
      <c r="S433">
        <f t="shared" si="19"/>
        <v>1</v>
      </c>
      <c r="T433">
        <f>IF(AND(S433&gt;1,COUNTIF($A$2:A433,A433)=1),1,0)</f>
        <v>0</v>
      </c>
      <c r="U433">
        <f>COUNTIF(Customers!$A$2:$A$301,C433)</f>
        <v>1</v>
      </c>
      <c r="V433">
        <f t="shared" si="20"/>
        <v>0</v>
      </c>
    </row>
    <row r="434" spans="1:22" ht="14.25" customHeight="1" x14ac:dyDescent="0.35">
      <c r="A434" s="10" t="s">
        <v>812</v>
      </c>
      <c r="B434" s="11">
        <v>45382</v>
      </c>
      <c r="C434" s="10" t="s">
        <v>527</v>
      </c>
      <c r="D434" s="10" t="s">
        <v>102</v>
      </c>
      <c r="E434" s="10" t="s">
        <v>75</v>
      </c>
      <c r="F434" s="12">
        <v>9</v>
      </c>
      <c r="G434" s="12">
        <v>2600</v>
      </c>
      <c r="H434" s="12">
        <v>7.7</v>
      </c>
      <c r="I434" s="12">
        <v>21598.2</v>
      </c>
      <c r="J434" s="10" t="s">
        <v>51</v>
      </c>
      <c r="K434" s="10" t="s">
        <v>52</v>
      </c>
      <c r="L434" t="str">
        <f>IFERROR(VLOOKUP(D434,Products!A:F,3,0),"")</f>
        <v>Electronics</v>
      </c>
      <c r="M434" t="str">
        <f>IFERROR(VLOOKUP(E434,Sales_Reps!A:E,3,0),"")</f>
        <v>West</v>
      </c>
      <c r="N434" t="str">
        <f>IFERROR(VLOOKUP(C434,Customers!A:F,5,0),"")</f>
        <v>SMB</v>
      </c>
      <c r="O434">
        <f>IFERROR(VLOOKUP(C434,Customers!A:F,3,0),"")</f>
        <v>24</v>
      </c>
      <c r="P434">
        <f>IFERROR(VLOOKUP(D434,Products!A:F,4,0),"")</f>
        <v>1052</v>
      </c>
      <c r="Q434" t="b">
        <f>IFERROR(VLOOKUP(D434,Products!A:F,6,0),"")</f>
        <v>1</v>
      </c>
      <c r="R434">
        <f t="shared" si="18"/>
        <v>0.5953846153846154</v>
      </c>
      <c r="S434">
        <f t="shared" si="19"/>
        <v>1</v>
      </c>
      <c r="T434">
        <f>IF(AND(S434&gt;1,COUNTIF($A$2:A434,A434)=1),1,0)</f>
        <v>0</v>
      </c>
      <c r="U434">
        <f>COUNTIF(Customers!$A$2:$A$301,C434)</f>
        <v>1</v>
      </c>
      <c r="V434">
        <f t="shared" si="20"/>
        <v>0</v>
      </c>
    </row>
    <row r="435" spans="1:22" ht="14.25" customHeight="1" x14ac:dyDescent="0.35">
      <c r="A435" s="10" t="s">
        <v>813</v>
      </c>
      <c r="B435" s="11">
        <v>45497</v>
      </c>
      <c r="C435" s="10" t="s">
        <v>814</v>
      </c>
      <c r="D435" s="10" t="s">
        <v>319</v>
      </c>
      <c r="E435" s="10" t="s">
        <v>152</v>
      </c>
      <c r="F435" s="12">
        <v>8</v>
      </c>
      <c r="G435" s="12">
        <v>2510</v>
      </c>
      <c r="H435" s="12">
        <v>3.7</v>
      </c>
      <c r="I435" s="12">
        <v>19337.04</v>
      </c>
      <c r="J435" s="10" t="s">
        <v>51</v>
      </c>
      <c r="K435" s="10" t="s">
        <v>58</v>
      </c>
      <c r="L435" t="str">
        <f>IFERROR(VLOOKUP(D435,Products!A:F,3,0),"")</f>
        <v>Apparel</v>
      </c>
      <c r="M435" t="str">
        <f>IFERROR(VLOOKUP(E435,Sales_Reps!A:E,3,0),"")</f>
        <v>South</v>
      </c>
      <c r="N435" t="str">
        <f>IFERROR(VLOOKUP(C435,Customers!A:F,5,0),"")</f>
        <v>SMB</v>
      </c>
      <c r="O435">
        <f>IFERROR(VLOOKUP(C435,Customers!A:F,3,0),"")</f>
        <v>26</v>
      </c>
      <c r="P435">
        <f>IFERROR(VLOOKUP(D435,Products!A:F,4,0),"")</f>
        <v>1075</v>
      </c>
      <c r="Q435" t="b">
        <f>IFERROR(VLOOKUP(D435,Products!A:F,6,0),"")</f>
        <v>0</v>
      </c>
      <c r="R435">
        <f t="shared" si="18"/>
        <v>0.57171314741035861</v>
      </c>
      <c r="S435">
        <f t="shared" si="19"/>
        <v>1</v>
      </c>
      <c r="T435">
        <f>IF(AND(S435&gt;1,COUNTIF($A$2:A435,A435)=1),1,0)</f>
        <v>0</v>
      </c>
      <c r="U435">
        <f>COUNTIF(Customers!$A$2:$A$301,C435)</f>
        <v>1</v>
      </c>
      <c r="V435">
        <f t="shared" si="20"/>
        <v>0</v>
      </c>
    </row>
    <row r="436" spans="1:22" ht="14.25" customHeight="1" x14ac:dyDescent="0.35">
      <c r="A436" s="10" t="s">
        <v>815</v>
      </c>
      <c r="B436" s="11">
        <v>45510</v>
      </c>
      <c r="C436" s="10" t="s">
        <v>588</v>
      </c>
      <c r="D436" s="10" t="s">
        <v>328</v>
      </c>
      <c r="E436" s="10" t="s">
        <v>112</v>
      </c>
      <c r="F436" s="12">
        <v>6</v>
      </c>
      <c r="G436" s="12">
        <v>5330</v>
      </c>
      <c r="H436" s="12">
        <v>8.4</v>
      </c>
      <c r="I436" s="12">
        <v>29293.68</v>
      </c>
      <c r="J436" s="10" t="s">
        <v>51</v>
      </c>
      <c r="K436" s="10" t="s">
        <v>52</v>
      </c>
      <c r="L436" t="str">
        <f>IFERROR(VLOOKUP(D436,Products!A:F,3,0),"")</f>
        <v>Electronics</v>
      </c>
      <c r="M436" t="str">
        <f>IFERROR(VLOOKUP(E436,Sales_Reps!A:E,3,0),"")</f>
        <v>North</v>
      </c>
      <c r="N436" t="str">
        <f>IFERROR(VLOOKUP(C436,Customers!A:F,5,0),"")</f>
        <v>Corporate</v>
      </c>
      <c r="O436">
        <f>IFERROR(VLOOKUP(C436,Customers!A:F,3,0),"")</f>
        <v>31</v>
      </c>
      <c r="P436">
        <f>IFERROR(VLOOKUP(D436,Products!A:F,4,0),"")</f>
        <v>2405</v>
      </c>
      <c r="Q436" t="b">
        <f>IFERROR(VLOOKUP(D436,Products!A:F,6,0),"")</f>
        <v>1</v>
      </c>
      <c r="R436">
        <f t="shared" si="18"/>
        <v>0.54878048780487809</v>
      </c>
      <c r="S436">
        <f t="shared" si="19"/>
        <v>1</v>
      </c>
      <c r="T436">
        <f>IF(AND(S436&gt;1,COUNTIF($A$2:A436,A436)=1),1,0)</f>
        <v>0</v>
      </c>
      <c r="U436">
        <f>COUNTIF(Customers!$A$2:$A$301,C436)</f>
        <v>1</v>
      </c>
      <c r="V436">
        <f t="shared" si="20"/>
        <v>0</v>
      </c>
    </row>
    <row r="437" spans="1:22" ht="14.25" customHeight="1" x14ac:dyDescent="0.35">
      <c r="A437" s="10" t="s">
        <v>816</v>
      </c>
      <c r="B437" s="11">
        <v>45522</v>
      </c>
      <c r="C437" s="10" t="s">
        <v>393</v>
      </c>
      <c r="D437" s="10" t="s">
        <v>407</v>
      </c>
      <c r="E437" s="10" t="s">
        <v>62</v>
      </c>
      <c r="F437" s="12">
        <v>5</v>
      </c>
      <c r="G437" s="12">
        <v>5080</v>
      </c>
      <c r="H437" s="12">
        <v>10.3</v>
      </c>
      <c r="I437" s="12">
        <v>22783.8</v>
      </c>
      <c r="J437" s="10" t="s">
        <v>51</v>
      </c>
      <c r="K437" s="10" t="s">
        <v>81</v>
      </c>
      <c r="L437" t="str">
        <f>IFERROR(VLOOKUP(D437,Products!A:F,3,0),"")</f>
        <v>Home</v>
      </c>
      <c r="M437" t="str">
        <f>IFERROR(VLOOKUP(E437,Sales_Reps!A:E,3,0),"")</f>
        <v>South</v>
      </c>
      <c r="N437" t="str">
        <f>IFERROR(VLOOKUP(C437,Customers!A:F,5,0),"")</f>
        <v>Retail</v>
      </c>
      <c r="O437">
        <f>IFERROR(VLOOKUP(C437,Customers!A:F,3,0),"")</f>
        <v>55</v>
      </c>
      <c r="P437">
        <f>IFERROR(VLOOKUP(D437,Products!A:F,4,0),"")</f>
        <v>2459</v>
      </c>
      <c r="Q437" t="b">
        <f>IFERROR(VLOOKUP(D437,Products!A:F,6,0),"")</f>
        <v>1</v>
      </c>
      <c r="R437">
        <f t="shared" si="18"/>
        <v>0.51594488188976373</v>
      </c>
      <c r="S437">
        <f t="shared" si="19"/>
        <v>1</v>
      </c>
      <c r="T437">
        <f>IF(AND(S437&gt;1,COUNTIF($A$2:A437,A437)=1),1,0)</f>
        <v>0</v>
      </c>
      <c r="U437">
        <f>COUNTIF(Customers!$A$2:$A$301,C437)</f>
        <v>1</v>
      </c>
      <c r="V437">
        <f t="shared" si="20"/>
        <v>0</v>
      </c>
    </row>
    <row r="438" spans="1:22" ht="14.25" customHeight="1" x14ac:dyDescent="0.35">
      <c r="A438" s="10" t="s">
        <v>817</v>
      </c>
      <c r="B438" s="11">
        <v>45381</v>
      </c>
      <c r="C438" s="10" t="s">
        <v>574</v>
      </c>
      <c r="D438" s="10" t="s">
        <v>228</v>
      </c>
      <c r="E438" s="10" t="s">
        <v>75</v>
      </c>
      <c r="F438" s="12">
        <v>3</v>
      </c>
      <c r="G438" s="12">
        <v>4070</v>
      </c>
      <c r="H438" s="12">
        <v>23.7</v>
      </c>
      <c r="I438" s="12">
        <v>9316.23</v>
      </c>
      <c r="J438" s="10" t="s">
        <v>51</v>
      </c>
      <c r="K438" s="10" t="s">
        <v>81</v>
      </c>
      <c r="L438" t="str">
        <f>IFERROR(VLOOKUP(D438,Products!A:F,3,0),"")</f>
        <v>Grocery</v>
      </c>
      <c r="M438" t="str">
        <f>IFERROR(VLOOKUP(E438,Sales_Reps!A:E,3,0),"")</f>
        <v>West</v>
      </c>
      <c r="N438" t="str">
        <f>IFERROR(VLOOKUP(C438,Customers!A:F,5,0),"")</f>
        <v>SMB</v>
      </c>
      <c r="O438">
        <f>IFERROR(VLOOKUP(C438,Customers!A:F,3,0),"")</f>
        <v>42</v>
      </c>
      <c r="P438">
        <f>IFERROR(VLOOKUP(D438,Products!A:F,4,0),"")</f>
        <v>2027</v>
      </c>
      <c r="Q438" t="b">
        <f>IFERROR(VLOOKUP(D438,Products!A:F,6,0),"")</f>
        <v>1</v>
      </c>
      <c r="R438">
        <f t="shared" si="18"/>
        <v>0.50196560196560192</v>
      </c>
      <c r="S438">
        <f t="shared" si="19"/>
        <v>1</v>
      </c>
      <c r="T438">
        <f>IF(AND(S438&gt;1,COUNTIF($A$2:A438,A438)=1),1,0)</f>
        <v>0</v>
      </c>
      <c r="U438">
        <f>COUNTIF(Customers!$A$2:$A$301,C438)</f>
        <v>1</v>
      </c>
      <c r="V438">
        <f t="shared" si="20"/>
        <v>9316.23</v>
      </c>
    </row>
    <row r="439" spans="1:22" ht="14.25" customHeight="1" x14ac:dyDescent="0.35">
      <c r="A439" s="10" t="s">
        <v>818</v>
      </c>
      <c r="B439" s="11">
        <v>45511</v>
      </c>
      <c r="C439" s="10" t="s">
        <v>154</v>
      </c>
      <c r="D439" s="10" t="s">
        <v>256</v>
      </c>
      <c r="E439" s="10" t="s">
        <v>216</v>
      </c>
      <c r="F439" s="12">
        <v>4</v>
      </c>
      <c r="G439" s="12">
        <v>620</v>
      </c>
      <c r="H439" s="12">
        <v>18.8</v>
      </c>
      <c r="I439" s="12">
        <v>2013.76</v>
      </c>
      <c r="J439" s="10" t="s">
        <v>51</v>
      </c>
      <c r="K439" s="10" t="s">
        <v>97</v>
      </c>
      <c r="L439" t="str">
        <f>IFERROR(VLOOKUP(D439,Products!A:F,3,0),"")</f>
        <v>Apparel</v>
      </c>
      <c r="M439" t="str">
        <f>IFERROR(VLOOKUP(E439,Sales_Reps!A:E,3,0),"")</f>
        <v>South</v>
      </c>
      <c r="N439" t="str">
        <f>IFERROR(VLOOKUP(C439,Customers!A:F,5,0),"")</f>
        <v>Corporate</v>
      </c>
      <c r="O439">
        <f>IFERROR(VLOOKUP(C439,Customers!A:F,3,0),"")</f>
        <v>56</v>
      </c>
      <c r="P439">
        <f>IFERROR(VLOOKUP(D439,Products!A:F,4,0),"")</f>
        <v>396</v>
      </c>
      <c r="Q439" t="b">
        <f>IFERROR(VLOOKUP(D439,Products!A:F,6,0),"")</f>
        <v>1</v>
      </c>
      <c r="R439">
        <f t="shared" si="18"/>
        <v>0.36129032258064514</v>
      </c>
      <c r="S439">
        <f t="shared" si="19"/>
        <v>1</v>
      </c>
      <c r="T439">
        <f>IF(AND(S439&gt;1,COUNTIF($A$2:A439,A439)=1),1,0)</f>
        <v>0</v>
      </c>
      <c r="U439">
        <f>COUNTIF(Customers!$A$2:$A$301,C439)</f>
        <v>1</v>
      </c>
      <c r="V439">
        <f t="shared" si="20"/>
        <v>0</v>
      </c>
    </row>
    <row r="440" spans="1:22" ht="14.25" customHeight="1" x14ac:dyDescent="0.35">
      <c r="A440" s="10" t="s">
        <v>819</v>
      </c>
      <c r="B440" s="11">
        <v>45628</v>
      </c>
      <c r="C440" s="10" t="s">
        <v>820</v>
      </c>
      <c r="D440" s="10" t="s">
        <v>99</v>
      </c>
      <c r="E440" s="10" t="s">
        <v>202</v>
      </c>
      <c r="F440" s="12">
        <v>10</v>
      </c>
      <c r="G440" s="12">
        <v>2640</v>
      </c>
      <c r="H440" s="12">
        <v>12.7</v>
      </c>
      <c r="I440" s="12">
        <v>23047.200000000001</v>
      </c>
      <c r="J440" s="10" t="s">
        <v>51</v>
      </c>
      <c r="K440" s="10" t="s">
        <v>52</v>
      </c>
      <c r="L440" t="str">
        <f>IFERROR(VLOOKUP(D440,Products!A:F,3,0),"")</f>
        <v>Electronics</v>
      </c>
      <c r="M440" t="str">
        <f>IFERROR(VLOOKUP(E440,Sales_Reps!A:E,3,0),"")</f>
        <v>East</v>
      </c>
      <c r="N440" t="str">
        <f>IFERROR(VLOOKUP(C440,Customers!A:F,5,0),"")</f>
        <v>SMB</v>
      </c>
      <c r="O440">
        <f>IFERROR(VLOOKUP(C440,Customers!A:F,3,0),"")</f>
        <v>59</v>
      </c>
      <c r="P440">
        <f>IFERROR(VLOOKUP(D440,Products!A:F,4,0),"")</f>
        <v>1149</v>
      </c>
      <c r="Q440" t="b">
        <f>IFERROR(VLOOKUP(D440,Products!A:F,6,0),"")</f>
        <v>1</v>
      </c>
      <c r="R440">
        <f t="shared" si="18"/>
        <v>0.56477272727272732</v>
      </c>
      <c r="S440">
        <f t="shared" si="19"/>
        <v>1</v>
      </c>
      <c r="T440">
        <f>IF(AND(S440&gt;1,COUNTIF($A$2:A440,A440)=1),1,0)</f>
        <v>0</v>
      </c>
      <c r="U440">
        <f>COUNTIF(Customers!$A$2:$A$301,C440)</f>
        <v>1</v>
      </c>
      <c r="V440">
        <f t="shared" si="20"/>
        <v>0</v>
      </c>
    </row>
    <row r="441" spans="1:22" ht="14.25" customHeight="1" x14ac:dyDescent="0.35">
      <c r="A441" s="10" t="s">
        <v>821</v>
      </c>
      <c r="B441" s="11">
        <v>45326</v>
      </c>
      <c r="C441" s="10" t="s">
        <v>433</v>
      </c>
      <c r="D441" s="10" t="s">
        <v>228</v>
      </c>
      <c r="E441" s="10" t="s">
        <v>134</v>
      </c>
      <c r="F441" s="12">
        <v>2</v>
      </c>
      <c r="G441" s="12">
        <v>4070</v>
      </c>
      <c r="H441" s="12">
        <v>29</v>
      </c>
      <c r="I441" s="12">
        <v>5779.4</v>
      </c>
      <c r="J441" s="10" t="s">
        <v>51</v>
      </c>
      <c r="K441" s="10" t="s">
        <v>81</v>
      </c>
      <c r="L441" t="str">
        <f>IFERROR(VLOOKUP(D441,Products!A:F,3,0),"")</f>
        <v>Grocery</v>
      </c>
      <c r="M441" t="str">
        <f>IFERROR(VLOOKUP(E441,Sales_Reps!A:E,3,0),"")</f>
        <v>West</v>
      </c>
      <c r="N441" t="str">
        <f>IFERROR(VLOOKUP(C441,Customers!A:F,5,0),"")</f>
        <v>SMB</v>
      </c>
      <c r="O441">
        <f>IFERROR(VLOOKUP(C441,Customers!A:F,3,0),"")</f>
        <v>43</v>
      </c>
      <c r="P441">
        <f>IFERROR(VLOOKUP(D441,Products!A:F,4,0),"")</f>
        <v>2027</v>
      </c>
      <c r="Q441" t="b">
        <f>IFERROR(VLOOKUP(D441,Products!A:F,6,0),"")</f>
        <v>1</v>
      </c>
      <c r="R441">
        <f t="shared" si="18"/>
        <v>0.50196560196560192</v>
      </c>
      <c r="S441">
        <f t="shared" si="19"/>
        <v>1</v>
      </c>
      <c r="T441">
        <f>IF(AND(S441&gt;1,COUNTIF($A$2:A441,A441)=1),1,0)</f>
        <v>0</v>
      </c>
      <c r="U441">
        <f>COUNTIF(Customers!$A$2:$A$301,C441)</f>
        <v>1</v>
      </c>
      <c r="V441">
        <f t="shared" si="20"/>
        <v>5779.4</v>
      </c>
    </row>
    <row r="442" spans="1:22" ht="14.25" customHeight="1" x14ac:dyDescent="0.35">
      <c r="A442" s="10" t="s">
        <v>822</v>
      </c>
      <c r="B442" s="11">
        <v>45561</v>
      </c>
      <c r="C442" s="10" t="s">
        <v>626</v>
      </c>
      <c r="D442" s="10" t="s">
        <v>146</v>
      </c>
      <c r="E442" s="10" t="s">
        <v>50</v>
      </c>
      <c r="F442" s="12">
        <v>8</v>
      </c>
      <c r="G442" s="12">
        <v>1010</v>
      </c>
      <c r="H442" s="12">
        <v>25.4</v>
      </c>
      <c r="I442" s="12">
        <v>6027.68</v>
      </c>
      <c r="J442" s="10" t="s">
        <v>51</v>
      </c>
      <c r="K442" s="10" t="s">
        <v>58</v>
      </c>
      <c r="L442" t="str">
        <f>IFERROR(VLOOKUP(D442,Products!A:F,3,0),"")</f>
        <v>Sports</v>
      </c>
      <c r="M442" t="str">
        <f>IFERROR(VLOOKUP(E442,Sales_Reps!A:E,3,0),"")</f>
        <v>North</v>
      </c>
      <c r="N442" t="str">
        <f>IFERROR(VLOOKUP(C442,Customers!A:F,5,0),"")</f>
        <v>Corporate</v>
      </c>
      <c r="O442">
        <f>IFERROR(VLOOKUP(C442,Customers!A:F,3,0),"")</f>
        <v>41</v>
      </c>
      <c r="P442">
        <f>IFERROR(VLOOKUP(D442,Products!A:F,4,0),"")</f>
        <v>516</v>
      </c>
      <c r="Q442" t="b">
        <f>IFERROR(VLOOKUP(D442,Products!A:F,6,0),"")</f>
        <v>1</v>
      </c>
      <c r="R442">
        <f t="shared" si="18"/>
        <v>0.4891089108910891</v>
      </c>
      <c r="S442">
        <f t="shared" si="19"/>
        <v>1</v>
      </c>
      <c r="T442">
        <f>IF(AND(S442&gt;1,COUNTIF($A$2:A442,A442)=1),1,0)</f>
        <v>0</v>
      </c>
      <c r="U442">
        <f>COUNTIF(Customers!$A$2:$A$301,C442)</f>
        <v>1</v>
      </c>
      <c r="V442">
        <f t="shared" si="20"/>
        <v>0</v>
      </c>
    </row>
    <row r="443" spans="1:22" ht="14.25" customHeight="1" x14ac:dyDescent="0.35">
      <c r="A443" s="10" t="s">
        <v>823</v>
      </c>
      <c r="B443" s="11">
        <v>45629</v>
      </c>
      <c r="C443" s="10" t="s">
        <v>451</v>
      </c>
      <c r="D443" s="10" t="s">
        <v>107</v>
      </c>
      <c r="E443" s="10" t="s">
        <v>56</v>
      </c>
      <c r="F443" s="12">
        <v>8</v>
      </c>
      <c r="G443" s="12">
        <v>3250</v>
      </c>
      <c r="H443" s="12">
        <v>5.4</v>
      </c>
      <c r="I443" s="12">
        <v>24596</v>
      </c>
      <c r="J443" s="10" t="s">
        <v>51</v>
      </c>
      <c r="K443" s="10" t="s">
        <v>52</v>
      </c>
      <c r="L443" t="str">
        <f>IFERROR(VLOOKUP(D443,Products!A:F,3,0),"")</f>
        <v>Home</v>
      </c>
      <c r="M443" t="str">
        <f>IFERROR(VLOOKUP(E443,Sales_Reps!A:E,3,0),"")</f>
        <v>North</v>
      </c>
      <c r="N443" t="str">
        <f>IFERROR(VLOOKUP(C443,Customers!A:F,5,0),"")</f>
        <v>Corporate</v>
      </c>
      <c r="O443">
        <f>IFERROR(VLOOKUP(C443,Customers!A:F,3,0),"")</f>
        <v>29</v>
      </c>
      <c r="P443">
        <f>IFERROR(VLOOKUP(D443,Products!A:F,4,0),"")</f>
        <v>1556</v>
      </c>
      <c r="Q443" t="b">
        <f>IFERROR(VLOOKUP(D443,Products!A:F,6,0),"")</f>
        <v>1</v>
      </c>
      <c r="R443">
        <f t="shared" si="18"/>
        <v>0.52123076923076928</v>
      </c>
      <c r="S443">
        <f t="shared" si="19"/>
        <v>1</v>
      </c>
      <c r="T443">
        <f>IF(AND(S443&gt;1,COUNTIF($A$2:A443,A443)=1),1,0)</f>
        <v>0</v>
      </c>
      <c r="U443">
        <f>COUNTIF(Customers!$A$2:$A$301,C443)</f>
        <v>1</v>
      </c>
      <c r="V443">
        <f t="shared" si="20"/>
        <v>0</v>
      </c>
    </row>
    <row r="444" spans="1:22" ht="14.25" customHeight="1" x14ac:dyDescent="0.35">
      <c r="A444" s="10" t="s">
        <v>824</v>
      </c>
      <c r="B444" s="11">
        <v>45460</v>
      </c>
      <c r="C444" s="10" t="s">
        <v>391</v>
      </c>
      <c r="D444" s="10" t="s">
        <v>84</v>
      </c>
      <c r="E444" s="10" t="s">
        <v>168</v>
      </c>
      <c r="F444" s="12">
        <v>7</v>
      </c>
      <c r="G444" s="12">
        <v>1430</v>
      </c>
      <c r="H444" s="12">
        <v>19.3</v>
      </c>
      <c r="I444" s="12">
        <v>8078.07</v>
      </c>
      <c r="J444" s="10" t="s">
        <v>51</v>
      </c>
      <c r="K444" s="10" t="s">
        <v>52</v>
      </c>
      <c r="L444" t="str">
        <f>IFERROR(VLOOKUP(D444,Products!A:F,3,0),"")</f>
        <v>Electronics</v>
      </c>
      <c r="M444" t="str">
        <f>IFERROR(VLOOKUP(E444,Sales_Reps!A:E,3,0),"")</f>
        <v>South</v>
      </c>
      <c r="N444" t="str">
        <f>IFERROR(VLOOKUP(C444,Customers!A:F,5,0),"")</f>
        <v>Corporate</v>
      </c>
      <c r="O444">
        <f>IFERROR(VLOOKUP(C444,Customers!A:F,3,0),"")</f>
        <v>48</v>
      </c>
      <c r="P444">
        <f>IFERROR(VLOOKUP(D444,Products!A:F,4,0),"")</f>
        <v>861</v>
      </c>
      <c r="Q444" t="b">
        <f>IFERROR(VLOOKUP(D444,Products!A:F,6,0),"")</f>
        <v>1</v>
      </c>
      <c r="R444">
        <f t="shared" si="18"/>
        <v>0.39790209790209791</v>
      </c>
      <c r="S444">
        <f t="shared" si="19"/>
        <v>1</v>
      </c>
      <c r="T444">
        <f>IF(AND(S444&gt;1,COUNTIF($A$2:A444,A444)=1),1,0)</f>
        <v>0</v>
      </c>
      <c r="U444">
        <f>COUNTIF(Customers!$A$2:$A$301,C444)</f>
        <v>1</v>
      </c>
      <c r="V444">
        <f t="shared" si="20"/>
        <v>0</v>
      </c>
    </row>
    <row r="445" spans="1:22" ht="14.25" customHeight="1" x14ac:dyDescent="0.35">
      <c r="A445" s="10" t="s">
        <v>825</v>
      </c>
      <c r="B445" s="11">
        <v>45597</v>
      </c>
      <c r="C445" s="10" t="s">
        <v>340</v>
      </c>
      <c r="D445" s="10" t="s">
        <v>240</v>
      </c>
      <c r="E445" s="10" t="s">
        <v>267</v>
      </c>
      <c r="F445" s="12">
        <v>9</v>
      </c>
      <c r="G445" s="12">
        <v>3020</v>
      </c>
      <c r="H445" s="12">
        <v>15</v>
      </c>
      <c r="I445" s="12">
        <v>23103</v>
      </c>
      <c r="J445" s="10" t="s">
        <v>51</v>
      </c>
      <c r="K445" s="10" t="s">
        <v>81</v>
      </c>
      <c r="L445" t="str">
        <f>IFERROR(VLOOKUP(D445,Products!A:F,3,0),"")</f>
        <v>Beauty</v>
      </c>
      <c r="M445" t="str">
        <f>IFERROR(VLOOKUP(E445,Sales_Reps!A:E,3,0),"")</f>
        <v>East</v>
      </c>
      <c r="N445" t="str">
        <f>IFERROR(VLOOKUP(C445,Customers!A:F,5,0),"")</f>
        <v>SMB</v>
      </c>
      <c r="O445">
        <f>IFERROR(VLOOKUP(C445,Customers!A:F,3,0),"")</f>
        <v>44</v>
      </c>
      <c r="P445">
        <f>IFERROR(VLOOKUP(D445,Products!A:F,4,0),"")</f>
        <v>1626</v>
      </c>
      <c r="Q445" t="b">
        <f>IFERROR(VLOOKUP(D445,Products!A:F,6,0),"")</f>
        <v>1</v>
      </c>
      <c r="R445">
        <f t="shared" si="18"/>
        <v>0.46158940397350995</v>
      </c>
      <c r="S445">
        <f t="shared" si="19"/>
        <v>1</v>
      </c>
      <c r="T445">
        <f>IF(AND(S445&gt;1,COUNTIF($A$2:A445,A445)=1),1,0)</f>
        <v>0</v>
      </c>
      <c r="U445">
        <f>COUNTIF(Customers!$A$2:$A$301,C445)</f>
        <v>1</v>
      </c>
      <c r="V445">
        <f t="shared" si="20"/>
        <v>0</v>
      </c>
    </row>
    <row r="446" spans="1:22" ht="14.25" customHeight="1" x14ac:dyDescent="0.35">
      <c r="A446" s="10" t="s">
        <v>826</v>
      </c>
      <c r="B446" s="11">
        <v>45324</v>
      </c>
      <c r="C446" s="10" t="s">
        <v>827</v>
      </c>
      <c r="D446" s="10" t="s">
        <v>243</v>
      </c>
      <c r="E446" s="10" t="s">
        <v>261</v>
      </c>
      <c r="F446" s="12">
        <v>2</v>
      </c>
      <c r="G446" s="12">
        <v>2660</v>
      </c>
      <c r="H446" s="12">
        <v>21.4</v>
      </c>
      <c r="I446" s="12">
        <v>4181.5200000000004</v>
      </c>
      <c r="J446" s="10" t="s">
        <v>51</v>
      </c>
      <c r="K446" s="10" t="s">
        <v>58</v>
      </c>
      <c r="L446" t="str">
        <f>IFERROR(VLOOKUP(D446,Products!A:F,3,0),"")</f>
        <v>Electronics</v>
      </c>
      <c r="M446" t="str">
        <f>IFERROR(VLOOKUP(E446,Sales_Reps!A:E,3,0),"")</f>
        <v>North</v>
      </c>
      <c r="N446" t="str">
        <f>IFERROR(VLOOKUP(C446,Customers!A:F,5,0),"")</f>
        <v/>
      </c>
      <c r="O446" t="str">
        <f>IFERROR(VLOOKUP(C446,Customers!A:F,3,0),"")</f>
        <v/>
      </c>
      <c r="P446">
        <f>IFERROR(VLOOKUP(D446,Products!A:F,4,0),"")</f>
        <v>1259</v>
      </c>
      <c r="Q446" t="b">
        <f>IFERROR(VLOOKUP(D446,Products!A:F,6,0),"")</f>
        <v>0</v>
      </c>
      <c r="R446">
        <f t="shared" si="18"/>
        <v>0.52669172932330832</v>
      </c>
      <c r="S446">
        <f t="shared" si="19"/>
        <v>1</v>
      </c>
      <c r="T446">
        <f>IF(AND(S446&gt;1,COUNTIF($A$2:A446,A446)=1),1,0)</f>
        <v>0</v>
      </c>
      <c r="U446">
        <f>COUNTIF(Customers!$A$2:$A$301,C446)</f>
        <v>0</v>
      </c>
      <c r="V446">
        <f t="shared" si="20"/>
        <v>0</v>
      </c>
    </row>
    <row r="447" spans="1:22" ht="14.25" customHeight="1" x14ac:dyDescent="0.35">
      <c r="A447" s="10" t="s">
        <v>828</v>
      </c>
      <c r="B447" s="11">
        <v>45490</v>
      </c>
      <c r="C447" s="10" t="s">
        <v>145</v>
      </c>
      <c r="D447" s="10" t="s">
        <v>151</v>
      </c>
      <c r="E447" s="10" t="s">
        <v>85</v>
      </c>
      <c r="F447" s="12">
        <v>10</v>
      </c>
      <c r="G447" s="12">
        <v>3570</v>
      </c>
      <c r="H447" s="12">
        <v>20.3</v>
      </c>
      <c r="I447" s="12">
        <v>28452.9</v>
      </c>
      <c r="J447" s="10" t="s">
        <v>51</v>
      </c>
      <c r="K447" s="10" t="s">
        <v>63</v>
      </c>
      <c r="L447" t="str">
        <f>IFERROR(VLOOKUP(D447,Products!A:F,3,0),"")</f>
        <v>Electronics</v>
      </c>
      <c r="M447" t="str">
        <f>IFERROR(VLOOKUP(E447,Sales_Reps!A:E,3,0),"")</f>
        <v>East</v>
      </c>
      <c r="N447" t="str">
        <f>IFERROR(VLOOKUP(C447,Customers!A:F,5,0),"")</f>
        <v>Retail</v>
      </c>
      <c r="O447">
        <f>IFERROR(VLOOKUP(C447,Customers!A:F,3,0),"")</f>
        <v>31</v>
      </c>
      <c r="P447">
        <f>IFERROR(VLOOKUP(D447,Products!A:F,4,0),"")</f>
        <v>1665</v>
      </c>
      <c r="Q447" t="b">
        <f>IFERROR(VLOOKUP(D447,Products!A:F,6,0),"")</f>
        <v>1</v>
      </c>
      <c r="R447">
        <f t="shared" si="18"/>
        <v>0.53361344537815125</v>
      </c>
      <c r="S447">
        <f t="shared" si="19"/>
        <v>1</v>
      </c>
      <c r="T447">
        <f>IF(AND(S447&gt;1,COUNTIF($A$2:A447,A447)=1),1,0)</f>
        <v>0</v>
      </c>
      <c r="U447">
        <f>COUNTIF(Customers!$A$2:$A$301,C447)</f>
        <v>1</v>
      </c>
      <c r="V447">
        <f t="shared" si="20"/>
        <v>0</v>
      </c>
    </row>
    <row r="448" spans="1:22" ht="14.25" customHeight="1" x14ac:dyDescent="0.35">
      <c r="A448" s="10" t="s">
        <v>829</v>
      </c>
      <c r="B448" s="11">
        <v>45330</v>
      </c>
      <c r="C448" s="10" t="s">
        <v>161</v>
      </c>
      <c r="D448" s="10" t="s">
        <v>143</v>
      </c>
      <c r="E448" s="10" t="s">
        <v>96</v>
      </c>
      <c r="F448" s="12">
        <v>4</v>
      </c>
      <c r="G448" s="12">
        <v>3350</v>
      </c>
      <c r="H448" s="12">
        <v>28.1</v>
      </c>
      <c r="I448" s="12">
        <v>9634.6</v>
      </c>
      <c r="J448" s="10" t="s">
        <v>51</v>
      </c>
      <c r="K448" s="10" t="s">
        <v>52</v>
      </c>
      <c r="L448" t="str">
        <f>IFERROR(VLOOKUP(D448,Products!A:F,3,0),"")</f>
        <v>Beauty</v>
      </c>
      <c r="M448" t="str">
        <f>IFERROR(VLOOKUP(E448,Sales_Reps!A:E,3,0),"")</f>
        <v>South</v>
      </c>
      <c r="N448" t="str">
        <f>IFERROR(VLOOKUP(C448,Customers!A:F,5,0),"")</f>
        <v>Corporate</v>
      </c>
      <c r="O448">
        <f>IFERROR(VLOOKUP(C448,Customers!A:F,3,0),"")</f>
        <v>47</v>
      </c>
      <c r="P448">
        <f>IFERROR(VLOOKUP(D448,Products!A:F,4,0),"")</f>
        <v>1728</v>
      </c>
      <c r="Q448" t="b">
        <f>IFERROR(VLOOKUP(D448,Products!A:F,6,0),"")</f>
        <v>1</v>
      </c>
      <c r="R448">
        <f t="shared" si="18"/>
        <v>0.48417910447761192</v>
      </c>
      <c r="S448">
        <f t="shared" si="19"/>
        <v>1</v>
      </c>
      <c r="T448">
        <f>IF(AND(S448&gt;1,COUNTIF($A$2:A448,A448)=1),1,0)</f>
        <v>0</v>
      </c>
      <c r="U448">
        <f>COUNTIF(Customers!$A$2:$A$301,C448)</f>
        <v>1</v>
      </c>
      <c r="V448">
        <f t="shared" si="20"/>
        <v>0</v>
      </c>
    </row>
    <row r="449" spans="1:22" ht="14.25" customHeight="1" x14ac:dyDescent="0.35">
      <c r="A449" s="10" t="s">
        <v>830</v>
      </c>
      <c r="B449" s="11">
        <v>45336</v>
      </c>
      <c r="C449" s="10" t="s">
        <v>65</v>
      </c>
      <c r="D449" s="10" t="s">
        <v>131</v>
      </c>
      <c r="E449" s="10" t="s">
        <v>122</v>
      </c>
      <c r="F449" s="12">
        <v>1</v>
      </c>
      <c r="G449" s="12">
        <v>2480</v>
      </c>
      <c r="H449" s="12">
        <v>13.5</v>
      </c>
      <c r="I449" s="12">
        <v>2145.1999999999998</v>
      </c>
      <c r="J449" s="10" t="s">
        <v>51</v>
      </c>
      <c r="K449" s="10" t="s">
        <v>63</v>
      </c>
      <c r="L449" t="str">
        <f>IFERROR(VLOOKUP(D449,Products!A:F,3,0),"")</f>
        <v>Apparel</v>
      </c>
      <c r="M449" t="str">
        <f>IFERROR(VLOOKUP(E449,Sales_Reps!A:E,3,0),"")</f>
        <v>East</v>
      </c>
      <c r="N449" t="str">
        <f>IFERROR(VLOOKUP(C449,Customers!A:F,5,0),"")</f>
        <v>Corporate</v>
      </c>
      <c r="O449">
        <f>IFERROR(VLOOKUP(C449,Customers!A:F,3,0),"")</f>
        <v>46</v>
      </c>
      <c r="P449">
        <f>IFERROR(VLOOKUP(D449,Products!A:F,4,0),"")</f>
        <v>1173</v>
      </c>
      <c r="Q449" t="b">
        <f>IFERROR(VLOOKUP(D449,Products!A:F,6,0),"")</f>
        <v>1</v>
      </c>
      <c r="R449">
        <f t="shared" si="18"/>
        <v>0.52701612903225803</v>
      </c>
      <c r="S449">
        <f t="shared" si="19"/>
        <v>1</v>
      </c>
      <c r="T449">
        <f>IF(AND(S449&gt;1,COUNTIF($A$2:A449,A449)=1),1,0)</f>
        <v>0</v>
      </c>
      <c r="U449">
        <f>COUNTIF(Customers!$A$2:$A$301,C449)</f>
        <v>1</v>
      </c>
      <c r="V449">
        <f t="shared" si="20"/>
        <v>0</v>
      </c>
    </row>
    <row r="450" spans="1:22" ht="14.25" customHeight="1" x14ac:dyDescent="0.35">
      <c r="A450" s="10" t="s">
        <v>831</v>
      </c>
      <c r="B450" s="11">
        <v>45649</v>
      </c>
      <c r="C450" s="10" t="s">
        <v>832</v>
      </c>
      <c r="D450" s="10" t="s">
        <v>324</v>
      </c>
      <c r="E450" s="10" t="s">
        <v>152</v>
      </c>
      <c r="F450" s="12">
        <v>10</v>
      </c>
      <c r="G450" s="12">
        <v>5410</v>
      </c>
      <c r="H450" s="12">
        <v>26.1</v>
      </c>
      <c r="I450" s="12">
        <v>39979.9</v>
      </c>
      <c r="J450" s="10" t="s">
        <v>51</v>
      </c>
      <c r="K450" s="10" t="s">
        <v>63</v>
      </c>
      <c r="L450" t="str">
        <f>IFERROR(VLOOKUP(D450,Products!A:F,3,0),"")</f>
        <v>Sports</v>
      </c>
      <c r="M450" t="str">
        <f>IFERROR(VLOOKUP(E450,Sales_Reps!A:E,3,0),"")</f>
        <v>South</v>
      </c>
      <c r="N450" t="str">
        <f>IFERROR(VLOOKUP(C450,Customers!A:F,5,0),"")</f>
        <v>SMB</v>
      </c>
      <c r="O450">
        <f>IFERROR(VLOOKUP(C450,Customers!A:F,3,0),"")</f>
        <v>38</v>
      </c>
      <c r="P450">
        <f>IFERROR(VLOOKUP(D450,Products!A:F,4,0),"")</f>
        <v>2265</v>
      </c>
      <c r="Q450" t="b">
        <f>IFERROR(VLOOKUP(D450,Products!A:F,6,0),"")</f>
        <v>1</v>
      </c>
      <c r="R450">
        <f t="shared" ref="R450:R513" si="21">IFERROR((G450-P450)/G450,"")</f>
        <v>0.58133086876155271</v>
      </c>
      <c r="S450">
        <f t="shared" ref="S450:S513" si="22">COUNTIF($A$2:$A$2001,A450)</f>
        <v>1</v>
      </c>
      <c r="T450">
        <f>IF(AND(S450&gt;1,COUNTIF($A$2:A450,A450)=1),1,0)</f>
        <v>0</v>
      </c>
      <c r="U450">
        <f>COUNTIF(Customers!$A$2:$A$301,C450)</f>
        <v>1</v>
      </c>
      <c r="V450">
        <f t="shared" ref="V450:V513" si="23">IF(AND(K450="Bengaluru",L450="Grocery"),I450,0)</f>
        <v>0</v>
      </c>
    </row>
    <row r="451" spans="1:22" ht="14.25" customHeight="1" x14ac:dyDescent="0.35">
      <c r="A451" s="10" t="s">
        <v>833</v>
      </c>
      <c r="B451" s="11">
        <v>45586</v>
      </c>
      <c r="C451" s="10" t="s">
        <v>834</v>
      </c>
      <c r="D451" s="10" t="s">
        <v>167</v>
      </c>
      <c r="E451" s="10" t="s">
        <v>118</v>
      </c>
      <c r="F451" s="12">
        <v>2</v>
      </c>
      <c r="G451" s="12">
        <v>660</v>
      </c>
      <c r="H451" s="12">
        <v>5</v>
      </c>
      <c r="I451" s="12">
        <v>1254</v>
      </c>
      <c r="J451" s="10" t="s">
        <v>51</v>
      </c>
      <c r="K451" s="10" t="s">
        <v>81</v>
      </c>
      <c r="L451" t="str">
        <f>IFERROR(VLOOKUP(D451,Products!A:F,3,0),"")</f>
        <v>Home</v>
      </c>
      <c r="M451" t="str">
        <f>IFERROR(VLOOKUP(E451,Sales_Reps!A:E,3,0),"")</f>
        <v>East</v>
      </c>
      <c r="N451" t="str">
        <f>IFERROR(VLOOKUP(C451,Customers!A:F,5,0),"")</f>
        <v>Retail</v>
      </c>
      <c r="O451">
        <f>IFERROR(VLOOKUP(C451,Customers!A:F,3,0),"")</f>
        <v>47</v>
      </c>
      <c r="P451">
        <f>IFERROR(VLOOKUP(D451,Products!A:F,4,0),"")</f>
        <v>329</v>
      </c>
      <c r="Q451" t="b">
        <f>IFERROR(VLOOKUP(D451,Products!A:F,6,0),"")</f>
        <v>1</v>
      </c>
      <c r="R451">
        <f t="shared" si="21"/>
        <v>0.50151515151515147</v>
      </c>
      <c r="S451">
        <f t="shared" si="22"/>
        <v>1</v>
      </c>
      <c r="T451">
        <f>IF(AND(S451&gt;1,COUNTIF($A$2:A451,A451)=1),1,0)</f>
        <v>0</v>
      </c>
      <c r="U451">
        <f>COUNTIF(Customers!$A$2:$A$301,C451)</f>
        <v>1</v>
      </c>
      <c r="V451">
        <f t="shared" si="23"/>
        <v>0</v>
      </c>
    </row>
    <row r="452" spans="1:22" ht="14.25" customHeight="1" x14ac:dyDescent="0.35">
      <c r="A452" s="10" t="s">
        <v>835</v>
      </c>
      <c r="B452" s="11">
        <v>45647</v>
      </c>
      <c r="C452" s="10" t="s">
        <v>836</v>
      </c>
      <c r="D452" s="10" t="s">
        <v>146</v>
      </c>
      <c r="E452" s="10" t="s">
        <v>50</v>
      </c>
      <c r="F452" s="12">
        <v>10</v>
      </c>
      <c r="G452" s="12">
        <v>1010</v>
      </c>
      <c r="H452" s="12">
        <v>10</v>
      </c>
      <c r="I452" s="12">
        <v>9090</v>
      </c>
      <c r="J452" s="10" t="s">
        <v>51</v>
      </c>
      <c r="K452" s="10" t="s">
        <v>76</v>
      </c>
      <c r="L452" t="str">
        <f>IFERROR(VLOOKUP(D452,Products!A:F,3,0),"")</f>
        <v>Sports</v>
      </c>
      <c r="M452" t="str">
        <f>IFERROR(VLOOKUP(E452,Sales_Reps!A:E,3,0),"")</f>
        <v>North</v>
      </c>
      <c r="N452" t="str">
        <f>IFERROR(VLOOKUP(C452,Customers!A:F,5,0),"")</f>
        <v>Corporate</v>
      </c>
      <c r="O452">
        <f>IFERROR(VLOOKUP(C452,Customers!A:F,3,0),"")</f>
        <v>62</v>
      </c>
      <c r="P452">
        <f>IFERROR(VLOOKUP(D452,Products!A:F,4,0),"")</f>
        <v>516</v>
      </c>
      <c r="Q452" t="b">
        <f>IFERROR(VLOOKUP(D452,Products!A:F,6,0),"")</f>
        <v>1</v>
      </c>
      <c r="R452">
        <f t="shared" si="21"/>
        <v>0.4891089108910891</v>
      </c>
      <c r="S452">
        <f t="shared" si="22"/>
        <v>1</v>
      </c>
      <c r="T452">
        <f>IF(AND(S452&gt;1,COUNTIF($A$2:A452,A452)=1),1,0)</f>
        <v>0</v>
      </c>
      <c r="U452">
        <f>COUNTIF(Customers!$A$2:$A$301,C452)</f>
        <v>1</v>
      </c>
      <c r="V452">
        <f t="shared" si="23"/>
        <v>0</v>
      </c>
    </row>
    <row r="453" spans="1:22" ht="14.25" customHeight="1" x14ac:dyDescent="0.35">
      <c r="A453" s="10" t="s">
        <v>837</v>
      </c>
      <c r="B453" s="11">
        <v>45496</v>
      </c>
      <c r="C453" s="10" t="s">
        <v>838</v>
      </c>
      <c r="D453" s="10" t="s">
        <v>350</v>
      </c>
      <c r="E453" s="10" t="s">
        <v>179</v>
      </c>
      <c r="F453" s="12">
        <v>3</v>
      </c>
      <c r="G453" s="12">
        <v>2290</v>
      </c>
      <c r="H453" s="12">
        <v>8.9</v>
      </c>
      <c r="I453" s="12">
        <v>6258.57</v>
      </c>
      <c r="J453" s="10" t="s">
        <v>51</v>
      </c>
      <c r="K453" s="10" t="s">
        <v>76</v>
      </c>
      <c r="L453" t="str">
        <f>IFERROR(VLOOKUP(D453,Products!A:F,3,0),"")</f>
        <v>Beauty</v>
      </c>
      <c r="M453" t="str">
        <f>IFERROR(VLOOKUP(E453,Sales_Reps!A:E,3,0),"")</f>
        <v>North</v>
      </c>
      <c r="N453" t="str">
        <f>IFERROR(VLOOKUP(C453,Customers!A:F,5,0),"")</f>
        <v>Retail</v>
      </c>
      <c r="O453">
        <f>IFERROR(VLOOKUP(C453,Customers!A:F,3,0),"")</f>
        <v>57</v>
      </c>
      <c r="P453">
        <f>IFERROR(VLOOKUP(D453,Products!A:F,4,0),"")</f>
        <v>1219</v>
      </c>
      <c r="Q453" t="b">
        <f>IFERROR(VLOOKUP(D453,Products!A:F,6,0),"")</f>
        <v>1</v>
      </c>
      <c r="R453">
        <f t="shared" si="21"/>
        <v>0.46768558951965067</v>
      </c>
      <c r="S453">
        <f t="shared" si="22"/>
        <v>1</v>
      </c>
      <c r="T453">
        <f>IF(AND(S453&gt;1,COUNTIF($A$2:A453,A453)=1),1,0)</f>
        <v>0</v>
      </c>
      <c r="U453">
        <f>COUNTIF(Customers!$A$2:$A$301,C453)</f>
        <v>1</v>
      </c>
      <c r="V453">
        <f t="shared" si="23"/>
        <v>0</v>
      </c>
    </row>
    <row r="454" spans="1:22" ht="14.25" customHeight="1" x14ac:dyDescent="0.35">
      <c r="A454" s="10" t="s">
        <v>839</v>
      </c>
      <c r="B454" s="11">
        <v>45369</v>
      </c>
      <c r="C454" s="10" t="s">
        <v>678</v>
      </c>
      <c r="D454" s="10" t="s">
        <v>121</v>
      </c>
      <c r="E454" s="10" t="s">
        <v>179</v>
      </c>
      <c r="F454" s="12">
        <v>9</v>
      </c>
      <c r="G454" s="12">
        <v>3450</v>
      </c>
      <c r="H454" s="12">
        <v>24.3</v>
      </c>
      <c r="I454" s="12">
        <v>23504.85</v>
      </c>
      <c r="J454" s="10" t="s">
        <v>51</v>
      </c>
      <c r="K454" s="10" t="s">
        <v>63</v>
      </c>
      <c r="L454" t="str">
        <f>IFERROR(VLOOKUP(D454,Products!A:F,3,0),"")</f>
        <v>Beauty</v>
      </c>
      <c r="M454" t="str">
        <f>IFERROR(VLOOKUP(E454,Sales_Reps!A:E,3,0),"")</f>
        <v>North</v>
      </c>
      <c r="N454" t="str">
        <f>IFERROR(VLOOKUP(C454,Customers!A:F,5,0),"")</f>
        <v>Retail</v>
      </c>
      <c r="O454">
        <f>IFERROR(VLOOKUP(C454,Customers!A:F,3,0),"")</f>
        <v>24</v>
      </c>
      <c r="P454">
        <f>IFERROR(VLOOKUP(D454,Products!A:F,4,0),"")</f>
        <v>2420</v>
      </c>
      <c r="Q454" t="b">
        <f>IFERROR(VLOOKUP(D454,Products!A:F,6,0),"")</f>
        <v>1</v>
      </c>
      <c r="R454">
        <f t="shared" si="21"/>
        <v>0.29855072463768118</v>
      </c>
      <c r="S454">
        <f t="shared" si="22"/>
        <v>1</v>
      </c>
      <c r="T454">
        <f>IF(AND(S454&gt;1,COUNTIF($A$2:A454,A454)=1),1,0)</f>
        <v>0</v>
      </c>
      <c r="U454">
        <f>COUNTIF(Customers!$A$2:$A$301,C454)</f>
        <v>1</v>
      </c>
      <c r="V454">
        <f t="shared" si="23"/>
        <v>0</v>
      </c>
    </row>
    <row r="455" spans="1:22" ht="14.25" customHeight="1" x14ac:dyDescent="0.35">
      <c r="A455" s="10" t="s">
        <v>840</v>
      </c>
      <c r="B455" s="11">
        <v>45389</v>
      </c>
      <c r="C455" s="10" t="s">
        <v>253</v>
      </c>
      <c r="D455" s="10" t="s">
        <v>201</v>
      </c>
      <c r="E455" s="10" t="s">
        <v>112</v>
      </c>
      <c r="F455" s="12">
        <v>10</v>
      </c>
      <c r="G455" s="12">
        <v>3640</v>
      </c>
      <c r="H455" s="12">
        <v>21.4</v>
      </c>
      <c r="I455" s="12">
        <v>28610.400000000001</v>
      </c>
      <c r="J455" s="10" t="s">
        <v>104</v>
      </c>
      <c r="K455" s="10" t="s">
        <v>58</v>
      </c>
      <c r="L455" t="str">
        <f>IFERROR(VLOOKUP(D455,Products!A:F,3,0),"")</f>
        <v>Apparel</v>
      </c>
      <c r="M455" t="str">
        <f>IFERROR(VLOOKUP(E455,Sales_Reps!A:E,3,0),"")</f>
        <v>North</v>
      </c>
      <c r="N455" t="str">
        <f>IFERROR(VLOOKUP(C455,Customers!A:F,5,0),"")</f>
        <v>Retail</v>
      </c>
      <c r="O455">
        <f>IFERROR(VLOOKUP(C455,Customers!A:F,3,0),"")</f>
        <v>38</v>
      </c>
      <c r="P455">
        <f>IFERROR(VLOOKUP(D455,Products!A:F,4,0),"")</f>
        <v>2611</v>
      </c>
      <c r="Q455" t="b">
        <f>IFERROR(VLOOKUP(D455,Products!A:F,6,0),"")</f>
        <v>1</v>
      </c>
      <c r="R455">
        <f t="shared" si="21"/>
        <v>0.28269230769230769</v>
      </c>
      <c r="S455">
        <f t="shared" si="22"/>
        <v>1</v>
      </c>
      <c r="T455">
        <f>IF(AND(S455&gt;1,COUNTIF($A$2:A455,A455)=1),1,0)</f>
        <v>0</v>
      </c>
      <c r="U455">
        <f>COUNTIF(Customers!$A$2:$A$301,C455)</f>
        <v>1</v>
      </c>
      <c r="V455">
        <f t="shared" si="23"/>
        <v>0</v>
      </c>
    </row>
    <row r="456" spans="1:22" ht="14.25" customHeight="1" x14ac:dyDescent="0.35">
      <c r="A456" s="10" t="s">
        <v>841</v>
      </c>
      <c r="B456" s="11">
        <v>45336</v>
      </c>
      <c r="C456" s="10" t="s">
        <v>842</v>
      </c>
      <c r="D456" s="10" t="s">
        <v>331</v>
      </c>
      <c r="E456" s="10" t="s">
        <v>152</v>
      </c>
      <c r="F456" s="12">
        <v>5</v>
      </c>
      <c r="G456" s="12">
        <v>2380</v>
      </c>
      <c r="H456" s="12">
        <v>12.2</v>
      </c>
      <c r="I456" s="12">
        <v>10448.200000000001</v>
      </c>
      <c r="J456" s="10" t="s">
        <v>51</v>
      </c>
      <c r="K456" s="10" t="s">
        <v>76</v>
      </c>
      <c r="L456" t="str">
        <f>IFERROR(VLOOKUP(D456,Products!A:F,3,0),"")</f>
        <v>Grocery</v>
      </c>
      <c r="M456" t="str">
        <f>IFERROR(VLOOKUP(E456,Sales_Reps!A:E,3,0),"")</f>
        <v>South</v>
      </c>
      <c r="N456" t="str">
        <f>IFERROR(VLOOKUP(C456,Customers!A:F,5,0),"")</f>
        <v>Corporate</v>
      </c>
      <c r="O456">
        <f>IFERROR(VLOOKUP(C456,Customers!A:F,3,0),"")</f>
        <v>62</v>
      </c>
      <c r="P456">
        <f>IFERROR(VLOOKUP(D456,Products!A:F,4,0),"")</f>
        <v>1182</v>
      </c>
      <c r="Q456" t="b">
        <f>IFERROR(VLOOKUP(D456,Products!A:F,6,0),"")</f>
        <v>1</v>
      </c>
      <c r="R456">
        <f t="shared" si="21"/>
        <v>0.50336134453781511</v>
      </c>
      <c r="S456">
        <f t="shared" si="22"/>
        <v>1</v>
      </c>
      <c r="T456">
        <f>IF(AND(S456&gt;1,COUNTIF($A$2:A456,A456)=1),1,0)</f>
        <v>0</v>
      </c>
      <c r="U456">
        <f>COUNTIF(Customers!$A$2:$A$301,C456)</f>
        <v>1</v>
      </c>
      <c r="V456">
        <f t="shared" si="23"/>
        <v>0</v>
      </c>
    </row>
    <row r="457" spans="1:22" ht="14.25" customHeight="1" x14ac:dyDescent="0.35">
      <c r="A457" s="10" t="s">
        <v>843</v>
      </c>
      <c r="B457" s="11">
        <v>45505</v>
      </c>
      <c r="C457" s="10" t="s">
        <v>503</v>
      </c>
      <c r="D457" s="10" t="s">
        <v>324</v>
      </c>
      <c r="E457" s="10" t="s">
        <v>202</v>
      </c>
      <c r="F457" s="12">
        <v>10</v>
      </c>
      <c r="G457" s="12">
        <v>5410</v>
      </c>
      <c r="H457" s="12">
        <v>29.8</v>
      </c>
      <c r="I457" s="12">
        <v>37978.199999999997</v>
      </c>
      <c r="J457" s="10" t="s">
        <v>51</v>
      </c>
      <c r="K457" s="10" t="s">
        <v>97</v>
      </c>
      <c r="L457" t="str">
        <f>IFERROR(VLOOKUP(D457,Products!A:F,3,0),"")</f>
        <v>Sports</v>
      </c>
      <c r="M457" t="str">
        <f>IFERROR(VLOOKUP(E457,Sales_Reps!A:E,3,0),"")</f>
        <v>East</v>
      </c>
      <c r="N457" t="str">
        <f>IFERROR(VLOOKUP(C457,Customers!A:F,5,0),"")</f>
        <v>Retail</v>
      </c>
      <c r="O457">
        <f>IFERROR(VLOOKUP(C457,Customers!A:F,3,0),"")</f>
        <v>38</v>
      </c>
      <c r="P457">
        <f>IFERROR(VLOOKUP(D457,Products!A:F,4,0),"")</f>
        <v>2265</v>
      </c>
      <c r="Q457" t="b">
        <f>IFERROR(VLOOKUP(D457,Products!A:F,6,0),"")</f>
        <v>1</v>
      </c>
      <c r="R457">
        <f t="shared" si="21"/>
        <v>0.58133086876155271</v>
      </c>
      <c r="S457">
        <f t="shared" si="22"/>
        <v>1</v>
      </c>
      <c r="T457">
        <f>IF(AND(S457&gt;1,COUNTIF($A$2:A457,A457)=1),1,0)</f>
        <v>0</v>
      </c>
      <c r="U457">
        <f>COUNTIF(Customers!$A$2:$A$301,C457)</f>
        <v>1</v>
      </c>
      <c r="V457">
        <f t="shared" si="23"/>
        <v>0</v>
      </c>
    </row>
    <row r="458" spans="1:22" ht="14.25" customHeight="1" x14ac:dyDescent="0.35">
      <c r="A458" s="10" t="s">
        <v>844</v>
      </c>
      <c r="B458" s="11">
        <v>45375</v>
      </c>
      <c r="C458" s="10" t="s">
        <v>836</v>
      </c>
      <c r="D458" s="10" t="s">
        <v>140</v>
      </c>
      <c r="E458" s="10" t="s">
        <v>122</v>
      </c>
      <c r="F458" s="12">
        <v>3</v>
      </c>
      <c r="G458" s="12">
        <v>1650</v>
      </c>
      <c r="H458" s="12">
        <v>9.4</v>
      </c>
      <c r="I458" s="12">
        <v>4484.7</v>
      </c>
      <c r="J458" s="10" t="s">
        <v>104</v>
      </c>
      <c r="K458" s="10" t="s">
        <v>76</v>
      </c>
      <c r="L458" t="str">
        <f>IFERROR(VLOOKUP(D458,Products!A:F,3,0),"")</f>
        <v>Beauty</v>
      </c>
      <c r="M458" t="str">
        <f>IFERROR(VLOOKUP(E458,Sales_Reps!A:E,3,0),"")</f>
        <v>East</v>
      </c>
      <c r="N458" t="str">
        <f>IFERROR(VLOOKUP(C458,Customers!A:F,5,0),"")</f>
        <v>Corporate</v>
      </c>
      <c r="O458">
        <f>IFERROR(VLOOKUP(C458,Customers!A:F,3,0),"")</f>
        <v>62</v>
      </c>
      <c r="P458">
        <f>IFERROR(VLOOKUP(D458,Products!A:F,4,0),"")</f>
        <v>1222</v>
      </c>
      <c r="Q458" t="b">
        <f>IFERROR(VLOOKUP(D458,Products!A:F,6,0),"")</f>
        <v>1</v>
      </c>
      <c r="R458">
        <f t="shared" si="21"/>
        <v>0.2593939393939394</v>
      </c>
      <c r="S458">
        <f t="shared" si="22"/>
        <v>1</v>
      </c>
      <c r="T458">
        <f>IF(AND(S458&gt;1,COUNTIF($A$2:A458,A458)=1),1,0)</f>
        <v>0</v>
      </c>
      <c r="U458">
        <f>COUNTIF(Customers!$A$2:$A$301,C458)</f>
        <v>1</v>
      </c>
      <c r="V458">
        <f t="shared" si="23"/>
        <v>0</v>
      </c>
    </row>
    <row r="459" spans="1:22" ht="14.25" customHeight="1" x14ac:dyDescent="0.35">
      <c r="A459" s="10" t="s">
        <v>845</v>
      </c>
      <c r="B459" s="11">
        <v>45383</v>
      </c>
      <c r="C459" s="10" t="s">
        <v>846</v>
      </c>
      <c r="D459" s="10" t="s">
        <v>102</v>
      </c>
      <c r="E459" s="10" t="s">
        <v>249</v>
      </c>
      <c r="F459" s="12">
        <v>7</v>
      </c>
      <c r="G459" s="12">
        <v>2600</v>
      </c>
      <c r="H459" s="12">
        <v>19.899999999999999</v>
      </c>
      <c r="I459" s="12">
        <v>14578.2</v>
      </c>
      <c r="J459" s="10" t="s">
        <v>57</v>
      </c>
      <c r="K459" s="10" t="s">
        <v>76</v>
      </c>
      <c r="L459" t="str">
        <f>IFERROR(VLOOKUP(D459,Products!A:F,3,0),"")</f>
        <v>Electronics</v>
      </c>
      <c r="M459" t="str">
        <f>IFERROR(VLOOKUP(E459,Sales_Reps!A:E,3,0),"")</f>
        <v>East</v>
      </c>
      <c r="N459" t="str">
        <f>IFERROR(VLOOKUP(C459,Customers!A:F,5,0),"")</f>
        <v>Retail</v>
      </c>
      <c r="O459">
        <f>IFERROR(VLOOKUP(C459,Customers!A:F,3,0),"")</f>
        <v>22</v>
      </c>
      <c r="P459">
        <f>IFERROR(VLOOKUP(D459,Products!A:F,4,0),"")</f>
        <v>1052</v>
      </c>
      <c r="Q459" t="b">
        <f>IFERROR(VLOOKUP(D459,Products!A:F,6,0),"")</f>
        <v>1</v>
      </c>
      <c r="R459">
        <f t="shared" si="21"/>
        <v>0.5953846153846154</v>
      </c>
      <c r="S459">
        <f t="shared" si="22"/>
        <v>1</v>
      </c>
      <c r="T459">
        <f>IF(AND(S459&gt;1,COUNTIF($A$2:A459,A459)=1),1,0)</f>
        <v>0</v>
      </c>
      <c r="U459">
        <f>COUNTIF(Customers!$A$2:$A$301,C459)</f>
        <v>1</v>
      </c>
      <c r="V459">
        <f t="shared" si="23"/>
        <v>0</v>
      </c>
    </row>
    <row r="460" spans="1:22" ht="14.25" customHeight="1" x14ac:dyDescent="0.35">
      <c r="A460" s="10" t="s">
        <v>385</v>
      </c>
      <c r="B460" s="11">
        <v>45474</v>
      </c>
      <c r="C460" s="10" t="s">
        <v>847</v>
      </c>
      <c r="D460" s="10" t="s">
        <v>234</v>
      </c>
      <c r="E460" s="10" t="s">
        <v>261</v>
      </c>
      <c r="F460" s="12">
        <v>4</v>
      </c>
      <c r="G460" s="12">
        <v>4610</v>
      </c>
      <c r="H460" s="12">
        <v>13.2</v>
      </c>
      <c r="I460" s="12">
        <v>16005.92</v>
      </c>
      <c r="J460" s="10" t="s">
        <v>51</v>
      </c>
      <c r="K460" s="10" t="s">
        <v>97</v>
      </c>
      <c r="L460" t="str">
        <f>IFERROR(VLOOKUP(D460,Products!A:F,3,0),"")</f>
        <v>Home</v>
      </c>
      <c r="M460" t="str">
        <f>IFERROR(VLOOKUP(E460,Sales_Reps!A:E,3,0),"")</f>
        <v>North</v>
      </c>
      <c r="N460" t="str">
        <f>IFERROR(VLOOKUP(C460,Customers!A:F,5,0),"")</f>
        <v>SMB</v>
      </c>
      <c r="O460">
        <f>IFERROR(VLOOKUP(C460,Customers!A:F,3,0),"")</f>
        <v>28</v>
      </c>
      <c r="P460">
        <f>IFERROR(VLOOKUP(D460,Products!A:F,4,0),"")</f>
        <v>1850</v>
      </c>
      <c r="Q460" t="b">
        <f>IFERROR(VLOOKUP(D460,Products!A:F,6,0),"")</f>
        <v>1</v>
      </c>
      <c r="R460">
        <f t="shared" si="21"/>
        <v>0.59869848156182215</v>
      </c>
      <c r="S460">
        <f t="shared" si="22"/>
        <v>2</v>
      </c>
      <c r="T460">
        <f>IF(AND(S460&gt;1,COUNTIF($A$2:A460,A460)=1),1,0)</f>
        <v>0</v>
      </c>
      <c r="U460">
        <f>COUNTIF(Customers!$A$2:$A$301,C460)</f>
        <v>1</v>
      </c>
      <c r="V460">
        <f t="shared" si="23"/>
        <v>0</v>
      </c>
    </row>
    <row r="461" spans="1:22" ht="14.25" customHeight="1" x14ac:dyDescent="0.35">
      <c r="A461" s="10" t="s">
        <v>848</v>
      </c>
      <c r="B461" s="11">
        <v>45361</v>
      </c>
      <c r="C461" s="10" t="s">
        <v>227</v>
      </c>
      <c r="D461" s="10" t="s">
        <v>234</v>
      </c>
      <c r="E461" s="10" t="s">
        <v>122</v>
      </c>
      <c r="F461" s="12">
        <v>9</v>
      </c>
      <c r="G461" s="12">
        <v>4610</v>
      </c>
      <c r="H461" s="12">
        <v>25.8</v>
      </c>
      <c r="I461" s="12">
        <v>30785.58</v>
      </c>
      <c r="J461" s="10" t="s">
        <v>51</v>
      </c>
      <c r="K461" s="10" t="s">
        <v>97</v>
      </c>
      <c r="L461" t="str">
        <f>IFERROR(VLOOKUP(D461,Products!A:F,3,0),"")</f>
        <v>Home</v>
      </c>
      <c r="M461" t="str">
        <f>IFERROR(VLOOKUP(E461,Sales_Reps!A:E,3,0),"")</f>
        <v>East</v>
      </c>
      <c r="N461" t="str">
        <f>IFERROR(VLOOKUP(C461,Customers!A:F,5,0),"")</f>
        <v>Retail</v>
      </c>
      <c r="O461">
        <f>IFERROR(VLOOKUP(C461,Customers!A:F,3,0),"")</f>
        <v>53</v>
      </c>
      <c r="P461">
        <f>IFERROR(VLOOKUP(D461,Products!A:F,4,0),"")</f>
        <v>1850</v>
      </c>
      <c r="Q461" t="b">
        <f>IFERROR(VLOOKUP(D461,Products!A:F,6,0),"")</f>
        <v>1</v>
      </c>
      <c r="R461">
        <f t="shared" si="21"/>
        <v>0.59869848156182215</v>
      </c>
      <c r="S461">
        <f t="shared" si="22"/>
        <v>1</v>
      </c>
      <c r="T461">
        <f>IF(AND(S461&gt;1,COUNTIF($A$2:A461,A461)=1),1,0)</f>
        <v>0</v>
      </c>
      <c r="U461">
        <f>COUNTIF(Customers!$A$2:$A$301,C461)</f>
        <v>1</v>
      </c>
      <c r="V461">
        <f t="shared" si="23"/>
        <v>0</v>
      </c>
    </row>
    <row r="462" spans="1:22" ht="14.25" customHeight="1" x14ac:dyDescent="0.35">
      <c r="A462" s="10" t="s">
        <v>849</v>
      </c>
      <c r="B462" s="11">
        <v>45550</v>
      </c>
      <c r="C462" s="10" t="s">
        <v>850</v>
      </c>
      <c r="D462" s="10" t="s">
        <v>246</v>
      </c>
      <c r="E462" s="10" t="s">
        <v>62</v>
      </c>
      <c r="F462" s="12">
        <v>5</v>
      </c>
      <c r="G462" s="12">
        <v>300</v>
      </c>
      <c r="H462" s="12">
        <v>11.8</v>
      </c>
      <c r="I462" s="12">
        <v>1323</v>
      </c>
      <c r="J462" s="10" t="s">
        <v>51</v>
      </c>
      <c r="K462" s="10" t="s">
        <v>58</v>
      </c>
      <c r="L462" t="str">
        <f>IFERROR(VLOOKUP(D462,Products!A:F,3,0),"")</f>
        <v>Electronics</v>
      </c>
      <c r="M462" t="str">
        <f>IFERROR(VLOOKUP(E462,Sales_Reps!A:E,3,0),"")</f>
        <v>South</v>
      </c>
      <c r="N462" t="str">
        <f>IFERROR(VLOOKUP(C462,Customers!A:F,5,0),"")</f>
        <v>Corporate</v>
      </c>
      <c r="O462">
        <f>IFERROR(VLOOKUP(C462,Customers!A:F,3,0),"")</f>
        <v>44</v>
      </c>
      <c r="P462">
        <f>IFERROR(VLOOKUP(D462,Products!A:F,4,0),"")</f>
        <v>128</v>
      </c>
      <c r="Q462" t="b">
        <f>IFERROR(VLOOKUP(D462,Products!A:F,6,0),"")</f>
        <v>1</v>
      </c>
      <c r="R462">
        <f t="shared" si="21"/>
        <v>0.57333333333333336</v>
      </c>
      <c r="S462">
        <f t="shared" si="22"/>
        <v>1</v>
      </c>
      <c r="T462">
        <f>IF(AND(S462&gt;1,COUNTIF($A$2:A462,A462)=1),1,0)</f>
        <v>0</v>
      </c>
      <c r="U462">
        <f>COUNTIF(Customers!$A$2:$A$301,C462)</f>
        <v>1</v>
      </c>
      <c r="V462">
        <f t="shared" si="23"/>
        <v>0</v>
      </c>
    </row>
    <row r="463" spans="1:22" ht="14.25" customHeight="1" x14ac:dyDescent="0.35">
      <c r="A463" s="10" t="s">
        <v>851</v>
      </c>
      <c r="B463" s="11">
        <v>45485</v>
      </c>
      <c r="C463" s="10" t="s">
        <v>759</v>
      </c>
      <c r="D463" s="10" t="s">
        <v>416</v>
      </c>
      <c r="E463" s="10" t="s">
        <v>156</v>
      </c>
      <c r="F463" s="12">
        <v>3</v>
      </c>
      <c r="G463" s="12">
        <v>3450</v>
      </c>
      <c r="H463" s="12">
        <v>14.2</v>
      </c>
      <c r="I463" s="12">
        <v>8880.2999999999993</v>
      </c>
      <c r="J463" s="10" t="s">
        <v>51</v>
      </c>
      <c r="K463" s="10" t="s">
        <v>58</v>
      </c>
      <c r="L463" t="str">
        <f>IFERROR(VLOOKUP(D463,Products!A:F,3,0),"")</f>
        <v>Apparel</v>
      </c>
      <c r="M463" t="str">
        <f>IFERROR(VLOOKUP(E463,Sales_Reps!A:E,3,0),"")</f>
        <v>East</v>
      </c>
      <c r="N463" t="str">
        <f>IFERROR(VLOOKUP(C463,Customers!A:F,5,0),"")</f>
        <v>Retail</v>
      </c>
      <c r="O463">
        <f>IFERROR(VLOOKUP(C463,Customers!A:F,3,0),"")</f>
        <v>22</v>
      </c>
      <c r="P463">
        <f>IFERROR(VLOOKUP(D463,Products!A:F,4,0),"")</f>
        <v>1748</v>
      </c>
      <c r="Q463" t="b">
        <f>IFERROR(VLOOKUP(D463,Products!A:F,6,0),"")</f>
        <v>1</v>
      </c>
      <c r="R463">
        <f t="shared" si="21"/>
        <v>0.49333333333333335</v>
      </c>
      <c r="S463">
        <f t="shared" si="22"/>
        <v>1</v>
      </c>
      <c r="T463">
        <f>IF(AND(S463&gt;1,COUNTIF($A$2:A463,A463)=1),1,0)</f>
        <v>0</v>
      </c>
      <c r="U463">
        <f>COUNTIF(Customers!$A$2:$A$301,C463)</f>
        <v>1</v>
      </c>
      <c r="V463">
        <f t="shared" si="23"/>
        <v>0</v>
      </c>
    </row>
    <row r="464" spans="1:22" ht="14.25" customHeight="1" x14ac:dyDescent="0.35">
      <c r="A464" s="10" t="s">
        <v>852</v>
      </c>
      <c r="B464" s="11">
        <v>45523</v>
      </c>
      <c r="C464" s="10" t="s">
        <v>553</v>
      </c>
      <c r="D464" s="10" t="s">
        <v>137</v>
      </c>
      <c r="E464" s="10" t="s">
        <v>92</v>
      </c>
      <c r="F464" s="12">
        <v>2</v>
      </c>
      <c r="G464" s="12">
        <v>2720</v>
      </c>
      <c r="H464" s="12">
        <v>14.6</v>
      </c>
      <c r="I464" s="12">
        <v>4645.76</v>
      </c>
      <c r="J464" s="10" t="s">
        <v>104</v>
      </c>
      <c r="K464" s="10" t="s">
        <v>58</v>
      </c>
      <c r="L464" t="str">
        <f>IFERROR(VLOOKUP(D464,Products!A:F,3,0),"")</f>
        <v>Apparel</v>
      </c>
      <c r="M464" t="str">
        <f>IFERROR(VLOOKUP(E464,Sales_Reps!A:E,3,0),"")</f>
        <v>West</v>
      </c>
      <c r="N464" t="str">
        <f>IFERROR(VLOOKUP(C464,Customers!A:F,5,0),"")</f>
        <v>Corporate</v>
      </c>
      <c r="O464">
        <f>IFERROR(VLOOKUP(C464,Customers!A:F,3,0),"")</f>
        <v>30</v>
      </c>
      <c r="P464">
        <f>IFERROR(VLOOKUP(D464,Products!A:F,4,0),"")</f>
        <v>1962</v>
      </c>
      <c r="Q464" t="b">
        <f>IFERROR(VLOOKUP(D464,Products!A:F,6,0),"")</f>
        <v>1</v>
      </c>
      <c r="R464">
        <f t="shared" si="21"/>
        <v>0.2786764705882353</v>
      </c>
      <c r="S464">
        <f t="shared" si="22"/>
        <v>1</v>
      </c>
      <c r="T464">
        <f>IF(AND(S464&gt;1,COUNTIF($A$2:A464,A464)=1),1,0)</f>
        <v>0</v>
      </c>
      <c r="U464">
        <f>COUNTIF(Customers!$A$2:$A$301,C464)</f>
        <v>1</v>
      </c>
      <c r="V464">
        <f t="shared" si="23"/>
        <v>0</v>
      </c>
    </row>
    <row r="465" spans="1:22" ht="14.25" customHeight="1" x14ac:dyDescent="0.35">
      <c r="A465" s="10" t="s">
        <v>853</v>
      </c>
      <c r="B465" s="11">
        <v>45626</v>
      </c>
      <c r="C465" s="10" t="s">
        <v>633</v>
      </c>
      <c r="D465" s="10" t="s">
        <v>243</v>
      </c>
      <c r="E465" s="10" t="s">
        <v>202</v>
      </c>
      <c r="F465" s="12">
        <v>7</v>
      </c>
      <c r="G465" s="12">
        <v>2660</v>
      </c>
      <c r="H465" s="12">
        <v>27.4</v>
      </c>
      <c r="I465" s="12">
        <v>13518.12</v>
      </c>
      <c r="J465" s="10" t="s">
        <v>104</v>
      </c>
      <c r="K465" s="10" t="s">
        <v>97</v>
      </c>
      <c r="L465" t="str">
        <f>IFERROR(VLOOKUP(D465,Products!A:F,3,0),"")</f>
        <v>Electronics</v>
      </c>
      <c r="M465" t="str">
        <f>IFERROR(VLOOKUP(E465,Sales_Reps!A:E,3,0),"")</f>
        <v>East</v>
      </c>
      <c r="N465" t="str">
        <f>IFERROR(VLOOKUP(C465,Customers!A:F,5,0),"")</f>
        <v>Retail</v>
      </c>
      <c r="O465">
        <f>IFERROR(VLOOKUP(C465,Customers!A:F,3,0),"")</f>
        <v>31</v>
      </c>
      <c r="P465">
        <f>IFERROR(VLOOKUP(D465,Products!A:F,4,0),"")</f>
        <v>1259</v>
      </c>
      <c r="Q465" t="b">
        <f>IFERROR(VLOOKUP(D465,Products!A:F,6,0),"")</f>
        <v>0</v>
      </c>
      <c r="R465">
        <f t="shared" si="21"/>
        <v>0.52669172932330832</v>
      </c>
      <c r="S465">
        <f t="shared" si="22"/>
        <v>1</v>
      </c>
      <c r="T465">
        <f>IF(AND(S465&gt;1,COUNTIF($A$2:A465,A465)=1),1,0)</f>
        <v>0</v>
      </c>
      <c r="U465">
        <f>COUNTIF(Customers!$A$2:$A$301,C465)</f>
        <v>1</v>
      </c>
      <c r="V465">
        <f t="shared" si="23"/>
        <v>0</v>
      </c>
    </row>
    <row r="466" spans="1:22" ht="14.25" customHeight="1" x14ac:dyDescent="0.35">
      <c r="A466" s="10" t="s">
        <v>854</v>
      </c>
      <c r="B466" s="11">
        <v>45302</v>
      </c>
      <c r="C466" s="10" t="s">
        <v>579</v>
      </c>
      <c r="D466" s="10" t="s">
        <v>125</v>
      </c>
      <c r="E466" s="10" t="s">
        <v>56</v>
      </c>
      <c r="F466" s="12">
        <v>8</v>
      </c>
      <c r="G466" s="12">
        <v>3450</v>
      </c>
      <c r="H466" s="12">
        <v>20.399999999999999</v>
      </c>
      <c r="I466" s="12">
        <v>21969.599999999999</v>
      </c>
      <c r="J466" s="10" t="s">
        <v>51</v>
      </c>
      <c r="K466" s="10" t="s">
        <v>76</v>
      </c>
      <c r="L466" t="str">
        <f>IFERROR(VLOOKUP(D466,Products!A:F,3,0),"")</f>
        <v>Sports</v>
      </c>
      <c r="M466" t="str">
        <f>IFERROR(VLOOKUP(E466,Sales_Reps!A:E,3,0),"")</f>
        <v>North</v>
      </c>
      <c r="N466" t="str">
        <f>IFERROR(VLOOKUP(C466,Customers!A:F,5,0),"")</f>
        <v>Retail</v>
      </c>
      <c r="O466">
        <f>IFERROR(VLOOKUP(C466,Customers!A:F,3,0),"")</f>
        <v>53</v>
      </c>
      <c r="P466">
        <f>IFERROR(VLOOKUP(D466,Products!A:F,4,0),"")</f>
        <v>2467</v>
      </c>
      <c r="Q466" t="b">
        <f>IFERROR(VLOOKUP(D466,Products!A:F,6,0),"")</f>
        <v>1</v>
      </c>
      <c r="R466">
        <f t="shared" si="21"/>
        <v>0.28492753623188405</v>
      </c>
      <c r="S466">
        <f t="shared" si="22"/>
        <v>1</v>
      </c>
      <c r="T466">
        <f>IF(AND(S466&gt;1,COUNTIF($A$2:A466,A466)=1),1,0)</f>
        <v>0</v>
      </c>
      <c r="U466">
        <f>COUNTIF(Customers!$A$2:$A$301,C466)</f>
        <v>1</v>
      </c>
      <c r="V466">
        <f t="shared" si="23"/>
        <v>0</v>
      </c>
    </row>
    <row r="467" spans="1:22" ht="14.25" customHeight="1" x14ac:dyDescent="0.35">
      <c r="A467" s="10" t="s">
        <v>855</v>
      </c>
      <c r="B467" s="11">
        <v>45427</v>
      </c>
      <c r="C467" s="10" t="s">
        <v>446</v>
      </c>
      <c r="D467" s="10" t="s">
        <v>324</v>
      </c>
      <c r="E467" s="10" t="s">
        <v>310</v>
      </c>
      <c r="F467" s="12">
        <v>2</v>
      </c>
      <c r="G467" s="12">
        <v>5410</v>
      </c>
      <c r="H467" s="12">
        <v>7.2</v>
      </c>
      <c r="I467" s="12">
        <v>10040.959999999999</v>
      </c>
      <c r="J467" s="10" t="s">
        <v>51</v>
      </c>
      <c r="K467" s="10" t="s">
        <v>97</v>
      </c>
      <c r="L467" t="str">
        <f>IFERROR(VLOOKUP(D467,Products!A:F,3,0),"")</f>
        <v>Sports</v>
      </c>
      <c r="M467" t="str">
        <f>IFERROR(VLOOKUP(E467,Sales_Reps!A:E,3,0),"")</f>
        <v>South</v>
      </c>
      <c r="N467" t="str">
        <f>IFERROR(VLOOKUP(C467,Customers!A:F,5,0),"")</f>
        <v>Corporate</v>
      </c>
      <c r="O467">
        <f>IFERROR(VLOOKUP(C467,Customers!A:F,3,0),"")</f>
        <v>52</v>
      </c>
      <c r="P467">
        <f>IFERROR(VLOOKUP(D467,Products!A:F,4,0),"")</f>
        <v>2265</v>
      </c>
      <c r="Q467" t="b">
        <f>IFERROR(VLOOKUP(D467,Products!A:F,6,0),"")</f>
        <v>1</v>
      </c>
      <c r="R467">
        <f t="shared" si="21"/>
        <v>0.58133086876155271</v>
      </c>
      <c r="S467">
        <f t="shared" si="22"/>
        <v>1</v>
      </c>
      <c r="T467">
        <f>IF(AND(S467&gt;1,COUNTIF($A$2:A467,A467)=1),1,0)</f>
        <v>0</v>
      </c>
      <c r="U467">
        <f>COUNTIF(Customers!$A$2:$A$301,C467)</f>
        <v>1</v>
      </c>
      <c r="V467">
        <f t="shared" si="23"/>
        <v>0</v>
      </c>
    </row>
    <row r="468" spans="1:22" ht="14.25" customHeight="1" x14ac:dyDescent="0.35">
      <c r="A468" s="10" t="s">
        <v>856</v>
      </c>
      <c r="B468" s="11">
        <v>45315</v>
      </c>
      <c r="C468" s="10" t="s">
        <v>553</v>
      </c>
      <c r="D468" s="10" t="s">
        <v>212</v>
      </c>
      <c r="E468" s="10" t="s">
        <v>216</v>
      </c>
      <c r="F468" s="12">
        <v>3</v>
      </c>
      <c r="G468" s="12">
        <v>3870</v>
      </c>
      <c r="H468" s="12">
        <v>4.2</v>
      </c>
      <c r="I468" s="12">
        <v>11122.38</v>
      </c>
      <c r="J468" s="10" t="s">
        <v>51</v>
      </c>
      <c r="K468" s="10" t="s">
        <v>58</v>
      </c>
      <c r="L468" t="str">
        <f>IFERROR(VLOOKUP(D468,Products!A:F,3,0),"")</f>
        <v>Electronics</v>
      </c>
      <c r="M468" t="str">
        <f>IFERROR(VLOOKUP(E468,Sales_Reps!A:E,3,0),"")</f>
        <v>South</v>
      </c>
      <c r="N468" t="str">
        <f>IFERROR(VLOOKUP(C468,Customers!A:F,5,0),"")</f>
        <v>Corporate</v>
      </c>
      <c r="O468">
        <f>IFERROR(VLOOKUP(C468,Customers!A:F,3,0),"")</f>
        <v>30</v>
      </c>
      <c r="P468">
        <f>IFERROR(VLOOKUP(D468,Products!A:F,4,0),"")</f>
        <v>1559</v>
      </c>
      <c r="Q468" t="b">
        <f>IFERROR(VLOOKUP(D468,Products!A:F,6,0),"")</f>
        <v>1</v>
      </c>
      <c r="R468">
        <f t="shared" si="21"/>
        <v>0.59715762273901807</v>
      </c>
      <c r="S468">
        <f t="shared" si="22"/>
        <v>1</v>
      </c>
      <c r="T468">
        <f>IF(AND(S468&gt;1,COUNTIF($A$2:A468,A468)=1),1,0)</f>
        <v>0</v>
      </c>
      <c r="U468">
        <f>COUNTIF(Customers!$A$2:$A$301,C468)</f>
        <v>1</v>
      </c>
      <c r="V468">
        <f t="shared" si="23"/>
        <v>0</v>
      </c>
    </row>
    <row r="469" spans="1:22" ht="14.25" customHeight="1" x14ac:dyDescent="0.35">
      <c r="A469" s="10" t="s">
        <v>857</v>
      </c>
      <c r="B469" s="11">
        <v>45328</v>
      </c>
      <c r="C469" s="10" t="s">
        <v>280</v>
      </c>
      <c r="D469" s="10" t="s">
        <v>95</v>
      </c>
      <c r="E469" s="10" t="s">
        <v>56</v>
      </c>
      <c r="F469" s="12">
        <v>10</v>
      </c>
      <c r="G469" s="12">
        <v>2270</v>
      </c>
      <c r="H469" s="12">
        <v>17.3</v>
      </c>
      <c r="I469" s="12">
        <v>18772.900000000001</v>
      </c>
      <c r="J469" s="10" t="s">
        <v>51</v>
      </c>
      <c r="K469" s="10" t="s">
        <v>52</v>
      </c>
      <c r="L469" t="str">
        <f>IFERROR(VLOOKUP(D469,Products!A:F,3,0),"")</f>
        <v>Grocery</v>
      </c>
      <c r="M469" t="str">
        <f>IFERROR(VLOOKUP(E469,Sales_Reps!A:E,3,0),"")</f>
        <v>North</v>
      </c>
      <c r="N469" t="str">
        <f>IFERROR(VLOOKUP(C469,Customers!A:F,5,0),"")</f>
        <v>SMB</v>
      </c>
      <c r="O469">
        <f>IFERROR(VLOOKUP(C469,Customers!A:F,3,0),"")</f>
        <v>60</v>
      </c>
      <c r="P469">
        <f>IFERROR(VLOOKUP(D469,Products!A:F,4,0),"")</f>
        <v>1203</v>
      </c>
      <c r="Q469" t="b">
        <f>IFERROR(VLOOKUP(D469,Products!A:F,6,0),"")</f>
        <v>1</v>
      </c>
      <c r="R469">
        <f t="shared" si="21"/>
        <v>0.47004405286343615</v>
      </c>
      <c r="S469">
        <f t="shared" si="22"/>
        <v>1</v>
      </c>
      <c r="T469">
        <f>IF(AND(S469&gt;1,COUNTIF($A$2:A469,A469)=1),1,0)</f>
        <v>0</v>
      </c>
      <c r="U469">
        <f>COUNTIF(Customers!$A$2:$A$301,C469)</f>
        <v>1</v>
      </c>
      <c r="V469">
        <f t="shared" si="23"/>
        <v>0</v>
      </c>
    </row>
    <row r="470" spans="1:22" ht="14.25" customHeight="1" x14ac:dyDescent="0.35">
      <c r="A470" s="10" t="s">
        <v>858</v>
      </c>
      <c r="B470" s="11">
        <v>45394</v>
      </c>
      <c r="C470" s="10" t="s">
        <v>859</v>
      </c>
      <c r="D470" s="10" t="s">
        <v>328</v>
      </c>
      <c r="E470" s="10" t="s">
        <v>75</v>
      </c>
      <c r="F470" s="12">
        <v>1</v>
      </c>
      <c r="G470" s="12">
        <v>5330</v>
      </c>
      <c r="H470" s="12">
        <v>24.2</v>
      </c>
      <c r="I470" s="12">
        <v>4040.14</v>
      </c>
      <c r="J470" s="10" t="s">
        <v>51</v>
      </c>
      <c r="K470" s="10" t="s">
        <v>81</v>
      </c>
      <c r="L470" t="str">
        <f>IFERROR(VLOOKUP(D470,Products!A:F,3,0),"")</f>
        <v>Electronics</v>
      </c>
      <c r="M470" t="str">
        <f>IFERROR(VLOOKUP(E470,Sales_Reps!A:E,3,0),"")</f>
        <v>West</v>
      </c>
      <c r="N470" t="str">
        <f>IFERROR(VLOOKUP(C470,Customers!A:F,5,0),"")</f>
        <v>Retail</v>
      </c>
      <c r="O470">
        <f>IFERROR(VLOOKUP(C470,Customers!A:F,3,0),"")</f>
        <v>46</v>
      </c>
      <c r="P470">
        <f>IFERROR(VLOOKUP(D470,Products!A:F,4,0),"")</f>
        <v>2405</v>
      </c>
      <c r="Q470" t="b">
        <f>IFERROR(VLOOKUP(D470,Products!A:F,6,0),"")</f>
        <v>1</v>
      </c>
      <c r="R470">
        <f t="shared" si="21"/>
        <v>0.54878048780487809</v>
      </c>
      <c r="S470">
        <f t="shared" si="22"/>
        <v>1</v>
      </c>
      <c r="T470">
        <f>IF(AND(S470&gt;1,COUNTIF($A$2:A470,A470)=1),1,0)</f>
        <v>0</v>
      </c>
      <c r="U470">
        <f>COUNTIF(Customers!$A$2:$A$301,C470)</f>
        <v>1</v>
      </c>
      <c r="V470">
        <f t="shared" si="23"/>
        <v>0</v>
      </c>
    </row>
    <row r="471" spans="1:22" ht="14.25" customHeight="1" x14ac:dyDescent="0.35">
      <c r="A471" s="10" t="s">
        <v>860</v>
      </c>
      <c r="B471" s="11">
        <v>45414</v>
      </c>
      <c r="C471" s="10" t="s">
        <v>83</v>
      </c>
      <c r="D471" s="10" t="s">
        <v>143</v>
      </c>
      <c r="E471" s="10" t="s">
        <v>152</v>
      </c>
      <c r="F471" s="12">
        <v>2</v>
      </c>
      <c r="G471" s="12">
        <v>3350</v>
      </c>
      <c r="H471" s="12">
        <v>23.4</v>
      </c>
      <c r="I471" s="12">
        <v>5132.2</v>
      </c>
      <c r="J471" s="10" t="s">
        <v>51</v>
      </c>
      <c r="K471" s="10" t="s">
        <v>81</v>
      </c>
      <c r="L471" t="str">
        <f>IFERROR(VLOOKUP(D471,Products!A:F,3,0),"")</f>
        <v>Beauty</v>
      </c>
      <c r="M471" t="str">
        <f>IFERROR(VLOOKUP(E471,Sales_Reps!A:E,3,0),"")</f>
        <v>South</v>
      </c>
      <c r="N471" t="str">
        <f>IFERROR(VLOOKUP(C471,Customers!A:F,5,0),"")</f>
        <v>Corporate</v>
      </c>
      <c r="O471">
        <f>IFERROR(VLOOKUP(C471,Customers!A:F,3,0),"")</f>
        <v>57</v>
      </c>
      <c r="P471">
        <f>IFERROR(VLOOKUP(D471,Products!A:F,4,0),"")</f>
        <v>1728</v>
      </c>
      <c r="Q471" t="b">
        <f>IFERROR(VLOOKUP(D471,Products!A:F,6,0),"")</f>
        <v>1</v>
      </c>
      <c r="R471">
        <f t="shared" si="21"/>
        <v>0.48417910447761192</v>
      </c>
      <c r="S471">
        <f t="shared" si="22"/>
        <v>1</v>
      </c>
      <c r="T471">
        <f>IF(AND(S471&gt;1,COUNTIF($A$2:A471,A471)=1),1,0)</f>
        <v>0</v>
      </c>
      <c r="U471">
        <f>COUNTIF(Customers!$A$2:$A$301,C471)</f>
        <v>1</v>
      </c>
      <c r="V471">
        <f t="shared" si="23"/>
        <v>0</v>
      </c>
    </row>
    <row r="472" spans="1:22" ht="14.25" customHeight="1" x14ac:dyDescent="0.35">
      <c r="A472" s="10" t="s">
        <v>861</v>
      </c>
      <c r="B472" s="11">
        <v>45393</v>
      </c>
      <c r="C472" s="10" t="s">
        <v>787</v>
      </c>
      <c r="D472" s="10" t="s">
        <v>240</v>
      </c>
      <c r="E472" s="10" t="s">
        <v>67</v>
      </c>
      <c r="F472" s="12">
        <v>7</v>
      </c>
      <c r="G472" s="12">
        <v>3020</v>
      </c>
      <c r="H472" s="12">
        <v>23.7</v>
      </c>
      <c r="I472" s="12">
        <v>16129.82</v>
      </c>
      <c r="J472" s="10" t="s">
        <v>51</v>
      </c>
      <c r="K472" s="10" t="s">
        <v>58</v>
      </c>
      <c r="L472" t="str">
        <f>IFERROR(VLOOKUP(D472,Products!A:F,3,0),"")</f>
        <v>Beauty</v>
      </c>
      <c r="M472" t="str">
        <f>IFERROR(VLOOKUP(E472,Sales_Reps!A:E,3,0),"")</f>
        <v>North</v>
      </c>
      <c r="N472" t="str">
        <f>IFERROR(VLOOKUP(C472,Customers!A:F,5,0),"")</f>
        <v>Retail</v>
      </c>
      <c r="O472">
        <f>IFERROR(VLOOKUP(C472,Customers!A:F,3,0),"")</f>
        <v>32</v>
      </c>
      <c r="P472">
        <f>IFERROR(VLOOKUP(D472,Products!A:F,4,0),"")</f>
        <v>1626</v>
      </c>
      <c r="Q472" t="b">
        <f>IFERROR(VLOOKUP(D472,Products!A:F,6,0),"")</f>
        <v>1</v>
      </c>
      <c r="R472">
        <f t="shared" si="21"/>
        <v>0.46158940397350995</v>
      </c>
      <c r="S472">
        <f t="shared" si="22"/>
        <v>1</v>
      </c>
      <c r="T472">
        <f>IF(AND(S472&gt;1,COUNTIF($A$2:A472,A472)=1),1,0)</f>
        <v>0</v>
      </c>
      <c r="U472">
        <f>COUNTIF(Customers!$A$2:$A$301,C472)</f>
        <v>1</v>
      </c>
      <c r="V472">
        <f t="shared" si="23"/>
        <v>0</v>
      </c>
    </row>
    <row r="473" spans="1:22" ht="14.25" customHeight="1" x14ac:dyDescent="0.35">
      <c r="A473" s="10" t="s">
        <v>862</v>
      </c>
      <c r="B473" s="11">
        <v>45535</v>
      </c>
      <c r="C473" s="10" t="s">
        <v>529</v>
      </c>
      <c r="D473" s="10" t="s">
        <v>70</v>
      </c>
      <c r="E473" s="10" t="s">
        <v>156</v>
      </c>
      <c r="F473" s="12">
        <v>7</v>
      </c>
      <c r="G473" s="12">
        <v>3160</v>
      </c>
      <c r="H473" s="12">
        <v>22.8</v>
      </c>
      <c r="I473" s="12">
        <v>17076.64</v>
      </c>
      <c r="J473" s="10" t="s">
        <v>51</v>
      </c>
      <c r="K473" s="10" t="s">
        <v>76</v>
      </c>
      <c r="L473" t="str">
        <f>IFERROR(VLOOKUP(D473,Products!A:F,3,0),"")</f>
        <v>Apparel</v>
      </c>
      <c r="M473" t="str">
        <f>IFERROR(VLOOKUP(E473,Sales_Reps!A:E,3,0),"")</f>
        <v>East</v>
      </c>
      <c r="N473" t="str">
        <f>IFERROR(VLOOKUP(C473,Customers!A:F,5,0),"")</f>
        <v>SMB</v>
      </c>
      <c r="O473">
        <f>IFERROR(VLOOKUP(C473,Customers!A:F,3,0),"")</f>
        <v>61</v>
      </c>
      <c r="P473">
        <f>IFERROR(VLOOKUP(D473,Products!A:F,4,0),"")</f>
        <v>1886</v>
      </c>
      <c r="Q473" t="b">
        <f>IFERROR(VLOOKUP(D473,Products!A:F,6,0),"")</f>
        <v>1</v>
      </c>
      <c r="R473">
        <f t="shared" si="21"/>
        <v>0.4031645569620253</v>
      </c>
      <c r="S473">
        <f t="shared" si="22"/>
        <v>1</v>
      </c>
      <c r="T473">
        <f>IF(AND(S473&gt;1,COUNTIF($A$2:A473,A473)=1),1,0)</f>
        <v>0</v>
      </c>
      <c r="U473">
        <f>COUNTIF(Customers!$A$2:$A$301,C473)</f>
        <v>1</v>
      </c>
      <c r="V473">
        <f t="shared" si="23"/>
        <v>0</v>
      </c>
    </row>
    <row r="474" spans="1:22" ht="14.25" customHeight="1" x14ac:dyDescent="0.35">
      <c r="A474" s="10" t="s">
        <v>863</v>
      </c>
      <c r="B474" s="11">
        <v>45541</v>
      </c>
      <c r="C474" s="10" t="s">
        <v>864</v>
      </c>
      <c r="D474" s="10" t="s">
        <v>61</v>
      </c>
      <c r="E474" s="10" t="s">
        <v>156</v>
      </c>
      <c r="F474" s="12">
        <v>2</v>
      </c>
      <c r="G474" s="12">
        <v>470</v>
      </c>
      <c r="H474" s="12">
        <v>28.8</v>
      </c>
      <c r="I474" s="12">
        <v>669.28</v>
      </c>
      <c r="J474" s="10" t="s">
        <v>104</v>
      </c>
      <c r="K474" s="10" t="s">
        <v>81</v>
      </c>
      <c r="L474" t="str">
        <f>IFERROR(VLOOKUP(D474,Products!A:F,3,0),"")</f>
        <v>Sports</v>
      </c>
      <c r="M474" t="str">
        <f>IFERROR(VLOOKUP(E474,Sales_Reps!A:E,3,0),"")</f>
        <v>East</v>
      </c>
      <c r="N474" t="str">
        <f>IFERROR(VLOOKUP(C474,Customers!A:F,5,0),"")</f>
        <v>Retail</v>
      </c>
      <c r="O474">
        <f>IFERROR(VLOOKUP(C474,Customers!A:F,3,0),"")</f>
        <v>35</v>
      </c>
      <c r="P474">
        <f>IFERROR(VLOOKUP(D474,Products!A:F,4,0),"")</f>
        <v>302</v>
      </c>
      <c r="Q474" t="b">
        <f>IFERROR(VLOOKUP(D474,Products!A:F,6,0),"")</f>
        <v>0</v>
      </c>
      <c r="R474">
        <f t="shared" si="21"/>
        <v>0.35744680851063831</v>
      </c>
      <c r="S474">
        <f t="shared" si="22"/>
        <v>1</v>
      </c>
      <c r="T474">
        <f>IF(AND(S474&gt;1,COUNTIF($A$2:A474,A474)=1),1,0)</f>
        <v>0</v>
      </c>
      <c r="U474">
        <f>COUNTIF(Customers!$A$2:$A$301,C474)</f>
        <v>1</v>
      </c>
      <c r="V474">
        <f t="shared" si="23"/>
        <v>0</v>
      </c>
    </row>
    <row r="475" spans="1:22" ht="14.25" customHeight="1" x14ac:dyDescent="0.35">
      <c r="A475" s="10" t="s">
        <v>865</v>
      </c>
      <c r="B475" s="11">
        <v>45454</v>
      </c>
      <c r="C475" s="10" t="s">
        <v>866</v>
      </c>
      <c r="D475" s="10" t="s">
        <v>107</v>
      </c>
      <c r="E475" s="10" t="s">
        <v>122</v>
      </c>
      <c r="F475" s="12">
        <v>2</v>
      </c>
      <c r="G475" s="12">
        <v>3250</v>
      </c>
      <c r="H475" s="12">
        <v>24.7</v>
      </c>
      <c r="I475" s="12">
        <v>4894.5</v>
      </c>
      <c r="J475" s="10" t="s">
        <v>51</v>
      </c>
      <c r="K475" s="10" t="s">
        <v>76</v>
      </c>
      <c r="L475" t="str">
        <f>IFERROR(VLOOKUP(D475,Products!A:F,3,0),"")</f>
        <v>Home</v>
      </c>
      <c r="M475" t="str">
        <f>IFERROR(VLOOKUP(E475,Sales_Reps!A:E,3,0),"")</f>
        <v>East</v>
      </c>
      <c r="N475" t="str">
        <f>IFERROR(VLOOKUP(C475,Customers!A:F,5,0),"")</f>
        <v>Retail</v>
      </c>
      <c r="O475">
        <f>IFERROR(VLOOKUP(C475,Customers!A:F,3,0),"")</f>
        <v>37</v>
      </c>
      <c r="P475">
        <f>IFERROR(VLOOKUP(D475,Products!A:F,4,0),"")</f>
        <v>1556</v>
      </c>
      <c r="Q475" t="b">
        <f>IFERROR(VLOOKUP(D475,Products!A:F,6,0),"")</f>
        <v>1</v>
      </c>
      <c r="R475">
        <f t="shared" si="21"/>
        <v>0.52123076923076928</v>
      </c>
      <c r="S475">
        <f t="shared" si="22"/>
        <v>1</v>
      </c>
      <c r="T475">
        <f>IF(AND(S475&gt;1,COUNTIF($A$2:A475,A475)=1),1,0)</f>
        <v>0</v>
      </c>
      <c r="U475">
        <f>COUNTIF(Customers!$A$2:$A$301,C475)</f>
        <v>1</v>
      </c>
      <c r="V475">
        <f t="shared" si="23"/>
        <v>0</v>
      </c>
    </row>
    <row r="476" spans="1:22" ht="14.25" customHeight="1" x14ac:dyDescent="0.35">
      <c r="A476" s="10" t="s">
        <v>867</v>
      </c>
      <c r="B476" s="11">
        <v>45631</v>
      </c>
      <c r="C476" s="10" t="s">
        <v>354</v>
      </c>
      <c r="D476" s="10" t="s">
        <v>146</v>
      </c>
      <c r="E476" s="10" t="s">
        <v>118</v>
      </c>
      <c r="F476" s="12">
        <v>2</v>
      </c>
      <c r="G476" s="12">
        <v>1010</v>
      </c>
      <c r="H476" s="12">
        <v>5.2</v>
      </c>
      <c r="I476" s="12">
        <v>1914.96</v>
      </c>
      <c r="J476" s="10" t="s">
        <v>104</v>
      </c>
      <c r="K476" s="10" t="s">
        <v>52</v>
      </c>
      <c r="L476" t="str">
        <f>IFERROR(VLOOKUP(D476,Products!A:F,3,0),"")</f>
        <v>Sports</v>
      </c>
      <c r="M476" t="str">
        <f>IFERROR(VLOOKUP(E476,Sales_Reps!A:E,3,0),"")</f>
        <v>East</v>
      </c>
      <c r="N476" t="str">
        <f>IFERROR(VLOOKUP(C476,Customers!A:F,5,0),"")</f>
        <v>SMB</v>
      </c>
      <c r="O476">
        <f>IFERROR(VLOOKUP(C476,Customers!A:F,3,0),"")</f>
        <v>54</v>
      </c>
      <c r="P476">
        <f>IFERROR(VLOOKUP(D476,Products!A:F,4,0),"")</f>
        <v>516</v>
      </c>
      <c r="Q476" t="b">
        <f>IFERROR(VLOOKUP(D476,Products!A:F,6,0),"")</f>
        <v>1</v>
      </c>
      <c r="R476">
        <f t="shared" si="21"/>
        <v>0.4891089108910891</v>
      </c>
      <c r="S476">
        <f t="shared" si="22"/>
        <v>1</v>
      </c>
      <c r="T476">
        <f>IF(AND(S476&gt;1,COUNTIF($A$2:A476,A476)=1),1,0)</f>
        <v>0</v>
      </c>
      <c r="U476">
        <f>COUNTIF(Customers!$A$2:$A$301,C476)</f>
        <v>1</v>
      </c>
      <c r="V476">
        <f t="shared" si="23"/>
        <v>0</v>
      </c>
    </row>
    <row r="477" spans="1:22" ht="14.25" customHeight="1" x14ac:dyDescent="0.35">
      <c r="A477" s="10" t="s">
        <v>868</v>
      </c>
      <c r="B477" s="11">
        <v>45588</v>
      </c>
      <c r="C477" s="10" t="s">
        <v>869</v>
      </c>
      <c r="D477" s="10" t="s">
        <v>246</v>
      </c>
      <c r="E477" s="10" t="s">
        <v>179</v>
      </c>
      <c r="F477" s="12">
        <v>9</v>
      </c>
      <c r="G477" s="12">
        <v>300</v>
      </c>
      <c r="H477" s="12">
        <v>7.9</v>
      </c>
      <c r="I477" s="12">
        <v>2486.6999999999998</v>
      </c>
      <c r="J477" s="10" t="s">
        <v>51</v>
      </c>
      <c r="K477" s="10" t="s">
        <v>76</v>
      </c>
      <c r="L477" t="str">
        <f>IFERROR(VLOOKUP(D477,Products!A:F,3,0),"")</f>
        <v>Electronics</v>
      </c>
      <c r="M477" t="str">
        <f>IFERROR(VLOOKUP(E477,Sales_Reps!A:E,3,0),"")</f>
        <v>North</v>
      </c>
      <c r="N477" t="str">
        <f>IFERROR(VLOOKUP(C477,Customers!A:F,5,0),"")</f>
        <v>SMB</v>
      </c>
      <c r="O477">
        <f>IFERROR(VLOOKUP(C477,Customers!A:F,3,0),"")</f>
        <v>43</v>
      </c>
      <c r="P477">
        <f>IFERROR(VLOOKUP(D477,Products!A:F,4,0),"")</f>
        <v>128</v>
      </c>
      <c r="Q477" t="b">
        <f>IFERROR(VLOOKUP(D477,Products!A:F,6,0),"")</f>
        <v>1</v>
      </c>
      <c r="R477">
        <f t="shared" si="21"/>
        <v>0.57333333333333336</v>
      </c>
      <c r="S477">
        <f t="shared" si="22"/>
        <v>1</v>
      </c>
      <c r="T477">
        <f>IF(AND(S477&gt;1,COUNTIF($A$2:A477,A477)=1),1,0)</f>
        <v>0</v>
      </c>
      <c r="U477">
        <f>COUNTIF(Customers!$A$2:$A$301,C477)</f>
        <v>1</v>
      </c>
      <c r="V477">
        <f t="shared" si="23"/>
        <v>0</v>
      </c>
    </row>
    <row r="478" spans="1:22" ht="14.25" customHeight="1" x14ac:dyDescent="0.35">
      <c r="A478" s="10" t="s">
        <v>870</v>
      </c>
      <c r="B478" s="11">
        <v>45469</v>
      </c>
      <c r="C478" s="10" t="s">
        <v>667</v>
      </c>
      <c r="D478" s="10" t="s">
        <v>155</v>
      </c>
      <c r="E478" s="10" t="s">
        <v>67</v>
      </c>
      <c r="F478" s="12">
        <v>10</v>
      </c>
      <c r="G478" s="12">
        <v>5100</v>
      </c>
      <c r="H478" s="12">
        <v>26.3</v>
      </c>
      <c r="I478" s="12">
        <v>37587</v>
      </c>
      <c r="J478" s="10" t="s">
        <v>57</v>
      </c>
      <c r="K478" s="10" t="s">
        <v>52</v>
      </c>
      <c r="L478" t="str">
        <f>IFERROR(VLOOKUP(D478,Products!A:F,3,0),"")</f>
        <v>Beauty</v>
      </c>
      <c r="M478" t="str">
        <f>IFERROR(VLOOKUP(E478,Sales_Reps!A:E,3,0),"")</f>
        <v>North</v>
      </c>
      <c r="N478" t="str">
        <f>IFERROR(VLOOKUP(C478,Customers!A:F,5,0),"")</f>
        <v>Corporate</v>
      </c>
      <c r="O478">
        <f>IFERROR(VLOOKUP(C478,Customers!A:F,3,0),"")</f>
        <v>52</v>
      </c>
      <c r="P478">
        <f>IFERROR(VLOOKUP(D478,Products!A:F,4,0),"")</f>
        <v>2237</v>
      </c>
      <c r="Q478" t="b">
        <f>IFERROR(VLOOKUP(D478,Products!A:F,6,0),"")</f>
        <v>1</v>
      </c>
      <c r="R478">
        <f t="shared" si="21"/>
        <v>0.56137254901960787</v>
      </c>
      <c r="S478">
        <f t="shared" si="22"/>
        <v>1</v>
      </c>
      <c r="T478">
        <f>IF(AND(S478&gt;1,COUNTIF($A$2:A478,A478)=1),1,0)</f>
        <v>0</v>
      </c>
      <c r="U478">
        <f>COUNTIF(Customers!$A$2:$A$301,C478)</f>
        <v>1</v>
      </c>
      <c r="V478">
        <f t="shared" si="23"/>
        <v>0</v>
      </c>
    </row>
    <row r="479" spans="1:22" ht="14.25" customHeight="1" x14ac:dyDescent="0.35">
      <c r="A479" s="10" t="s">
        <v>871</v>
      </c>
      <c r="B479" s="11">
        <v>45552</v>
      </c>
      <c r="C479" s="10" t="s">
        <v>872</v>
      </c>
      <c r="D479" s="10" t="s">
        <v>143</v>
      </c>
      <c r="E479" s="10" t="s">
        <v>92</v>
      </c>
      <c r="F479" s="12">
        <v>1</v>
      </c>
      <c r="G479" s="12">
        <v>3350</v>
      </c>
      <c r="H479" s="12">
        <v>8.5</v>
      </c>
      <c r="I479" s="12">
        <v>3065.25</v>
      </c>
      <c r="J479" s="10" t="s">
        <v>104</v>
      </c>
      <c r="K479" s="10" t="s">
        <v>97</v>
      </c>
      <c r="L479" t="str">
        <f>IFERROR(VLOOKUP(D479,Products!A:F,3,0),"")</f>
        <v>Beauty</v>
      </c>
      <c r="M479" t="str">
        <f>IFERROR(VLOOKUP(E479,Sales_Reps!A:E,3,0),"")</f>
        <v>West</v>
      </c>
      <c r="N479" t="str">
        <f>IFERROR(VLOOKUP(C479,Customers!A:F,5,0),"")</f>
        <v>Retail</v>
      </c>
      <c r="O479">
        <f>IFERROR(VLOOKUP(C479,Customers!A:F,3,0),"")</f>
        <v>31</v>
      </c>
      <c r="P479">
        <f>IFERROR(VLOOKUP(D479,Products!A:F,4,0),"")</f>
        <v>1728</v>
      </c>
      <c r="Q479" t="b">
        <f>IFERROR(VLOOKUP(D479,Products!A:F,6,0),"")</f>
        <v>1</v>
      </c>
      <c r="R479">
        <f t="shared" si="21"/>
        <v>0.48417910447761192</v>
      </c>
      <c r="S479">
        <f t="shared" si="22"/>
        <v>1</v>
      </c>
      <c r="T479">
        <f>IF(AND(S479&gt;1,COUNTIF($A$2:A479,A479)=1),1,0)</f>
        <v>0</v>
      </c>
      <c r="U479">
        <f>COUNTIF(Customers!$A$2:$A$301,C479)</f>
        <v>1</v>
      </c>
      <c r="V479">
        <f t="shared" si="23"/>
        <v>0</v>
      </c>
    </row>
    <row r="480" spans="1:22" ht="14.25" customHeight="1" x14ac:dyDescent="0.35">
      <c r="A480" s="10" t="s">
        <v>873</v>
      </c>
      <c r="B480" s="11">
        <v>45554</v>
      </c>
      <c r="C480" s="10" t="s">
        <v>874</v>
      </c>
      <c r="D480" s="10" t="s">
        <v>107</v>
      </c>
      <c r="E480" s="10" t="s">
        <v>249</v>
      </c>
      <c r="F480" s="12">
        <v>2</v>
      </c>
      <c r="G480" s="12">
        <v>3250</v>
      </c>
      <c r="H480" s="12">
        <v>25.7</v>
      </c>
      <c r="I480" s="12">
        <v>4829.5</v>
      </c>
      <c r="J480" s="10" t="s">
        <v>108</v>
      </c>
      <c r="K480" s="10" t="s">
        <v>63</v>
      </c>
      <c r="L480" t="str">
        <f>IFERROR(VLOOKUP(D480,Products!A:F,3,0),"")</f>
        <v>Home</v>
      </c>
      <c r="M480" t="str">
        <f>IFERROR(VLOOKUP(E480,Sales_Reps!A:E,3,0),"")</f>
        <v>East</v>
      </c>
      <c r="N480" t="str">
        <f>IFERROR(VLOOKUP(C480,Customers!A:F,5,0),"")</f>
        <v>Retail</v>
      </c>
      <c r="O480">
        <f>IFERROR(VLOOKUP(C480,Customers!A:F,3,0),"")</f>
        <v>55</v>
      </c>
      <c r="P480">
        <f>IFERROR(VLOOKUP(D480,Products!A:F,4,0),"")</f>
        <v>1556</v>
      </c>
      <c r="Q480" t="b">
        <f>IFERROR(VLOOKUP(D480,Products!A:F,6,0),"")</f>
        <v>1</v>
      </c>
      <c r="R480">
        <f t="shared" si="21"/>
        <v>0.52123076923076928</v>
      </c>
      <c r="S480">
        <f t="shared" si="22"/>
        <v>2</v>
      </c>
      <c r="T480">
        <f>IF(AND(S480&gt;1,COUNTIF($A$2:A480,A480)=1),1,0)</f>
        <v>1</v>
      </c>
      <c r="U480">
        <f>COUNTIF(Customers!$A$2:$A$301,C480)</f>
        <v>1</v>
      </c>
      <c r="V480">
        <f t="shared" si="23"/>
        <v>0</v>
      </c>
    </row>
    <row r="481" spans="1:22" ht="14.25" customHeight="1" x14ac:dyDescent="0.35">
      <c r="A481" s="10" t="s">
        <v>875</v>
      </c>
      <c r="B481" s="11">
        <v>45352</v>
      </c>
      <c r="C481" s="10" t="s">
        <v>110</v>
      </c>
      <c r="D481" s="10" t="s">
        <v>66</v>
      </c>
      <c r="E481" s="10" t="s">
        <v>71</v>
      </c>
      <c r="F481" s="12">
        <v>10</v>
      </c>
      <c r="G481" s="12">
        <v>3660</v>
      </c>
      <c r="H481" s="12">
        <v>12</v>
      </c>
      <c r="I481" s="12">
        <v>32208</v>
      </c>
      <c r="J481" s="10" t="s">
        <v>51</v>
      </c>
      <c r="K481" s="10" t="s">
        <v>52</v>
      </c>
      <c r="L481" t="str">
        <f>IFERROR(VLOOKUP(D481,Products!A:F,3,0),"")</f>
        <v>Grocery</v>
      </c>
      <c r="M481" t="str">
        <f>IFERROR(VLOOKUP(E481,Sales_Reps!A:E,3,0),"")</f>
        <v>North</v>
      </c>
      <c r="N481" t="str">
        <f>IFERROR(VLOOKUP(C481,Customers!A:F,5,0),"")</f>
        <v>Retail</v>
      </c>
      <c r="O481">
        <f>IFERROR(VLOOKUP(C481,Customers!A:F,3,0),"")</f>
        <v>38</v>
      </c>
      <c r="P481">
        <f>IFERROR(VLOOKUP(D481,Products!A:F,4,0),"")</f>
        <v>2214</v>
      </c>
      <c r="Q481" t="b">
        <f>IFERROR(VLOOKUP(D481,Products!A:F,6,0),"")</f>
        <v>0</v>
      </c>
      <c r="R481">
        <f t="shared" si="21"/>
        <v>0.39508196721311473</v>
      </c>
      <c r="S481">
        <f t="shared" si="22"/>
        <v>1</v>
      </c>
      <c r="T481">
        <f>IF(AND(S481&gt;1,COUNTIF($A$2:A481,A481)=1),1,0)</f>
        <v>0</v>
      </c>
      <c r="U481">
        <f>COUNTIF(Customers!$A$2:$A$301,C481)</f>
        <v>1</v>
      </c>
      <c r="V481">
        <f t="shared" si="23"/>
        <v>0</v>
      </c>
    </row>
    <row r="482" spans="1:22" ht="14.25" customHeight="1" x14ac:dyDescent="0.35">
      <c r="A482" s="10" t="s">
        <v>876</v>
      </c>
      <c r="B482" s="11">
        <v>45521</v>
      </c>
      <c r="C482" s="10" t="s">
        <v>181</v>
      </c>
      <c r="D482" s="10" t="s">
        <v>115</v>
      </c>
      <c r="E482" s="10" t="s">
        <v>168</v>
      </c>
      <c r="F482" s="12">
        <v>1</v>
      </c>
      <c r="G482" s="12">
        <v>2400</v>
      </c>
      <c r="H482" s="12">
        <v>24.5</v>
      </c>
      <c r="I482" s="12">
        <v>1812</v>
      </c>
      <c r="J482" s="10" t="s">
        <v>51</v>
      </c>
      <c r="K482" s="10" t="s">
        <v>58</v>
      </c>
      <c r="L482" t="str">
        <f>IFERROR(VLOOKUP(D482,Products!A:F,3,0),"")</f>
        <v>Sports</v>
      </c>
      <c r="M482" t="str">
        <f>IFERROR(VLOOKUP(E482,Sales_Reps!A:E,3,0),"")</f>
        <v>South</v>
      </c>
      <c r="N482" t="str">
        <f>IFERROR(VLOOKUP(C482,Customers!A:F,5,0),"")</f>
        <v>Retail</v>
      </c>
      <c r="O482">
        <f>IFERROR(VLOOKUP(C482,Customers!A:F,3,0),"")</f>
        <v>51</v>
      </c>
      <c r="P482">
        <f>IFERROR(VLOOKUP(D482,Products!A:F,4,0),"")</f>
        <v>974</v>
      </c>
      <c r="Q482" t="b">
        <f>IFERROR(VLOOKUP(D482,Products!A:F,6,0),"")</f>
        <v>1</v>
      </c>
      <c r="R482">
        <f t="shared" si="21"/>
        <v>0.59416666666666662</v>
      </c>
      <c r="S482">
        <f t="shared" si="22"/>
        <v>1</v>
      </c>
      <c r="T482">
        <f>IF(AND(S482&gt;1,COUNTIF($A$2:A482,A482)=1),1,0)</f>
        <v>0</v>
      </c>
      <c r="U482">
        <f>COUNTIF(Customers!$A$2:$A$301,C482)</f>
        <v>1</v>
      </c>
      <c r="V482">
        <f t="shared" si="23"/>
        <v>0</v>
      </c>
    </row>
    <row r="483" spans="1:22" ht="14.25" customHeight="1" x14ac:dyDescent="0.35">
      <c r="A483" s="10" t="s">
        <v>877</v>
      </c>
      <c r="B483" s="11">
        <v>45496</v>
      </c>
      <c r="C483" s="10" t="s">
        <v>398</v>
      </c>
      <c r="D483" s="10" t="s">
        <v>466</v>
      </c>
      <c r="E483" s="10" t="s">
        <v>96</v>
      </c>
      <c r="F483" s="12">
        <v>1</v>
      </c>
      <c r="G483" s="12">
        <v>1090</v>
      </c>
      <c r="H483" s="12">
        <v>18.399999999999999</v>
      </c>
      <c r="I483" s="12">
        <v>889.44</v>
      </c>
      <c r="J483" s="10" t="s">
        <v>51</v>
      </c>
      <c r="K483" s="10" t="s">
        <v>63</v>
      </c>
      <c r="L483" t="str">
        <f>IFERROR(VLOOKUP(D483,Products!A:F,3,0),"")</f>
        <v>Home</v>
      </c>
      <c r="M483" t="str">
        <f>IFERROR(VLOOKUP(E483,Sales_Reps!A:E,3,0),"")</f>
        <v>South</v>
      </c>
      <c r="N483" t="str">
        <f>IFERROR(VLOOKUP(C483,Customers!A:F,5,0),"")</f>
        <v>Corporate</v>
      </c>
      <c r="O483">
        <f>IFERROR(VLOOKUP(C483,Customers!A:F,3,0),"")</f>
        <v>31</v>
      </c>
      <c r="P483">
        <f>IFERROR(VLOOKUP(D483,Products!A:F,4,0),"")</f>
        <v>464</v>
      </c>
      <c r="Q483" t="b">
        <f>IFERROR(VLOOKUP(D483,Products!A:F,6,0),"")</f>
        <v>1</v>
      </c>
      <c r="R483">
        <f t="shared" si="21"/>
        <v>0.57431192660550456</v>
      </c>
      <c r="S483">
        <f t="shared" si="22"/>
        <v>1</v>
      </c>
      <c r="T483">
        <f>IF(AND(S483&gt;1,COUNTIF($A$2:A483,A483)=1),1,0)</f>
        <v>0</v>
      </c>
      <c r="U483">
        <f>COUNTIF(Customers!$A$2:$A$301,C483)</f>
        <v>1</v>
      </c>
      <c r="V483">
        <f t="shared" si="23"/>
        <v>0</v>
      </c>
    </row>
    <row r="484" spans="1:22" ht="14.25" customHeight="1" x14ac:dyDescent="0.35">
      <c r="A484" s="10" t="s">
        <v>878</v>
      </c>
      <c r="B484" s="11">
        <v>45404</v>
      </c>
      <c r="C484" s="10" t="s">
        <v>759</v>
      </c>
      <c r="D484" s="10" t="s">
        <v>425</v>
      </c>
      <c r="E484" s="10" t="s">
        <v>152</v>
      </c>
      <c r="F484" s="12">
        <v>6</v>
      </c>
      <c r="G484" s="12">
        <v>3780</v>
      </c>
      <c r="H484" s="12">
        <v>15.9</v>
      </c>
      <c r="I484" s="12">
        <v>19073.88</v>
      </c>
      <c r="J484" s="10" t="s">
        <v>51</v>
      </c>
      <c r="K484" s="10" t="s">
        <v>58</v>
      </c>
      <c r="L484" t="str">
        <f>IFERROR(VLOOKUP(D484,Products!A:F,3,0),"")</f>
        <v>Sports</v>
      </c>
      <c r="M484" t="str">
        <f>IFERROR(VLOOKUP(E484,Sales_Reps!A:E,3,0),"")</f>
        <v>South</v>
      </c>
      <c r="N484" t="str">
        <f>IFERROR(VLOOKUP(C484,Customers!A:F,5,0),"")</f>
        <v>Retail</v>
      </c>
      <c r="O484">
        <f>IFERROR(VLOOKUP(C484,Customers!A:F,3,0),"")</f>
        <v>22</v>
      </c>
      <c r="P484">
        <f>IFERROR(VLOOKUP(D484,Products!A:F,4,0),"")</f>
        <v>1860</v>
      </c>
      <c r="Q484" t="b">
        <f>IFERROR(VLOOKUP(D484,Products!A:F,6,0),"")</f>
        <v>1</v>
      </c>
      <c r="R484">
        <f t="shared" si="21"/>
        <v>0.50793650793650791</v>
      </c>
      <c r="S484">
        <f t="shared" si="22"/>
        <v>1</v>
      </c>
      <c r="T484">
        <f>IF(AND(S484&gt;1,COUNTIF($A$2:A484,A484)=1),1,0)</f>
        <v>0</v>
      </c>
      <c r="U484">
        <f>COUNTIF(Customers!$A$2:$A$301,C484)</f>
        <v>1</v>
      </c>
      <c r="V484">
        <f t="shared" si="23"/>
        <v>0</v>
      </c>
    </row>
    <row r="485" spans="1:22" ht="14.25" customHeight="1" x14ac:dyDescent="0.35">
      <c r="A485" s="10" t="s">
        <v>879</v>
      </c>
      <c r="B485" s="11">
        <v>45330</v>
      </c>
      <c r="C485" s="10" t="s">
        <v>443</v>
      </c>
      <c r="D485" s="10" t="s">
        <v>143</v>
      </c>
      <c r="E485" s="10" t="s">
        <v>85</v>
      </c>
      <c r="F485" s="12">
        <v>3</v>
      </c>
      <c r="G485" s="12">
        <v>3350</v>
      </c>
      <c r="H485" s="12">
        <v>18.8</v>
      </c>
      <c r="I485" s="12">
        <v>8160.6</v>
      </c>
      <c r="J485" s="10" t="s">
        <v>108</v>
      </c>
      <c r="K485" s="10" t="s">
        <v>52</v>
      </c>
      <c r="L485" t="str">
        <f>IFERROR(VLOOKUP(D485,Products!A:F,3,0),"")</f>
        <v>Beauty</v>
      </c>
      <c r="M485" t="str">
        <f>IFERROR(VLOOKUP(E485,Sales_Reps!A:E,3,0),"")</f>
        <v>East</v>
      </c>
      <c r="N485" t="str">
        <f>IFERROR(VLOOKUP(C485,Customers!A:F,5,0),"")</f>
        <v>SMB</v>
      </c>
      <c r="O485">
        <f>IFERROR(VLOOKUP(C485,Customers!A:F,3,0),"")</f>
        <v>49</v>
      </c>
      <c r="P485">
        <f>IFERROR(VLOOKUP(D485,Products!A:F,4,0),"")</f>
        <v>1728</v>
      </c>
      <c r="Q485" t="b">
        <f>IFERROR(VLOOKUP(D485,Products!A:F,6,0),"")</f>
        <v>1</v>
      </c>
      <c r="R485">
        <f t="shared" si="21"/>
        <v>0.48417910447761192</v>
      </c>
      <c r="S485">
        <f t="shared" si="22"/>
        <v>1</v>
      </c>
      <c r="T485">
        <f>IF(AND(S485&gt;1,COUNTIF($A$2:A485,A485)=1),1,0)</f>
        <v>0</v>
      </c>
      <c r="U485">
        <f>COUNTIF(Customers!$A$2:$A$301,C485)</f>
        <v>1</v>
      </c>
      <c r="V485">
        <f t="shared" si="23"/>
        <v>0</v>
      </c>
    </row>
    <row r="486" spans="1:22" ht="14.25" customHeight="1" x14ac:dyDescent="0.35">
      <c r="A486" s="10" t="s">
        <v>880</v>
      </c>
      <c r="B486" s="11">
        <v>45323</v>
      </c>
      <c r="C486" s="10" t="s">
        <v>83</v>
      </c>
      <c r="D486" s="10" t="s">
        <v>128</v>
      </c>
      <c r="E486" s="10" t="s">
        <v>134</v>
      </c>
      <c r="F486" s="12">
        <v>3</v>
      </c>
      <c r="G486" s="12">
        <v>1080</v>
      </c>
      <c r="H486" s="12">
        <v>3.4</v>
      </c>
      <c r="I486" s="12">
        <v>3129.84</v>
      </c>
      <c r="J486" s="10" t="s">
        <v>51</v>
      </c>
      <c r="K486" s="10" t="s">
        <v>81</v>
      </c>
      <c r="L486" t="str">
        <f>IFERROR(VLOOKUP(D486,Products!A:F,3,0),"")</f>
        <v>Home</v>
      </c>
      <c r="M486" t="str">
        <f>IFERROR(VLOOKUP(E486,Sales_Reps!A:E,3,0),"")</f>
        <v>West</v>
      </c>
      <c r="N486" t="str">
        <f>IFERROR(VLOOKUP(C486,Customers!A:F,5,0),"")</f>
        <v>Corporate</v>
      </c>
      <c r="O486">
        <f>IFERROR(VLOOKUP(C486,Customers!A:F,3,0),"")</f>
        <v>57</v>
      </c>
      <c r="P486">
        <f>IFERROR(VLOOKUP(D486,Products!A:F,4,0),"")</f>
        <v>519</v>
      </c>
      <c r="Q486" t="b">
        <f>IFERROR(VLOOKUP(D486,Products!A:F,6,0),"")</f>
        <v>1</v>
      </c>
      <c r="R486">
        <f t="shared" si="21"/>
        <v>0.51944444444444449</v>
      </c>
      <c r="S486">
        <f t="shared" si="22"/>
        <v>1</v>
      </c>
      <c r="T486">
        <f>IF(AND(S486&gt;1,COUNTIF($A$2:A486,A486)=1),1,0)</f>
        <v>0</v>
      </c>
      <c r="U486">
        <f>COUNTIF(Customers!$A$2:$A$301,C486)</f>
        <v>1</v>
      </c>
      <c r="V486">
        <f t="shared" si="23"/>
        <v>0</v>
      </c>
    </row>
    <row r="487" spans="1:22" ht="14.25" customHeight="1" x14ac:dyDescent="0.35">
      <c r="A487" s="10" t="s">
        <v>881</v>
      </c>
      <c r="B487" s="11">
        <v>45519</v>
      </c>
      <c r="C487" s="10" t="s">
        <v>282</v>
      </c>
      <c r="D487" s="10" t="s">
        <v>228</v>
      </c>
      <c r="E487" s="10" t="s">
        <v>249</v>
      </c>
      <c r="F487" s="12">
        <v>6</v>
      </c>
      <c r="G487" s="12">
        <v>4070</v>
      </c>
      <c r="H487" s="12">
        <v>27.7</v>
      </c>
      <c r="I487" s="12">
        <v>17655.66</v>
      </c>
      <c r="J487" s="10" t="s">
        <v>57</v>
      </c>
      <c r="K487" s="10" t="s">
        <v>58</v>
      </c>
      <c r="L487" t="str">
        <f>IFERROR(VLOOKUP(D487,Products!A:F,3,0),"")</f>
        <v>Grocery</v>
      </c>
      <c r="M487" t="str">
        <f>IFERROR(VLOOKUP(E487,Sales_Reps!A:E,3,0),"")</f>
        <v>East</v>
      </c>
      <c r="N487" t="str">
        <f>IFERROR(VLOOKUP(C487,Customers!A:F,5,0),"")</f>
        <v>SMB</v>
      </c>
      <c r="O487">
        <f>IFERROR(VLOOKUP(C487,Customers!A:F,3,0),"")</f>
        <v>57</v>
      </c>
      <c r="P487">
        <f>IFERROR(VLOOKUP(D487,Products!A:F,4,0),"")</f>
        <v>2027</v>
      </c>
      <c r="Q487" t="b">
        <f>IFERROR(VLOOKUP(D487,Products!A:F,6,0),"")</f>
        <v>1</v>
      </c>
      <c r="R487">
        <f t="shared" si="21"/>
        <v>0.50196560196560192</v>
      </c>
      <c r="S487">
        <f t="shared" si="22"/>
        <v>1</v>
      </c>
      <c r="T487">
        <f>IF(AND(S487&gt;1,COUNTIF($A$2:A487,A487)=1),1,0)</f>
        <v>0</v>
      </c>
      <c r="U487">
        <f>COUNTIF(Customers!$A$2:$A$301,C487)</f>
        <v>1</v>
      </c>
      <c r="V487">
        <f t="shared" si="23"/>
        <v>0</v>
      </c>
    </row>
    <row r="488" spans="1:22" ht="14.25" customHeight="1" x14ac:dyDescent="0.35">
      <c r="A488" s="10" t="s">
        <v>882</v>
      </c>
      <c r="B488" s="11">
        <v>45514</v>
      </c>
      <c r="C488" s="10" t="s">
        <v>759</v>
      </c>
      <c r="D488" s="10" t="s">
        <v>223</v>
      </c>
      <c r="E488" s="10" t="s">
        <v>165</v>
      </c>
      <c r="F488" s="12">
        <v>5</v>
      </c>
      <c r="G488" s="12">
        <v>1540</v>
      </c>
      <c r="H488" s="12">
        <v>24.9</v>
      </c>
      <c r="I488" s="12">
        <v>5782.7</v>
      </c>
      <c r="J488" s="10" t="s">
        <v>51</v>
      </c>
      <c r="K488" s="10" t="s">
        <v>58</v>
      </c>
      <c r="L488" t="str">
        <f>IFERROR(VLOOKUP(D488,Products!A:F,3,0),"")</f>
        <v>Beauty</v>
      </c>
      <c r="M488" t="str">
        <f>IFERROR(VLOOKUP(E488,Sales_Reps!A:E,3,0),"")</f>
        <v>West</v>
      </c>
      <c r="N488" t="str">
        <f>IFERROR(VLOOKUP(C488,Customers!A:F,5,0),"")</f>
        <v>Retail</v>
      </c>
      <c r="O488">
        <f>IFERROR(VLOOKUP(C488,Customers!A:F,3,0),"")</f>
        <v>22</v>
      </c>
      <c r="P488">
        <f>IFERROR(VLOOKUP(D488,Products!A:F,4,0),"")</f>
        <v>647</v>
      </c>
      <c r="Q488" t="b">
        <f>IFERROR(VLOOKUP(D488,Products!A:F,6,0),"")</f>
        <v>0</v>
      </c>
      <c r="R488">
        <f t="shared" si="21"/>
        <v>0.57987012987012987</v>
      </c>
      <c r="S488">
        <f t="shared" si="22"/>
        <v>1</v>
      </c>
      <c r="T488">
        <f>IF(AND(S488&gt;1,COUNTIF($A$2:A488,A488)=1),1,0)</f>
        <v>0</v>
      </c>
      <c r="U488">
        <f>COUNTIF(Customers!$A$2:$A$301,C488)</f>
        <v>1</v>
      </c>
      <c r="V488">
        <f t="shared" si="23"/>
        <v>0</v>
      </c>
    </row>
    <row r="489" spans="1:22" ht="14.25" customHeight="1" x14ac:dyDescent="0.35">
      <c r="A489" s="10" t="s">
        <v>883</v>
      </c>
      <c r="B489" s="11">
        <v>45497</v>
      </c>
      <c r="C489" s="10" t="s">
        <v>358</v>
      </c>
      <c r="D489" s="10" t="s">
        <v>164</v>
      </c>
      <c r="E489" s="10" t="s">
        <v>92</v>
      </c>
      <c r="F489" s="12">
        <v>6</v>
      </c>
      <c r="G489" s="12">
        <v>2760</v>
      </c>
      <c r="H489" s="12">
        <v>29.9</v>
      </c>
      <c r="I489" s="12">
        <v>11608.56</v>
      </c>
      <c r="J489" s="10" t="s">
        <v>51</v>
      </c>
      <c r="K489" s="10" t="s">
        <v>81</v>
      </c>
      <c r="L489" t="str">
        <f>IFERROR(VLOOKUP(D489,Products!A:F,3,0),"")</f>
        <v>Grocery</v>
      </c>
      <c r="M489" t="str">
        <f>IFERROR(VLOOKUP(E489,Sales_Reps!A:E,3,0),"")</f>
        <v>West</v>
      </c>
      <c r="N489" t="str">
        <f>IFERROR(VLOOKUP(C489,Customers!A:F,5,0),"")</f>
        <v>SMB</v>
      </c>
      <c r="O489">
        <f>IFERROR(VLOOKUP(C489,Customers!A:F,3,0),"")</f>
        <v>28</v>
      </c>
      <c r="P489">
        <f>IFERROR(VLOOKUP(D489,Products!A:F,4,0),"")</f>
        <v>1435</v>
      </c>
      <c r="Q489" t="b">
        <f>IFERROR(VLOOKUP(D489,Products!A:F,6,0),"")</f>
        <v>1</v>
      </c>
      <c r="R489">
        <f t="shared" si="21"/>
        <v>0.48007246376811596</v>
      </c>
      <c r="S489">
        <f t="shared" si="22"/>
        <v>1</v>
      </c>
      <c r="T489">
        <f>IF(AND(S489&gt;1,COUNTIF($A$2:A489,A489)=1),1,0)</f>
        <v>0</v>
      </c>
      <c r="U489">
        <f>COUNTIF(Customers!$A$2:$A$301,C489)</f>
        <v>1</v>
      </c>
      <c r="V489">
        <f t="shared" si="23"/>
        <v>11608.56</v>
      </c>
    </row>
    <row r="490" spans="1:22" ht="14.25" customHeight="1" x14ac:dyDescent="0.35">
      <c r="A490" s="10" t="s">
        <v>884</v>
      </c>
      <c r="B490" s="11">
        <v>45639</v>
      </c>
      <c r="C490" s="10" t="s">
        <v>885</v>
      </c>
      <c r="D490" s="10" t="s">
        <v>372</v>
      </c>
      <c r="E490" s="10" t="s">
        <v>249</v>
      </c>
      <c r="F490" s="12">
        <v>8</v>
      </c>
      <c r="G490" s="12">
        <v>3970</v>
      </c>
      <c r="H490" s="12">
        <v>23.7</v>
      </c>
      <c r="I490" s="12">
        <v>24232.880000000001</v>
      </c>
      <c r="J490" s="10" t="s">
        <v>51</v>
      </c>
      <c r="K490" s="10" t="s">
        <v>81</v>
      </c>
      <c r="L490" t="str">
        <f>IFERROR(VLOOKUP(D490,Products!A:F,3,0),"")</f>
        <v>Electronics</v>
      </c>
      <c r="M490" t="str">
        <f>IFERROR(VLOOKUP(E490,Sales_Reps!A:E,3,0),"")</f>
        <v>East</v>
      </c>
      <c r="N490" t="str">
        <f>IFERROR(VLOOKUP(C490,Customers!A:F,5,0),"")</f>
        <v>Retail</v>
      </c>
      <c r="O490">
        <f>IFERROR(VLOOKUP(C490,Customers!A:F,3,0),"")</f>
        <v>28</v>
      </c>
      <c r="P490">
        <f>IFERROR(VLOOKUP(D490,Products!A:F,4,0),"")</f>
        <v>2865</v>
      </c>
      <c r="Q490" t="b">
        <f>IFERROR(VLOOKUP(D490,Products!A:F,6,0),"")</f>
        <v>1</v>
      </c>
      <c r="R490">
        <f t="shared" si="21"/>
        <v>0.27833753148614609</v>
      </c>
      <c r="S490">
        <f t="shared" si="22"/>
        <v>1</v>
      </c>
      <c r="T490">
        <f>IF(AND(S490&gt;1,COUNTIF($A$2:A490,A490)=1),1,0)</f>
        <v>0</v>
      </c>
      <c r="U490">
        <f>COUNTIF(Customers!$A$2:$A$301,C490)</f>
        <v>1</v>
      </c>
      <c r="V490">
        <f t="shared" si="23"/>
        <v>0</v>
      </c>
    </row>
    <row r="491" spans="1:22" ht="14.25" customHeight="1" x14ac:dyDescent="0.35">
      <c r="A491" s="10" t="s">
        <v>886</v>
      </c>
      <c r="B491" s="11">
        <v>45562</v>
      </c>
      <c r="C491" s="10" t="s">
        <v>866</v>
      </c>
      <c r="D491" s="10" t="s">
        <v>416</v>
      </c>
      <c r="E491" s="10" t="s">
        <v>122</v>
      </c>
      <c r="F491" s="12">
        <v>1</v>
      </c>
      <c r="G491" s="12">
        <v>3450</v>
      </c>
      <c r="H491" s="12">
        <v>7.4</v>
      </c>
      <c r="I491" s="12">
        <v>3194.7</v>
      </c>
      <c r="J491" s="10" t="s">
        <v>51</v>
      </c>
      <c r="K491" s="10" t="s">
        <v>76</v>
      </c>
      <c r="L491" t="str">
        <f>IFERROR(VLOOKUP(D491,Products!A:F,3,0),"")</f>
        <v>Apparel</v>
      </c>
      <c r="M491" t="str">
        <f>IFERROR(VLOOKUP(E491,Sales_Reps!A:E,3,0),"")</f>
        <v>East</v>
      </c>
      <c r="N491" t="str">
        <f>IFERROR(VLOOKUP(C491,Customers!A:F,5,0),"")</f>
        <v>Retail</v>
      </c>
      <c r="O491">
        <f>IFERROR(VLOOKUP(C491,Customers!A:F,3,0),"")</f>
        <v>37</v>
      </c>
      <c r="P491">
        <f>IFERROR(VLOOKUP(D491,Products!A:F,4,0),"")</f>
        <v>1748</v>
      </c>
      <c r="Q491" t="b">
        <f>IFERROR(VLOOKUP(D491,Products!A:F,6,0),"")</f>
        <v>1</v>
      </c>
      <c r="R491">
        <f t="shared" si="21"/>
        <v>0.49333333333333335</v>
      </c>
      <c r="S491">
        <f t="shared" si="22"/>
        <v>1</v>
      </c>
      <c r="T491">
        <f>IF(AND(S491&gt;1,COUNTIF($A$2:A491,A491)=1),1,0)</f>
        <v>0</v>
      </c>
      <c r="U491">
        <f>COUNTIF(Customers!$A$2:$A$301,C491)</f>
        <v>1</v>
      </c>
      <c r="V491">
        <f t="shared" si="23"/>
        <v>0</v>
      </c>
    </row>
    <row r="492" spans="1:22" ht="14.25" customHeight="1" x14ac:dyDescent="0.35">
      <c r="A492" s="10" t="s">
        <v>887</v>
      </c>
      <c r="B492" s="11">
        <v>45308</v>
      </c>
      <c r="C492" s="10" t="s">
        <v>468</v>
      </c>
      <c r="D492" s="10" t="s">
        <v>623</v>
      </c>
      <c r="E492" s="10" t="s">
        <v>56</v>
      </c>
      <c r="F492" s="12">
        <v>3</v>
      </c>
      <c r="G492" s="12">
        <v>3560</v>
      </c>
      <c r="H492" s="12">
        <v>15.2</v>
      </c>
      <c r="I492" s="12">
        <v>9056.64</v>
      </c>
      <c r="J492" s="10" t="s">
        <v>51</v>
      </c>
      <c r="K492" s="10" t="s">
        <v>81</v>
      </c>
      <c r="L492" t="str">
        <f>IFERROR(VLOOKUP(D492,Products!A:F,3,0),"")</f>
        <v>Apparel</v>
      </c>
      <c r="M492" t="str">
        <f>IFERROR(VLOOKUP(E492,Sales_Reps!A:E,3,0),"")</f>
        <v>North</v>
      </c>
      <c r="N492" t="str">
        <f>IFERROR(VLOOKUP(C492,Customers!A:F,5,0),"")</f>
        <v>Corporate</v>
      </c>
      <c r="O492">
        <f>IFERROR(VLOOKUP(C492,Customers!A:F,3,0),"")</f>
        <v>36</v>
      </c>
      <c r="P492">
        <f>IFERROR(VLOOKUP(D492,Products!A:F,4,0),"")</f>
        <v>2629</v>
      </c>
      <c r="Q492" t="b">
        <f>IFERROR(VLOOKUP(D492,Products!A:F,6,0),"")</f>
        <v>1</v>
      </c>
      <c r="R492">
        <f t="shared" si="21"/>
        <v>0.26151685393258428</v>
      </c>
      <c r="S492">
        <f t="shared" si="22"/>
        <v>1</v>
      </c>
      <c r="T492">
        <f>IF(AND(S492&gt;1,COUNTIF($A$2:A492,A492)=1),1,0)</f>
        <v>0</v>
      </c>
      <c r="U492">
        <f>COUNTIF(Customers!$A$2:$A$301,C492)</f>
        <v>1</v>
      </c>
      <c r="V492">
        <f t="shared" si="23"/>
        <v>0</v>
      </c>
    </row>
    <row r="493" spans="1:22" ht="14.25" customHeight="1" x14ac:dyDescent="0.35">
      <c r="A493" s="10" t="s">
        <v>888</v>
      </c>
      <c r="B493" s="11">
        <v>45428</v>
      </c>
      <c r="C493" s="10" t="s">
        <v>451</v>
      </c>
      <c r="D493" s="10" t="s">
        <v>151</v>
      </c>
      <c r="E493" s="10" t="s">
        <v>134</v>
      </c>
      <c r="F493" s="12">
        <v>4</v>
      </c>
      <c r="G493" s="12">
        <v>3570</v>
      </c>
      <c r="H493" s="12">
        <v>18.899999999999999</v>
      </c>
      <c r="I493" s="12">
        <v>11581.08</v>
      </c>
      <c r="J493" s="10" t="s">
        <v>51</v>
      </c>
      <c r="K493" s="10" t="s">
        <v>52</v>
      </c>
      <c r="L493" t="str">
        <f>IFERROR(VLOOKUP(D493,Products!A:F,3,0),"")</f>
        <v>Electronics</v>
      </c>
      <c r="M493" t="str">
        <f>IFERROR(VLOOKUP(E493,Sales_Reps!A:E,3,0),"")</f>
        <v>West</v>
      </c>
      <c r="N493" t="str">
        <f>IFERROR(VLOOKUP(C493,Customers!A:F,5,0),"")</f>
        <v>Corporate</v>
      </c>
      <c r="O493">
        <f>IFERROR(VLOOKUP(C493,Customers!A:F,3,0),"")</f>
        <v>29</v>
      </c>
      <c r="P493">
        <f>IFERROR(VLOOKUP(D493,Products!A:F,4,0),"")</f>
        <v>1665</v>
      </c>
      <c r="Q493" t="b">
        <f>IFERROR(VLOOKUP(D493,Products!A:F,6,0),"")</f>
        <v>1</v>
      </c>
      <c r="R493">
        <f t="shared" si="21"/>
        <v>0.53361344537815125</v>
      </c>
      <c r="S493">
        <f t="shared" si="22"/>
        <v>1</v>
      </c>
      <c r="T493">
        <f>IF(AND(S493&gt;1,COUNTIF($A$2:A493,A493)=1),1,0)</f>
        <v>0</v>
      </c>
      <c r="U493">
        <f>COUNTIF(Customers!$A$2:$A$301,C493)</f>
        <v>1</v>
      </c>
      <c r="V493">
        <f t="shared" si="23"/>
        <v>0</v>
      </c>
    </row>
    <row r="494" spans="1:22" ht="14.25" customHeight="1" x14ac:dyDescent="0.35">
      <c r="A494" s="10" t="s">
        <v>889</v>
      </c>
      <c r="B494" s="11">
        <v>45472</v>
      </c>
      <c r="C494" s="10" t="s">
        <v>471</v>
      </c>
      <c r="D494" s="10" t="s">
        <v>79</v>
      </c>
      <c r="E494" s="10" t="s">
        <v>75</v>
      </c>
      <c r="F494" s="12">
        <v>9</v>
      </c>
      <c r="G494" s="12">
        <v>960</v>
      </c>
      <c r="H494" s="12">
        <v>14</v>
      </c>
      <c r="I494" s="12">
        <v>7430.4</v>
      </c>
      <c r="J494" s="10" t="s">
        <v>108</v>
      </c>
      <c r="K494" s="10" t="s">
        <v>52</v>
      </c>
      <c r="L494" t="str">
        <f>IFERROR(VLOOKUP(D494,Products!A:F,3,0),"")</f>
        <v>Sports</v>
      </c>
      <c r="M494" t="str">
        <f>IFERROR(VLOOKUP(E494,Sales_Reps!A:E,3,0),"")</f>
        <v>West</v>
      </c>
      <c r="N494" t="str">
        <f>IFERROR(VLOOKUP(C494,Customers!A:F,5,0),"")</f>
        <v>Retail</v>
      </c>
      <c r="O494">
        <f>IFERROR(VLOOKUP(C494,Customers!A:F,3,0),"")</f>
        <v>59</v>
      </c>
      <c r="P494">
        <f>IFERROR(VLOOKUP(D494,Products!A:F,4,0),"")</f>
        <v>705</v>
      </c>
      <c r="Q494" t="b">
        <f>IFERROR(VLOOKUP(D494,Products!A:F,6,0),"")</f>
        <v>1</v>
      </c>
      <c r="R494">
        <f t="shared" si="21"/>
        <v>0.265625</v>
      </c>
      <c r="S494">
        <f t="shared" si="22"/>
        <v>1</v>
      </c>
      <c r="T494">
        <f>IF(AND(S494&gt;1,COUNTIF($A$2:A494,A494)=1),1,0)</f>
        <v>0</v>
      </c>
      <c r="U494">
        <f>COUNTIF(Customers!$A$2:$A$301,C494)</f>
        <v>1</v>
      </c>
      <c r="V494">
        <f t="shared" si="23"/>
        <v>0</v>
      </c>
    </row>
    <row r="495" spans="1:22" ht="14.25" customHeight="1" x14ac:dyDescent="0.35">
      <c r="A495" s="10" t="s">
        <v>890</v>
      </c>
      <c r="B495" s="11">
        <v>45406</v>
      </c>
      <c r="C495" s="10" t="s">
        <v>667</v>
      </c>
      <c r="D495" s="10" t="s">
        <v>121</v>
      </c>
      <c r="E495" s="10" t="s">
        <v>310</v>
      </c>
      <c r="F495" s="12">
        <v>9</v>
      </c>
      <c r="G495" s="12">
        <v>3450</v>
      </c>
      <c r="H495" s="12">
        <v>6</v>
      </c>
      <c r="I495" s="12">
        <v>29187</v>
      </c>
      <c r="J495" s="10" t="s">
        <v>104</v>
      </c>
      <c r="K495" s="10" t="s">
        <v>52</v>
      </c>
      <c r="L495" t="str">
        <f>IFERROR(VLOOKUP(D495,Products!A:F,3,0),"")</f>
        <v>Beauty</v>
      </c>
      <c r="M495" t="str">
        <f>IFERROR(VLOOKUP(E495,Sales_Reps!A:E,3,0),"")</f>
        <v>South</v>
      </c>
      <c r="N495" t="str">
        <f>IFERROR(VLOOKUP(C495,Customers!A:F,5,0),"")</f>
        <v>Corporate</v>
      </c>
      <c r="O495">
        <f>IFERROR(VLOOKUP(C495,Customers!A:F,3,0),"")</f>
        <v>52</v>
      </c>
      <c r="P495">
        <f>IFERROR(VLOOKUP(D495,Products!A:F,4,0),"")</f>
        <v>2420</v>
      </c>
      <c r="Q495" t="b">
        <f>IFERROR(VLOOKUP(D495,Products!A:F,6,0),"")</f>
        <v>1</v>
      </c>
      <c r="R495">
        <f t="shared" si="21"/>
        <v>0.29855072463768118</v>
      </c>
      <c r="S495">
        <f t="shared" si="22"/>
        <v>1</v>
      </c>
      <c r="T495">
        <f>IF(AND(S495&gt;1,COUNTIF($A$2:A495,A495)=1),1,0)</f>
        <v>0</v>
      </c>
      <c r="U495">
        <f>COUNTIF(Customers!$A$2:$A$301,C495)</f>
        <v>1</v>
      </c>
      <c r="V495">
        <f t="shared" si="23"/>
        <v>0</v>
      </c>
    </row>
    <row r="496" spans="1:22" ht="14.25" customHeight="1" x14ac:dyDescent="0.35">
      <c r="A496" s="10" t="s">
        <v>891</v>
      </c>
      <c r="B496" s="11">
        <v>45457</v>
      </c>
      <c r="C496" s="10" t="s">
        <v>367</v>
      </c>
      <c r="D496" s="10" t="s">
        <v>143</v>
      </c>
      <c r="E496" s="10" t="s">
        <v>289</v>
      </c>
      <c r="F496" s="12">
        <v>7</v>
      </c>
      <c r="G496" s="12">
        <v>3350</v>
      </c>
      <c r="H496" s="12">
        <v>14</v>
      </c>
      <c r="I496" s="12">
        <v>20167</v>
      </c>
      <c r="J496" s="10" t="s">
        <v>104</v>
      </c>
      <c r="K496" s="10" t="s">
        <v>81</v>
      </c>
      <c r="L496" t="str">
        <f>IFERROR(VLOOKUP(D496,Products!A:F,3,0),"")</f>
        <v>Beauty</v>
      </c>
      <c r="M496" t="str">
        <f>IFERROR(VLOOKUP(E496,Sales_Reps!A:E,3,0),"")</f>
        <v>South</v>
      </c>
      <c r="N496" t="str">
        <f>IFERROR(VLOOKUP(C496,Customers!A:F,5,0),"")</f>
        <v>Retail</v>
      </c>
      <c r="O496">
        <f>IFERROR(VLOOKUP(C496,Customers!A:F,3,0),"")</f>
        <v>59</v>
      </c>
      <c r="P496">
        <f>IFERROR(VLOOKUP(D496,Products!A:F,4,0),"")</f>
        <v>1728</v>
      </c>
      <c r="Q496" t="b">
        <f>IFERROR(VLOOKUP(D496,Products!A:F,6,0),"")</f>
        <v>1</v>
      </c>
      <c r="R496">
        <f t="shared" si="21"/>
        <v>0.48417910447761192</v>
      </c>
      <c r="S496">
        <f t="shared" si="22"/>
        <v>1</v>
      </c>
      <c r="T496">
        <f>IF(AND(S496&gt;1,COUNTIF($A$2:A496,A496)=1),1,0)</f>
        <v>0</v>
      </c>
      <c r="U496">
        <f>COUNTIF(Customers!$A$2:$A$301,C496)</f>
        <v>1</v>
      </c>
      <c r="V496">
        <f t="shared" si="23"/>
        <v>0</v>
      </c>
    </row>
    <row r="497" spans="1:22" ht="14.25" customHeight="1" x14ac:dyDescent="0.35">
      <c r="A497" s="10" t="s">
        <v>892</v>
      </c>
      <c r="B497" s="11">
        <v>45298</v>
      </c>
      <c r="C497" s="10" t="s">
        <v>255</v>
      </c>
      <c r="D497" s="10" t="s">
        <v>344</v>
      </c>
      <c r="E497" s="10" t="s">
        <v>103</v>
      </c>
      <c r="F497" s="12">
        <v>6</v>
      </c>
      <c r="G497" s="12">
        <v>960</v>
      </c>
      <c r="H497" s="12">
        <v>10.1</v>
      </c>
      <c r="I497" s="12">
        <v>5178.24</v>
      </c>
      <c r="J497" s="10" t="s">
        <v>51</v>
      </c>
      <c r="K497" s="10" t="s">
        <v>63</v>
      </c>
      <c r="L497" t="str">
        <f>IFERROR(VLOOKUP(D497,Products!A:F,3,0),"")</f>
        <v>Beauty</v>
      </c>
      <c r="M497" t="str">
        <f>IFERROR(VLOOKUP(E497,Sales_Reps!A:E,3,0),"")</f>
        <v>North</v>
      </c>
      <c r="N497" t="str">
        <f>IFERROR(VLOOKUP(C497,Customers!A:F,5,0),"")</f>
        <v>Retail</v>
      </c>
      <c r="O497">
        <f>IFERROR(VLOOKUP(C497,Customers!A:F,3,0),"")</f>
        <v>35</v>
      </c>
      <c r="P497">
        <f>IFERROR(VLOOKUP(D497,Products!A:F,4,0),"")</f>
        <v>675</v>
      </c>
      <c r="Q497" t="b">
        <f>IFERROR(VLOOKUP(D497,Products!A:F,6,0),"")</f>
        <v>1</v>
      </c>
      <c r="R497">
        <f t="shared" si="21"/>
        <v>0.296875</v>
      </c>
      <c r="S497">
        <f t="shared" si="22"/>
        <v>1</v>
      </c>
      <c r="T497">
        <f>IF(AND(S497&gt;1,COUNTIF($A$2:A497,A497)=1),1,0)</f>
        <v>0</v>
      </c>
      <c r="U497">
        <f>COUNTIF(Customers!$A$2:$A$301,C497)</f>
        <v>1</v>
      </c>
      <c r="V497">
        <f t="shared" si="23"/>
        <v>0</v>
      </c>
    </row>
    <row r="498" spans="1:22" ht="14.25" customHeight="1" x14ac:dyDescent="0.35">
      <c r="A498" s="10" t="s">
        <v>893</v>
      </c>
      <c r="B498" s="11">
        <v>45337</v>
      </c>
      <c r="C498" s="10" t="s">
        <v>101</v>
      </c>
      <c r="D498" s="10" t="s">
        <v>246</v>
      </c>
      <c r="E498" s="10" t="s">
        <v>310</v>
      </c>
      <c r="F498" s="12">
        <v>7</v>
      </c>
      <c r="G498" s="12">
        <v>300</v>
      </c>
      <c r="H498" s="12">
        <v>21.9</v>
      </c>
      <c r="I498" s="12">
        <v>1640.1</v>
      </c>
      <c r="J498" s="10" t="s">
        <v>51</v>
      </c>
      <c r="K498" s="10" t="s">
        <v>63</v>
      </c>
      <c r="L498" t="str">
        <f>IFERROR(VLOOKUP(D498,Products!A:F,3,0),"")</f>
        <v>Electronics</v>
      </c>
      <c r="M498" t="str">
        <f>IFERROR(VLOOKUP(E498,Sales_Reps!A:E,3,0),"")</f>
        <v>South</v>
      </c>
      <c r="N498" t="str">
        <f>IFERROR(VLOOKUP(C498,Customers!A:F,5,0),"")</f>
        <v>SMB</v>
      </c>
      <c r="O498">
        <f>IFERROR(VLOOKUP(C498,Customers!A:F,3,0),"")</f>
        <v>27</v>
      </c>
      <c r="P498">
        <f>IFERROR(VLOOKUP(D498,Products!A:F,4,0),"")</f>
        <v>128</v>
      </c>
      <c r="Q498" t="b">
        <f>IFERROR(VLOOKUP(D498,Products!A:F,6,0),"")</f>
        <v>1</v>
      </c>
      <c r="R498">
        <f t="shared" si="21"/>
        <v>0.57333333333333336</v>
      </c>
      <c r="S498">
        <f t="shared" si="22"/>
        <v>1</v>
      </c>
      <c r="T498">
        <f>IF(AND(S498&gt;1,COUNTIF($A$2:A498,A498)=1),1,0)</f>
        <v>0</v>
      </c>
      <c r="U498">
        <f>COUNTIF(Customers!$A$2:$A$301,C498)</f>
        <v>1</v>
      </c>
      <c r="V498">
        <f t="shared" si="23"/>
        <v>0</v>
      </c>
    </row>
    <row r="499" spans="1:22" ht="14.25" customHeight="1" x14ac:dyDescent="0.35">
      <c r="A499" s="10" t="s">
        <v>894</v>
      </c>
      <c r="B499" s="11">
        <v>45389</v>
      </c>
      <c r="C499" s="10" t="s">
        <v>503</v>
      </c>
      <c r="D499" s="10" t="s">
        <v>331</v>
      </c>
      <c r="E499" s="10" t="s">
        <v>85</v>
      </c>
      <c r="F499" s="12">
        <v>2</v>
      </c>
      <c r="G499" s="12">
        <v>2380</v>
      </c>
      <c r="H499" s="12">
        <v>6.8</v>
      </c>
      <c r="I499" s="12">
        <v>4436.32</v>
      </c>
      <c r="J499" s="10" t="s">
        <v>51</v>
      </c>
      <c r="K499" s="10" t="s">
        <v>97</v>
      </c>
      <c r="L499" t="str">
        <f>IFERROR(VLOOKUP(D499,Products!A:F,3,0),"")</f>
        <v>Grocery</v>
      </c>
      <c r="M499" t="str">
        <f>IFERROR(VLOOKUP(E499,Sales_Reps!A:E,3,0),"")</f>
        <v>East</v>
      </c>
      <c r="N499" t="str">
        <f>IFERROR(VLOOKUP(C499,Customers!A:F,5,0),"")</f>
        <v>Retail</v>
      </c>
      <c r="O499">
        <f>IFERROR(VLOOKUP(C499,Customers!A:F,3,0),"")</f>
        <v>38</v>
      </c>
      <c r="P499">
        <f>IFERROR(VLOOKUP(D499,Products!A:F,4,0),"")</f>
        <v>1182</v>
      </c>
      <c r="Q499" t="b">
        <f>IFERROR(VLOOKUP(D499,Products!A:F,6,0),"")</f>
        <v>1</v>
      </c>
      <c r="R499">
        <f t="shared" si="21"/>
        <v>0.50336134453781511</v>
      </c>
      <c r="S499">
        <f t="shared" si="22"/>
        <v>1</v>
      </c>
      <c r="T499">
        <f>IF(AND(S499&gt;1,COUNTIF($A$2:A499,A499)=1),1,0)</f>
        <v>0</v>
      </c>
      <c r="U499">
        <f>COUNTIF(Customers!$A$2:$A$301,C499)</f>
        <v>1</v>
      </c>
      <c r="V499">
        <f t="shared" si="23"/>
        <v>0</v>
      </c>
    </row>
    <row r="500" spans="1:22" ht="14.25" customHeight="1" x14ac:dyDescent="0.35">
      <c r="A500" s="10" t="s">
        <v>895</v>
      </c>
      <c r="B500" s="11">
        <v>45298</v>
      </c>
      <c r="C500" s="10" t="s">
        <v>723</v>
      </c>
      <c r="D500" s="10" t="s">
        <v>79</v>
      </c>
      <c r="E500" s="10" t="s">
        <v>80</v>
      </c>
      <c r="F500" s="12">
        <v>5</v>
      </c>
      <c r="G500" s="12">
        <v>960</v>
      </c>
      <c r="H500" s="12">
        <v>15</v>
      </c>
      <c r="I500" s="12">
        <v>4080</v>
      </c>
      <c r="J500" s="10" t="s">
        <v>104</v>
      </c>
      <c r="K500" s="10" t="s">
        <v>81</v>
      </c>
      <c r="L500" t="str">
        <f>IFERROR(VLOOKUP(D500,Products!A:F,3,0),"")</f>
        <v>Sports</v>
      </c>
      <c r="M500" t="str">
        <f>IFERROR(VLOOKUP(E500,Sales_Reps!A:E,3,0),"")</f>
        <v>West</v>
      </c>
      <c r="N500" t="str">
        <f>IFERROR(VLOOKUP(C500,Customers!A:F,5,0),"")</f>
        <v>Retail</v>
      </c>
      <c r="O500">
        <f>IFERROR(VLOOKUP(C500,Customers!A:F,3,0),"")</f>
        <v>29</v>
      </c>
      <c r="P500">
        <f>IFERROR(VLOOKUP(D500,Products!A:F,4,0),"")</f>
        <v>705</v>
      </c>
      <c r="Q500" t="b">
        <f>IFERROR(VLOOKUP(D500,Products!A:F,6,0),"")</f>
        <v>1</v>
      </c>
      <c r="R500">
        <f t="shared" si="21"/>
        <v>0.265625</v>
      </c>
      <c r="S500">
        <f t="shared" si="22"/>
        <v>1</v>
      </c>
      <c r="T500">
        <f>IF(AND(S500&gt;1,COUNTIF($A$2:A500,A500)=1),1,0)</f>
        <v>0</v>
      </c>
      <c r="U500">
        <f>COUNTIF(Customers!$A$2:$A$301,C500)</f>
        <v>1</v>
      </c>
      <c r="V500">
        <f t="shared" si="23"/>
        <v>0</v>
      </c>
    </row>
    <row r="501" spans="1:22" ht="14.25" customHeight="1" x14ac:dyDescent="0.35">
      <c r="A501" s="10" t="s">
        <v>896</v>
      </c>
      <c r="B501" s="11">
        <v>45577</v>
      </c>
      <c r="C501" s="10" t="s">
        <v>236</v>
      </c>
      <c r="D501" s="10" t="s">
        <v>425</v>
      </c>
      <c r="E501" s="10" t="s">
        <v>289</v>
      </c>
      <c r="F501" s="12">
        <v>10</v>
      </c>
      <c r="G501" s="12">
        <v>3780</v>
      </c>
      <c r="H501" s="12">
        <v>24.1</v>
      </c>
      <c r="I501" s="12">
        <v>28690.2</v>
      </c>
      <c r="J501" s="10" t="s">
        <v>108</v>
      </c>
      <c r="K501" s="10" t="s">
        <v>58</v>
      </c>
      <c r="L501" t="str">
        <f>IFERROR(VLOOKUP(D501,Products!A:F,3,0),"")</f>
        <v>Sports</v>
      </c>
      <c r="M501" t="str">
        <f>IFERROR(VLOOKUP(E501,Sales_Reps!A:E,3,0),"")</f>
        <v>South</v>
      </c>
      <c r="N501" t="str">
        <f>IFERROR(VLOOKUP(C501,Customers!A:F,5,0),"")</f>
        <v>SMB</v>
      </c>
      <c r="O501">
        <f>IFERROR(VLOOKUP(C501,Customers!A:F,3,0),"")</f>
        <v>55</v>
      </c>
      <c r="P501">
        <f>IFERROR(VLOOKUP(D501,Products!A:F,4,0),"")</f>
        <v>1860</v>
      </c>
      <c r="Q501" t="b">
        <f>IFERROR(VLOOKUP(D501,Products!A:F,6,0),"")</f>
        <v>1</v>
      </c>
      <c r="R501">
        <f t="shared" si="21"/>
        <v>0.50793650793650791</v>
      </c>
      <c r="S501">
        <f t="shared" si="22"/>
        <v>1</v>
      </c>
      <c r="T501">
        <f>IF(AND(S501&gt;1,COUNTIF($A$2:A501,A501)=1),1,0)</f>
        <v>0</v>
      </c>
      <c r="U501">
        <f>COUNTIF(Customers!$A$2:$A$301,C501)</f>
        <v>1</v>
      </c>
      <c r="V501">
        <f t="shared" si="23"/>
        <v>0</v>
      </c>
    </row>
    <row r="502" spans="1:22" ht="14.25" customHeight="1" x14ac:dyDescent="0.35">
      <c r="A502" s="10" t="s">
        <v>897</v>
      </c>
      <c r="B502" s="11">
        <v>45355</v>
      </c>
      <c r="C502" s="10" t="s">
        <v>181</v>
      </c>
      <c r="D502" s="10" t="s">
        <v>223</v>
      </c>
      <c r="E502" s="10" t="s">
        <v>156</v>
      </c>
      <c r="F502" s="12">
        <v>4</v>
      </c>
      <c r="G502" s="12">
        <v>1540</v>
      </c>
      <c r="H502" s="12">
        <v>14.2</v>
      </c>
      <c r="I502" s="12">
        <v>5285.28</v>
      </c>
      <c r="J502" s="10" t="s">
        <v>104</v>
      </c>
      <c r="K502" s="10" t="s">
        <v>58</v>
      </c>
      <c r="L502" t="str">
        <f>IFERROR(VLOOKUP(D502,Products!A:F,3,0),"")</f>
        <v>Beauty</v>
      </c>
      <c r="M502" t="str">
        <f>IFERROR(VLOOKUP(E502,Sales_Reps!A:E,3,0),"")</f>
        <v>East</v>
      </c>
      <c r="N502" t="str">
        <f>IFERROR(VLOOKUP(C502,Customers!A:F,5,0),"")</f>
        <v>Retail</v>
      </c>
      <c r="O502">
        <f>IFERROR(VLOOKUP(C502,Customers!A:F,3,0),"")</f>
        <v>51</v>
      </c>
      <c r="P502">
        <f>IFERROR(VLOOKUP(D502,Products!A:F,4,0),"")</f>
        <v>647</v>
      </c>
      <c r="Q502" t="b">
        <f>IFERROR(VLOOKUP(D502,Products!A:F,6,0),"")</f>
        <v>0</v>
      </c>
      <c r="R502">
        <f t="shared" si="21"/>
        <v>0.57987012987012987</v>
      </c>
      <c r="S502">
        <f t="shared" si="22"/>
        <v>1</v>
      </c>
      <c r="T502">
        <f>IF(AND(S502&gt;1,COUNTIF($A$2:A502,A502)=1),1,0)</f>
        <v>0</v>
      </c>
      <c r="U502">
        <f>COUNTIF(Customers!$A$2:$A$301,C502)</f>
        <v>1</v>
      </c>
      <c r="V502">
        <f t="shared" si="23"/>
        <v>0</v>
      </c>
    </row>
    <row r="503" spans="1:22" ht="14.25" customHeight="1" x14ac:dyDescent="0.35">
      <c r="A503" s="10" t="s">
        <v>898</v>
      </c>
      <c r="B503" s="11">
        <v>45463</v>
      </c>
      <c r="C503" s="10" t="s">
        <v>799</v>
      </c>
      <c r="D503" s="10" t="s">
        <v>319</v>
      </c>
      <c r="E503" s="10" t="s">
        <v>56</v>
      </c>
      <c r="F503" s="12">
        <v>10</v>
      </c>
      <c r="G503" s="12">
        <v>2510</v>
      </c>
      <c r="H503" s="12">
        <v>20.8</v>
      </c>
      <c r="I503" s="12">
        <v>19879.2</v>
      </c>
      <c r="J503" s="10" t="s">
        <v>51</v>
      </c>
      <c r="K503" s="10" t="s">
        <v>81</v>
      </c>
      <c r="L503" t="str">
        <f>IFERROR(VLOOKUP(D503,Products!A:F,3,0),"")</f>
        <v>Apparel</v>
      </c>
      <c r="M503" t="str">
        <f>IFERROR(VLOOKUP(E503,Sales_Reps!A:E,3,0),"")</f>
        <v>North</v>
      </c>
      <c r="N503" t="str">
        <f>IFERROR(VLOOKUP(C503,Customers!A:F,5,0),"")</f>
        <v>Retail</v>
      </c>
      <c r="O503">
        <f>IFERROR(VLOOKUP(C503,Customers!A:F,3,0),"")</f>
        <v>52</v>
      </c>
      <c r="P503">
        <f>IFERROR(VLOOKUP(D503,Products!A:F,4,0),"")</f>
        <v>1075</v>
      </c>
      <c r="Q503" t="b">
        <f>IFERROR(VLOOKUP(D503,Products!A:F,6,0),"")</f>
        <v>0</v>
      </c>
      <c r="R503">
        <f t="shared" si="21"/>
        <v>0.57171314741035861</v>
      </c>
      <c r="S503">
        <f t="shared" si="22"/>
        <v>1</v>
      </c>
      <c r="T503">
        <f>IF(AND(S503&gt;1,COUNTIF($A$2:A503,A503)=1),1,0)</f>
        <v>0</v>
      </c>
      <c r="U503">
        <f>COUNTIF(Customers!$A$2:$A$301,C503)</f>
        <v>1</v>
      </c>
      <c r="V503">
        <f t="shared" si="23"/>
        <v>0</v>
      </c>
    </row>
    <row r="504" spans="1:22" ht="14.25" customHeight="1" x14ac:dyDescent="0.35">
      <c r="A504" s="10" t="s">
        <v>899</v>
      </c>
      <c r="B504" s="11">
        <v>45374</v>
      </c>
      <c r="C504" s="10" t="s">
        <v>352</v>
      </c>
      <c r="D504" s="10" t="s">
        <v>315</v>
      </c>
      <c r="E504" s="10" t="s">
        <v>62</v>
      </c>
      <c r="F504" s="12">
        <v>9</v>
      </c>
      <c r="G504" s="12">
        <v>4060</v>
      </c>
      <c r="H504" s="12">
        <v>27.1</v>
      </c>
      <c r="I504" s="12">
        <v>26637.66</v>
      </c>
      <c r="J504" s="10" t="s">
        <v>51</v>
      </c>
      <c r="K504" s="10" t="s">
        <v>97</v>
      </c>
      <c r="L504" t="str">
        <f>IFERROR(VLOOKUP(D504,Products!A:F,3,0),"")</f>
        <v>Grocery</v>
      </c>
      <c r="M504" t="str">
        <f>IFERROR(VLOOKUP(E504,Sales_Reps!A:E,3,0),"")</f>
        <v>South</v>
      </c>
      <c r="N504" t="str">
        <f>IFERROR(VLOOKUP(C504,Customers!A:F,5,0),"")</f>
        <v>Retail</v>
      </c>
      <c r="O504">
        <f>IFERROR(VLOOKUP(C504,Customers!A:F,3,0),"")</f>
        <v>44</v>
      </c>
      <c r="P504">
        <f>IFERROR(VLOOKUP(D504,Products!A:F,4,0),"")</f>
        <v>2911</v>
      </c>
      <c r="Q504" t="b">
        <f>IFERROR(VLOOKUP(D504,Products!A:F,6,0),"")</f>
        <v>1</v>
      </c>
      <c r="R504">
        <f t="shared" si="21"/>
        <v>0.28300492610837441</v>
      </c>
      <c r="S504">
        <f t="shared" si="22"/>
        <v>1</v>
      </c>
      <c r="T504">
        <f>IF(AND(S504&gt;1,COUNTIF($A$2:A504,A504)=1),1,0)</f>
        <v>0</v>
      </c>
      <c r="U504">
        <f>COUNTIF(Customers!$A$2:$A$301,C504)</f>
        <v>1</v>
      </c>
      <c r="V504">
        <f t="shared" si="23"/>
        <v>0</v>
      </c>
    </row>
    <row r="505" spans="1:22" ht="14.25" customHeight="1" x14ac:dyDescent="0.35">
      <c r="A505" s="10" t="s">
        <v>900</v>
      </c>
      <c r="B505" s="11">
        <v>45638</v>
      </c>
      <c r="C505" s="10" t="s">
        <v>323</v>
      </c>
      <c r="D505" s="10" t="s">
        <v>115</v>
      </c>
      <c r="E505" s="10" t="s">
        <v>75</v>
      </c>
      <c r="F505" s="12">
        <v>4</v>
      </c>
      <c r="G505" s="12">
        <v>2400</v>
      </c>
      <c r="H505" s="12">
        <v>19.100000000000001</v>
      </c>
      <c r="I505" s="12">
        <v>7766.4</v>
      </c>
      <c r="J505" s="10" t="s">
        <v>51</v>
      </c>
      <c r="K505" s="10" t="s">
        <v>63</v>
      </c>
      <c r="L505" t="str">
        <f>IFERROR(VLOOKUP(D505,Products!A:F,3,0),"")</f>
        <v>Sports</v>
      </c>
      <c r="M505" t="str">
        <f>IFERROR(VLOOKUP(E505,Sales_Reps!A:E,3,0),"")</f>
        <v>West</v>
      </c>
      <c r="N505" t="str">
        <f>IFERROR(VLOOKUP(C505,Customers!A:F,5,0),"")</f>
        <v>SMB</v>
      </c>
      <c r="O505">
        <f>IFERROR(VLOOKUP(C505,Customers!A:F,3,0),"")</f>
        <v>28</v>
      </c>
      <c r="P505">
        <f>IFERROR(VLOOKUP(D505,Products!A:F,4,0),"")</f>
        <v>974</v>
      </c>
      <c r="Q505" t="b">
        <f>IFERROR(VLOOKUP(D505,Products!A:F,6,0),"")</f>
        <v>1</v>
      </c>
      <c r="R505">
        <f t="shared" si="21"/>
        <v>0.59416666666666662</v>
      </c>
      <c r="S505">
        <f t="shared" si="22"/>
        <v>1</v>
      </c>
      <c r="T505">
        <f>IF(AND(S505&gt;1,COUNTIF($A$2:A505,A505)=1),1,0)</f>
        <v>0</v>
      </c>
      <c r="U505">
        <f>COUNTIF(Customers!$A$2:$A$301,C505)</f>
        <v>1</v>
      </c>
      <c r="V505">
        <f t="shared" si="23"/>
        <v>0</v>
      </c>
    </row>
    <row r="506" spans="1:22" ht="14.25" customHeight="1" x14ac:dyDescent="0.35">
      <c r="A506" s="10" t="s">
        <v>901</v>
      </c>
      <c r="B506" s="11">
        <v>45525</v>
      </c>
      <c r="C506" s="10" t="s">
        <v>65</v>
      </c>
      <c r="D506" s="10" t="s">
        <v>148</v>
      </c>
      <c r="E506" s="10" t="s">
        <v>249</v>
      </c>
      <c r="F506" s="12">
        <v>8</v>
      </c>
      <c r="G506" s="12">
        <v>4880</v>
      </c>
      <c r="H506" s="12">
        <v>9.1999999999999993</v>
      </c>
      <c r="I506" s="12">
        <v>35448.32</v>
      </c>
      <c r="J506" s="10" t="s">
        <v>104</v>
      </c>
      <c r="K506" s="10" t="s">
        <v>63</v>
      </c>
      <c r="L506" t="str">
        <f>IFERROR(VLOOKUP(D506,Products!A:F,3,0),"")</f>
        <v>Beauty</v>
      </c>
      <c r="M506" t="str">
        <f>IFERROR(VLOOKUP(E506,Sales_Reps!A:E,3,0),"")</f>
        <v>East</v>
      </c>
      <c r="N506" t="str">
        <f>IFERROR(VLOOKUP(C506,Customers!A:F,5,0),"")</f>
        <v>Corporate</v>
      </c>
      <c r="O506">
        <f>IFERROR(VLOOKUP(C506,Customers!A:F,3,0),"")</f>
        <v>46</v>
      </c>
      <c r="P506">
        <f>IFERROR(VLOOKUP(D506,Products!A:F,4,0),"")</f>
        <v>2768</v>
      </c>
      <c r="Q506" t="b">
        <f>IFERROR(VLOOKUP(D506,Products!A:F,6,0),"")</f>
        <v>1</v>
      </c>
      <c r="R506">
        <f t="shared" si="21"/>
        <v>0.43278688524590164</v>
      </c>
      <c r="S506">
        <f t="shared" si="22"/>
        <v>1</v>
      </c>
      <c r="T506">
        <f>IF(AND(S506&gt;1,COUNTIF($A$2:A506,A506)=1),1,0)</f>
        <v>0</v>
      </c>
      <c r="U506">
        <f>COUNTIF(Customers!$A$2:$A$301,C506)</f>
        <v>1</v>
      </c>
      <c r="V506">
        <f t="shared" si="23"/>
        <v>0</v>
      </c>
    </row>
    <row r="507" spans="1:22" ht="14.25" customHeight="1" x14ac:dyDescent="0.35">
      <c r="A507" s="10" t="s">
        <v>902</v>
      </c>
      <c r="B507" s="11">
        <v>45586</v>
      </c>
      <c r="C507" s="10" t="s">
        <v>577</v>
      </c>
      <c r="D507" s="10" t="s">
        <v>155</v>
      </c>
      <c r="E507" s="10" t="s">
        <v>85</v>
      </c>
      <c r="F507" s="12">
        <v>9</v>
      </c>
      <c r="G507" s="12">
        <v>5100</v>
      </c>
      <c r="H507" s="12">
        <v>11.1</v>
      </c>
      <c r="I507" s="12">
        <v>40805.1</v>
      </c>
      <c r="J507" s="10" t="s">
        <v>104</v>
      </c>
      <c r="K507" s="10" t="s">
        <v>76</v>
      </c>
      <c r="L507" t="str">
        <f>IFERROR(VLOOKUP(D507,Products!A:F,3,0),"")</f>
        <v>Beauty</v>
      </c>
      <c r="M507" t="str">
        <f>IFERROR(VLOOKUP(E507,Sales_Reps!A:E,3,0),"")</f>
        <v>East</v>
      </c>
      <c r="N507" t="str">
        <f>IFERROR(VLOOKUP(C507,Customers!A:F,5,0),"")</f>
        <v>Retail</v>
      </c>
      <c r="O507">
        <f>IFERROR(VLOOKUP(C507,Customers!A:F,3,0),"")</f>
        <v>44</v>
      </c>
      <c r="P507">
        <f>IFERROR(VLOOKUP(D507,Products!A:F,4,0),"")</f>
        <v>2237</v>
      </c>
      <c r="Q507" t="b">
        <f>IFERROR(VLOOKUP(D507,Products!A:F,6,0),"")</f>
        <v>1</v>
      </c>
      <c r="R507">
        <f t="shared" si="21"/>
        <v>0.56137254901960787</v>
      </c>
      <c r="S507">
        <f t="shared" si="22"/>
        <v>1</v>
      </c>
      <c r="T507">
        <f>IF(AND(S507&gt;1,COUNTIF($A$2:A507,A507)=1),1,0)</f>
        <v>0</v>
      </c>
      <c r="U507">
        <f>COUNTIF(Customers!$A$2:$A$301,C507)</f>
        <v>1</v>
      </c>
      <c r="V507">
        <f t="shared" si="23"/>
        <v>0</v>
      </c>
    </row>
    <row r="508" spans="1:22" ht="14.25" customHeight="1" x14ac:dyDescent="0.35">
      <c r="A508" s="10" t="s">
        <v>903</v>
      </c>
      <c r="B508" s="11">
        <v>45637</v>
      </c>
      <c r="C508" s="10" t="s">
        <v>321</v>
      </c>
      <c r="D508" s="10" t="s">
        <v>246</v>
      </c>
      <c r="E508" s="10" t="s">
        <v>92</v>
      </c>
      <c r="F508" s="12">
        <v>4</v>
      </c>
      <c r="G508" s="12">
        <v>300</v>
      </c>
      <c r="H508" s="12">
        <v>16.7</v>
      </c>
      <c r="I508" s="12">
        <v>999.6</v>
      </c>
      <c r="J508" s="10" t="s">
        <v>51</v>
      </c>
      <c r="K508" s="10" t="s">
        <v>63</v>
      </c>
      <c r="L508" t="str">
        <f>IFERROR(VLOOKUP(D508,Products!A:F,3,0),"")</f>
        <v>Electronics</v>
      </c>
      <c r="M508" t="str">
        <f>IFERROR(VLOOKUP(E508,Sales_Reps!A:E,3,0),"")</f>
        <v>West</v>
      </c>
      <c r="N508" t="str">
        <f>IFERROR(VLOOKUP(C508,Customers!A:F,5,0),"")</f>
        <v>SMB</v>
      </c>
      <c r="O508">
        <f>IFERROR(VLOOKUP(C508,Customers!A:F,3,0),"")</f>
        <v>38</v>
      </c>
      <c r="P508">
        <f>IFERROR(VLOOKUP(D508,Products!A:F,4,0),"")</f>
        <v>128</v>
      </c>
      <c r="Q508" t="b">
        <f>IFERROR(VLOOKUP(D508,Products!A:F,6,0),"")</f>
        <v>1</v>
      </c>
      <c r="R508">
        <f t="shared" si="21"/>
        <v>0.57333333333333336</v>
      </c>
      <c r="S508">
        <f t="shared" si="22"/>
        <v>1</v>
      </c>
      <c r="T508">
        <f>IF(AND(S508&gt;1,COUNTIF($A$2:A508,A508)=1),1,0)</f>
        <v>0</v>
      </c>
      <c r="U508">
        <f>COUNTIF(Customers!$A$2:$A$301,C508)</f>
        <v>1</v>
      </c>
      <c r="V508">
        <f t="shared" si="23"/>
        <v>0</v>
      </c>
    </row>
    <row r="509" spans="1:22" ht="14.25" customHeight="1" x14ac:dyDescent="0.35">
      <c r="A509" s="10" t="s">
        <v>904</v>
      </c>
      <c r="B509" s="11">
        <v>45443</v>
      </c>
      <c r="C509" s="10" t="s">
        <v>549</v>
      </c>
      <c r="D509" s="10" t="s">
        <v>131</v>
      </c>
      <c r="E509" s="10" t="s">
        <v>62</v>
      </c>
      <c r="F509" s="12">
        <v>6</v>
      </c>
      <c r="G509" s="12">
        <v>2480</v>
      </c>
      <c r="H509" s="12">
        <v>3.3</v>
      </c>
      <c r="I509" s="12">
        <v>14388.96</v>
      </c>
      <c r="J509" s="10" t="s">
        <v>51</v>
      </c>
      <c r="K509" s="10" t="s">
        <v>58</v>
      </c>
      <c r="L509" t="str">
        <f>IFERROR(VLOOKUP(D509,Products!A:F,3,0),"")</f>
        <v>Apparel</v>
      </c>
      <c r="M509" t="str">
        <f>IFERROR(VLOOKUP(E509,Sales_Reps!A:E,3,0),"")</f>
        <v>South</v>
      </c>
      <c r="N509" t="str">
        <f>IFERROR(VLOOKUP(C509,Customers!A:F,5,0),"")</f>
        <v>Retail</v>
      </c>
      <c r="O509">
        <f>IFERROR(VLOOKUP(C509,Customers!A:F,3,0),"")</f>
        <v>26</v>
      </c>
      <c r="P509">
        <f>IFERROR(VLOOKUP(D509,Products!A:F,4,0),"")</f>
        <v>1173</v>
      </c>
      <c r="Q509" t="b">
        <f>IFERROR(VLOOKUP(D509,Products!A:F,6,0),"")</f>
        <v>1</v>
      </c>
      <c r="R509">
        <f t="shared" si="21"/>
        <v>0.52701612903225803</v>
      </c>
      <c r="S509">
        <f t="shared" si="22"/>
        <v>1</v>
      </c>
      <c r="T509">
        <f>IF(AND(S509&gt;1,COUNTIF($A$2:A509,A509)=1),1,0)</f>
        <v>0</v>
      </c>
      <c r="U509">
        <f>COUNTIF(Customers!$A$2:$A$301,C509)</f>
        <v>1</v>
      </c>
      <c r="V509">
        <f t="shared" si="23"/>
        <v>0</v>
      </c>
    </row>
    <row r="510" spans="1:22" ht="14.25" customHeight="1" x14ac:dyDescent="0.35">
      <c r="A510" s="10" t="s">
        <v>905</v>
      </c>
      <c r="B510" s="11">
        <v>45569</v>
      </c>
      <c r="C510" s="10" t="s">
        <v>69</v>
      </c>
      <c r="D510" s="10" t="s">
        <v>140</v>
      </c>
      <c r="E510" s="10" t="s">
        <v>118</v>
      </c>
      <c r="F510" s="12">
        <v>10</v>
      </c>
      <c r="G510" s="12">
        <v>1650</v>
      </c>
      <c r="H510" s="12">
        <v>22.9</v>
      </c>
      <c r="I510" s="12">
        <v>12721.5</v>
      </c>
      <c r="J510" s="10" t="s">
        <v>108</v>
      </c>
      <c r="K510" s="10" t="s">
        <v>58</v>
      </c>
      <c r="L510" t="str">
        <f>IFERROR(VLOOKUP(D510,Products!A:F,3,0),"")</f>
        <v>Beauty</v>
      </c>
      <c r="M510" t="str">
        <f>IFERROR(VLOOKUP(E510,Sales_Reps!A:E,3,0),"")</f>
        <v>East</v>
      </c>
      <c r="N510" t="str">
        <f>IFERROR(VLOOKUP(C510,Customers!A:F,5,0),"")</f>
        <v>Retail</v>
      </c>
      <c r="O510">
        <f>IFERROR(VLOOKUP(C510,Customers!A:F,3,0),"")</f>
        <v>36</v>
      </c>
      <c r="P510">
        <f>IFERROR(VLOOKUP(D510,Products!A:F,4,0),"")</f>
        <v>1222</v>
      </c>
      <c r="Q510" t="b">
        <f>IFERROR(VLOOKUP(D510,Products!A:F,6,0),"")</f>
        <v>1</v>
      </c>
      <c r="R510">
        <f t="shared" si="21"/>
        <v>0.2593939393939394</v>
      </c>
      <c r="S510">
        <f t="shared" si="22"/>
        <v>1</v>
      </c>
      <c r="T510">
        <f>IF(AND(S510&gt;1,COUNTIF($A$2:A510,A510)=1),1,0)</f>
        <v>0</v>
      </c>
      <c r="U510">
        <f>COUNTIF(Customers!$A$2:$A$301,C510)</f>
        <v>1</v>
      </c>
      <c r="V510">
        <f t="shared" si="23"/>
        <v>0</v>
      </c>
    </row>
    <row r="511" spans="1:22" ht="14.25" customHeight="1" x14ac:dyDescent="0.35">
      <c r="A511" s="10" t="s">
        <v>906</v>
      </c>
      <c r="B511" s="11">
        <v>45319</v>
      </c>
      <c r="C511" s="10" t="s">
        <v>907</v>
      </c>
      <c r="D511" s="10" t="s">
        <v>302</v>
      </c>
      <c r="E511" s="10" t="s">
        <v>289</v>
      </c>
      <c r="F511" s="12">
        <v>3</v>
      </c>
      <c r="G511" s="12">
        <v>2210</v>
      </c>
      <c r="H511" s="12">
        <v>11.1</v>
      </c>
      <c r="I511" s="12">
        <v>5894.07</v>
      </c>
      <c r="J511" s="10" t="s">
        <v>51</v>
      </c>
      <c r="K511" s="10" t="s">
        <v>97</v>
      </c>
      <c r="L511" t="str">
        <f>IFERROR(VLOOKUP(D511,Products!A:F,3,0),"")</f>
        <v>Grocery</v>
      </c>
      <c r="M511" t="str">
        <f>IFERROR(VLOOKUP(E511,Sales_Reps!A:E,3,0),"")</f>
        <v>South</v>
      </c>
      <c r="N511" t="str">
        <f>IFERROR(VLOOKUP(C511,Customers!A:F,5,0),"")</f>
        <v>Corporate</v>
      </c>
      <c r="O511">
        <f>IFERROR(VLOOKUP(C511,Customers!A:F,3,0),"")</f>
        <v>54</v>
      </c>
      <c r="P511">
        <f>IFERROR(VLOOKUP(D511,Products!A:F,4,0),"")</f>
        <v>1010</v>
      </c>
      <c r="Q511" t="b">
        <f>IFERROR(VLOOKUP(D511,Products!A:F,6,0),"")</f>
        <v>1</v>
      </c>
      <c r="R511">
        <f t="shared" si="21"/>
        <v>0.54298642533936647</v>
      </c>
      <c r="S511">
        <f t="shared" si="22"/>
        <v>1</v>
      </c>
      <c r="T511">
        <f>IF(AND(S511&gt;1,COUNTIF($A$2:A511,A511)=1),1,0)</f>
        <v>0</v>
      </c>
      <c r="U511">
        <f>COUNTIF(Customers!$A$2:$A$301,C511)</f>
        <v>1</v>
      </c>
      <c r="V511">
        <f t="shared" si="23"/>
        <v>0</v>
      </c>
    </row>
    <row r="512" spans="1:22" ht="14.25" customHeight="1" x14ac:dyDescent="0.35">
      <c r="A512" s="10" t="s">
        <v>908</v>
      </c>
      <c r="B512" s="11">
        <v>45406</v>
      </c>
      <c r="C512" s="10" t="s">
        <v>909</v>
      </c>
      <c r="D512" s="10" t="s">
        <v>131</v>
      </c>
      <c r="E512" s="10" t="s">
        <v>56</v>
      </c>
      <c r="F512" s="12">
        <v>10</v>
      </c>
      <c r="G512" s="12">
        <v>2480</v>
      </c>
      <c r="H512" s="12">
        <v>13</v>
      </c>
      <c r="I512" s="12">
        <v>21576</v>
      </c>
      <c r="J512" s="10" t="s">
        <v>57</v>
      </c>
      <c r="K512" s="10" t="s">
        <v>52</v>
      </c>
      <c r="L512" t="str">
        <f>IFERROR(VLOOKUP(D512,Products!A:F,3,0),"")</f>
        <v>Apparel</v>
      </c>
      <c r="M512" t="str">
        <f>IFERROR(VLOOKUP(E512,Sales_Reps!A:E,3,0),"")</f>
        <v>North</v>
      </c>
      <c r="N512" t="str">
        <f>IFERROR(VLOOKUP(C512,Customers!A:F,5,0),"")</f>
        <v>Retail</v>
      </c>
      <c r="O512">
        <f>IFERROR(VLOOKUP(C512,Customers!A:F,3,0),"")</f>
        <v>54</v>
      </c>
      <c r="P512">
        <f>IFERROR(VLOOKUP(D512,Products!A:F,4,0),"")</f>
        <v>1173</v>
      </c>
      <c r="Q512" t="b">
        <f>IFERROR(VLOOKUP(D512,Products!A:F,6,0),"")</f>
        <v>1</v>
      </c>
      <c r="R512">
        <f t="shared" si="21"/>
        <v>0.52701612903225803</v>
      </c>
      <c r="S512">
        <f t="shared" si="22"/>
        <v>1</v>
      </c>
      <c r="T512">
        <f>IF(AND(S512&gt;1,COUNTIF($A$2:A512,A512)=1),1,0)</f>
        <v>0</v>
      </c>
      <c r="U512">
        <f>COUNTIF(Customers!$A$2:$A$301,C512)</f>
        <v>1</v>
      </c>
      <c r="V512">
        <f t="shared" si="23"/>
        <v>0</v>
      </c>
    </row>
    <row r="513" spans="1:22" ht="14.25" customHeight="1" x14ac:dyDescent="0.35">
      <c r="A513" s="10" t="s">
        <v>910</v>
      </c>
      <c r="B513" s="11">
        <v>45629</v>
      </c>
      <c r="C513" s="10" t="s">
        <v>65</v>
      </c>
      <c r="D513" s="10" t="s">
        <v>328</v>
      </c>
      <c r="E513" s="10" t="s">
        <v>118</v>
      </c>
      <c r="F513" s="12">
        <v>10</v>
      </c>
      <c r="G513" s="12">
        <v>5330</v>
      </c>
      <c r="H513" s="12">
        <v>0.7</v>
      </c>
      <c r="I513" s="12">
        <v>52926.9</v>
      </c>
      <c r="J513" s="10" t="s">
        <v>51</v>
      </c>
      <c r="K513" s="10" t="s">
        <v>63</v>
      </c>
      <c r="L513" t="str">
        <f>IFERROR(VLOOKUP(D513,Products!A:F,3,0),"")</f>
        <v>Electronics</v>
      </c>
      <c r="M513" t="str">
        <f>IFERROR(VLOOKUP(E513,Sales_Reps!A:E,3,0),"")</f>
        <v>East</v>
      </c>
      <c r="N513" t="str">
        <f>IFERROR(VLOOKUP(C513,Customers!A:F,5,0),"")</f>
        <v>Corporate</v>
      </c>
      <c r="O513">
        <f>IFERROR(VLOOKUP(C513,Customers!A:F,3,0),"")</f>
        <v>46</v>
      </c>
      <c r="P513">
        <f>IFERROR(VLOOKUP(D513,Products!A:F,4,0),"")</f>
        <v>2405</v>
      </c>
      <c r="Q513" t="b">
        <f>IFERROR(VLOOKUP(D513,Products!A:F,6,0),"")</f>
        <v>1</v>
      </c>
      <c r="R513">
        <f t="shared" si="21"/>
        <v>0.54878048780487809</v>
      </c>
      <c r="S513">
        <f t="shared" si="22"/>
        <v>1</v>
      </c>
      <c r="T513">
        <f>IF(AND(S513&gt;1,COUNTIF($A$2:A513,A513)=1),1,0)</f>
        <v>0</v>
      </c>
      <c r="U513">
        <f>COUNTIF(Customers!$A$2:$A$301,C513)</f>
        <v>1</v>
      </c>
      <c r="V513">
        <f t="shared" si="23"/>
        <v>0</v>
      </c>
    </row>
    <row r="514" spans="1:22" ht="14.25" customHeight="1" x14ac:dyDescent="0.35">
      <c r="A514" s="10" t="s">
        <v>911</v>
      </c>
      <c r="B514" s="11">
        <v>45612</v>
      </c>
      <c r="C514" s="10" t="s">
        <v>912</v>
      </c>
      <c r="D514" s="10" t="s">
        <v>228</v>
      </c>
      <c r="E514" s="10" t="s">
        <v>289</v>
      </c>
      <c r="F514" s="12">
        <v>9</v>
      </c>
      <c r="G514" s="12">
        <v>4070</v>
      </c>
      <c r="H514" s="12">
        <v>15.6</v>
      </c>
      <c r="I514" s="12">
        <v>30915.72</v>
      </c>
      <c r="J514" s="10" t="s">
        <v>51</v>
      </c>
      <c r="K514" s="10" t="s">
        <v>52</v>
      </c>
      <c r="L514" t="str">
        <f>IFERROR(VLOOKUP(D514,Products!A:F,3,0),"")</f>
        <v>Grocery</v>
      </c>
      <c r="M514" t="str">
        <f>IFERROR(VLOOKUP(E514,Sales_Reps!A:E,3,0),"")</f>
        <v>South</v>
      </c>
      <c r="N514" t="str">
        <f>IFERROR(VLOOKUP(C514,Customers!A:F,5,0),"")</f>
        <v>Retail</v>
      </c>
      <c r="O514">
        <f>IFERROR(VLOOKUP(C514,Customers!A:F,3,0),"")</f>
        <v>65</v>
      </c>
      <c r="P514">
        <f>IFERROR(VLOOKUP(D514,Products!A:F,4,0),"")</f>
        <v>2027</v>
      </c>
      <c r="Q514" t="b">
        <f>IFERROR(VLOOKUP(D514,Products!A:F,6,0),"")</f>
        <v>1</v>
      </c>
      <c r="R514">
        <f t="shared" ref="R514:R577" si="24">IFERROR((G514-P514)/G514,"")</f>
        <v>0.50196560196560192</v>
      </c>
      <c r="S514">
        <f t="shared" ref="S514:S577" si="25">COUNTIF($A$2:$A$2001,A514)</f>
        <v>1</v>
      </c>
      <c r="T514">
        <f>IF(AND(S514&gt;1,COUNTIF($A$2:A514,A514)=1),1,0)</f>
        <v>0</v>
      </c>
      <c r="U514">
        <f>COUNTIF(Customers!$A$2:$A$301,C514)</f>
        <v>1</v>
      </c>
      <c r="V514">
        <f t="shared" ref="V514:V577" si="26">IF(AND(K514="Bengaluru",L514="Grocery"),I514,0)</f>
        <v>0</v>
      </c>
    </row>
    <row r="515" spans="1:22" ht="14.25" customHeight="1" x14ac:dyDescent="0.35">
      <c r="A515" s="10" t="s">
        <v>913</v>
      </c>
      <c r="B515" s="11">
        <v>45613</v>
      </c>
      <c r="C515" s="10" t="s">
        <v>787</v>
      </c>
      <c r="D515" s="10" t="s">
        <v>137</v>
      </c>
      <c r="E515" s="10" t="s">
        <v>179</v>
      </c>
      <c r="F515" s="12">
        <v>5</v>
      </c>
      <c r="G515" s="12">
        <v>2720</v>
      </c>
      <c r="H515" s="12">
        <v>10.3</v>
      </c>
      <c r="I515" s="12">
        <v>12199.2</v>
      </c>
      <c r="J515" s="10" t="s">
        <v>104</v>
      </c>
      <c r="K515" s="10" t="s">
        <v>58</v>
      </c>
      <c r="L515" t="str">
        <f>IFERROR(VLOOKUP(D515,Products!A:F,3,0),"")</f>
        <v>Apparel</v>
      </c>
      <c r="M515" t="str">
        <f>IFERROR(VLOOKUP(E515,Sales_Reps!A:E,3,0),"")</f>
        <v>North</v>
      </c>
      <c r="N515" t="str">
        <f>IFERROR(VLOOKUP(C515,Customers!A:F,5,0),"")</f>
        <v>Retail</v>
      </c>
      <c r="O515">
        <f>IFERROR(VLOOKUP(C515,Customers!A:F,3,0),"")</f>
        <v>32</v>
      </c>
      <c r="P515">
        <f>IFERROR(VLOOKUP(D515,Products!A:F,4,0),"")</f>
        <v>1962</v>
      </c>
      <c r="Q515" t="b">
        <f>IFERROR(VLOOKUP(D515,Products!A:F,6,0),"")</f>
        <v>1</v>
      </c>
      <c r="R515">
        <f t="shared" si="24"/>
        <v>0.2786764705882353</v>
      </c>
      <c r="S515">
        <f t="shared" si="25"/>
        <v>1</v>
      </c>
      <c r="T515">
        <f>IF(AND(S515&gt;1,COUNTIF($A$2:A515,A515)=1),1,0)</f>
        <v>0</v>
      </c>
      <c r="U515">
        <f>COUNTIF(Customers!$A$2:$A$301,C515)</f>
        <v>1</v>
      </c>
      <c r="V515">
        <f t="shared" si="26"/>
        <v>0</v>
      </c>
    </row>
    <row r="516" spans="1:22" ht="14.25" customHeight="1" x14ac:dyDescent="0.35">
      <c r="A516" s="10" t="s">
        <v>914</v>
      </c>
      <c r="B516" s="11">
        <v>45484</v>
      </c>
      <c r="C516" s="10" t="s">
        <v>721</v>
      </c>
      <c r="D516" s="10" t="s">
        <v>159</v>
      </c>
      <c r="E516" s="10" t="s">
        <v>193</v>
      </c>
      <c r="F516" s="12">
        <v>6</v>
      </c>
      <c r="G516" s="12">
        <v>2860</v>
      </c>
      <c r="H516" s="12">
        <v>28.9</v>
      </c>
      <c r="I516" s="12">
        <v>12200.76</v>
      </c>
      <c r="J516" s="10" t="s">
        <v>51</v>
      </c>
      <c r="K516" s="10" t="s">
        <v>81</v>
      </c>
      <c r="L516" t="str">
        <f>IFERROR(VLOOKUP(D516,Products!A:F,3,0),"")</f>
        <v>Sports</v>
      </c>
      <c r="M516" t="str">
        <f>IFERROR(VLOOKUP(E516,Sales_Reps!A:E,3,0),"")</f>
        <v>West</v>
      </c>
      <c r="N516" t="str">
        <f>IFERROR(VLOOKUP(C516,Customers!A:F,5,0),"")</f>
        <v>Corporate</v>
      </c>
      <c r="O516">
        <f>IFERROR(VLOOKUP(C516,Customers!A:F,3,0),"")</f>
        <v>43</v>
      </c>
      <c r="P516">
        <f>IFERROR(VLOOKUP(D516,Products!A:F,4,0),"")</f>
        <v>2028</v>
      </c>
      <c r="Q516" t="b">
        <f>IFERROR(VLOOKUP(D516,Products!A:F,6,0),"")</f>
        <v>1</v>
      </c>
      <c r="R516">
        <f t="shared" si="24"/>
        <v>0.29090909090909089</v>
      </c>
      <c r="S516">
        <f t="shared" si="25"/>
        <v>1</v>
      </c>
      <c r="T516">
        <f>IF(AND(S516&gt;1,COUNTIF($A$2:A516,A516)=1),1,0)</f>
        <v>0</v>
      </c>
      <c r="U516">
        <f>COUNTIF(Customers!$A$2:$A$301,C516)</f>
        <v>1</v>
      </c>
      <c r="V516">
        <f t="shared" si="26"/>
        <v>0</v>
      </c>
    </row>
    <row r="517" spans="1:22" ht="14.25" customHeight="1" x14ac:dyDescent="0.35">
      <c r="A517" s="10" t="s">
        <v>915</v>
      </c>
      <c r="B517" s="11">
        <v>45656</v>
      </c>
      <c r="C517" s="10" t="s">
        <v>916</v>
      </c>
      <c r="D517" s="10" t="s">
        <v>49</v>
      </c>
      <c r="E517" s="10" t="s">
        <v>289</v>
      </c>
      <c r="F517" s="12">
        <v>5</v>
      </c>
      <c r="G517" s="12">
        <v>3620</v>
      </c>
      <c r="H517" s="12">
        <v>18.2</v>
      </c>
      <c r="I517" s="12">
        <v>14805.8</v>
      </c>
      <c r="J517" s="10" t="s">
        <v>51</v>
      </c>
      <c r="K517" s="10" t="s">
        <v>97</v>
      </c>
      <c r="L517" t="str">
        <f>IFERROR(VLOOKUP(D517,Products!A:F,3,0),"")</f>
        <v>Apparel</v>
      </c>
      <c r="M517" t="str">
        <f>IFERROR(VLOOKUP(E517,Sales_Reps!A:E,3,0),"")</f>
        <v>South</v>
      </c>
      <c r="N517" t="str">
        <f>IFERROR(VLOOKUP(C517,Customers!A:F,5,0),"")</f>
        <v>Retail</v>
      </c>
      <c r="O517">
        <f>IFERROR(VLOOKUP(C517,Customers!A:F,3,0),"")</f>
        <v>35</v>
      </c>
      <c r="P517">
        <f>IFERROR(VLOOKUP(D517,Products!A:F,4,0),"")</f>
        <v>2509</v>
      </c>
      <c r="Q517" t="b">
        <f>IFERROR(VLOOKUP(D517,Products!A:F,6,0),"")</f>
        <v>1</v>
      </c>
      <c r="R517">
        <f t="shared" si="24"/>
        <v>0.3069060773480663</v>
      </c>
      <c r="S517">
        <f t="shared" si="25"/>
        <v>1</v>
      </c>
      <c r="T517">
        <f>IF(AND(S517&gt;1,COUNTIF($A$2:A517,A517)=1),1,0)</f>
        <v>0</v>
      </c>
      <c r="U517">
        <f>COUNTIF(Customers!$A$2:$A$301,C517)</f>
        <v>1</v>
      </c>
      <c r="V517">
        <f t="shared" si="26"/>
        <v>0</v>
      </c>
    </row>
    <row r="518" spans="1:22" ht="14.25" customHeight="1" x14ac:dyDescent="0.35">
      <c r="A518" s="10" t="s">
        <v>917</v>
      </c>
      <c r="B518" s="11">
        <v>45432</v>
      </c>
      <c r="C518" s="10" t="s">
        <v>117</v>
      </c>
      <c r="D518" s="10" t="s">
        <v>140</v>
      </c>
      <c r="E518" s="10" t="s">
        <v>267</v>
      </c>
      <c r="F518" s="12">
        <v>3</v>
      </c>
      <c r="G518" s="12">
        <v>1650</v>
      </c>
      <c r="H518" s="12">
        <v>10.7</v>
      </c>
      <c r="I518" s="12">
        <v>4420.3500000000004</v>
      </c>
      <c r="J518" s="10" t="s">
        <v>51</v>
      </c>
      <c r="K518" s="10" t="s">
        <v>81</v>
      </c>
      <c r="L518" t="str">
        <f>IFERROR(VLOOKUP(D518,Products!A:F,3,0),"")</f>
        <v>Beauty</v>
      </c>
      <c r="M518" t="str">
        <f>IFERROR(VLOOKUP(E518,Sales_Reps!A:E,3,0),"")</f>
        <v>East</v>
      </c>
      <c r="N518" t="str">
        <f>IFERROR(VLOOKUP(C518,Customers!A:F,5,0),"")</f>
        <v>SMB</v>
      </c>
      <c r="O518">
        <f>IFERROR(VLOOKUP(C518,Customers!A:F,3,0),"")</f>
        <v>46</v>
      </c>
      <c r="P518">
        <f>IFERROR(VLOOKUP(D518,Products!A:F,4,0),"")</f>
        <v>1222</v>
      </c>
      <c r="Q518" t="b">
        <f>IFERROR(VLOOKUP(D518,Products!A:F,6,0),"")</f>
        <v>1</v>
      </c>
      <c r="R518">
        <f t="shared" si="24"/>
        <v>0.2593939393939394</v>
      </c>
      <c r="S518">
        <f t="shared" si="25"/>
        <v>1</v>
      </c>
      <c r="T518">
        <f>IF(AND(S518&gt;1,COUNTIF($A$2:A518,A518)=1),1,0)</f>
        <v>0</v>
      </c>
      <c r="U518">
        <f>COUNTIF(Customers!$A$2:$A$301,C518)</f>
        <v>1</v>
      </c>
      <c r="V518">
        <f t="shared" si="26"/>
        <v>0</v>
      </c>
    </row>
    <row r="519" spans="1:22" ht="14.25" customHeight="1" x14ac:dyDescent="0.35">
      <c r="A519" s="10" t="s">
        <v>918</v>
      </c>
      <c r="B519" s="11">
        <v>45495</v>
      </c>
      <c r="C519" s="10" t="s">
        <v>508</v>
      </c>
      <c r="D519" s="10" t="s">
        <v>111</v>
      </c>
      <c r="E519" s="10" t="s">
        <v>193</v>
      </c>
      <c r="F519" s="12">
        <v>8</v>
      </c>
      <c r="G519" s="12">
        <v>190</v>
      </c>
      <c r="H519" s="12">
        <v>18</v>
      </c>
      <c r="I519" s="12">
        <v>1246.4000000000001</v>
      </c>
      <c r="J519" s="10" t="s">
        <v>57</v>
      </c>
      <c r="K519" s="10" t="s">
        <v>97</v>
      </c>
      <c r="L519" t="str">
        <f>IFERROR(VLOOKUP(D519,Products!A:F,3,0),"")</f>
        <v>Sports</v>
      </c>
      <c r="M519" t="str">
        <f>IFERROR(VLOOKUP(E519,Sales_Reps!A:E,3,0),"")</f>
        <v>West</v>
      </c>
      <c r="N519" t="str">
        <f>IFERROR(VLOOKUP(C519,Customers!A:F,5,0),"")</f>
        <v>Retail</v>
      </c>
      <c r="O519">
        <f>IFERROR(VLOOKUP(C519,Customers!A:F,3,0),"")</f>
        <v>25</v>
      </c>
      <c r="P519">
        <f>IFERROR(VLOOKUP(D519,Products!A:F,4,0),"")</f>
        <v>147</v>
      </c>
      <c r="Q519" t="b">
        <f>IFERROR(VLOOKUP(D519,Products!A:F,6,0),"")</f>
        <v>1</v>
      </c>
      <c r="R519">
        <f t="shared" si="24"/>
        <v>0.22631578947368422</v>
      </c>
      <c r="S519">
        <f t="shared" si="25"/>
        <v>1</v>
      </c>
      <c r="T519">
        <f>IF(AND(S519&gt;1,COUNTIF($A$2:A519,A519)=1),1,0)</f>
        <v>0</v>
      </c>
      <c r="U519">
        <f>COUNTIF(Customers!$A$2:$A$301,C519)</f>
        <v>1</v>
      </c>
      <c r="V519">
        <f t="shared" si="26"/>
        <v>0</v>
      </c>
    </row>
    <row r="520" spans="1:22" ht="14.25" customHeight="1" x14ac:dyDescent="0.35">
      <c r="A520" s="10" t="s">
        <v>919</v>
      </c>
      <c r="B520" s="11">
        <v>45443</v>
      </c>
      <c r="C520" s="10" t="s">
        <v>920</v>
      </c>
      <c r="D520" s="10" t="s">
        <v>350</v>
      </c>
      <c r="E520" s="10" t="s">
        <v>193</v>
      </c>
      <c r="F520" s="12">
        <v>7</v>
      </c>
      <c r="G520" s="12">
        <v>2290</v>
      </c>
      <c r="H520" s="12">
        <v>12.5</v>
      </c>
      <c r="I520" s="12">
        <v>14026.25</v>
      </c>
      <c r="J520" s="10" t="s">
        <v>51</v>
      </c>
      <c r="K520" s="10" t="s">
        <v>76</v>
      </c>
      <c r="L520" t="str">
        <f>IFERROR(VLOOKUP(D520,Products!A:F,3,0),"")</f>
        <v>Beauty</v>
      </c>
      <c r="M520" t="str">
        <f>IFERROR(VLOOKUP(E520,Sales_Reps!A:E,3,0),"")</f>
        <v>West</v>
      </c>
      <c r="N520" t="str">
        <f>IFERROR(VLOOKUP(C520,Customers!A:F,5,0),"")</f>
        <v>Retail</v>
      </c>
      <c r="O520">
        <f>IFERROR(VLOOKUP(C520,Customers!A:F,3,0),"")</f>
        <v>49</v>
      </c>
      <c r="P520">
        <f>IFERROR(VLOOKUP(D520,Products!A:F,4,0),"")</f>
        <v>1219</v>
      </c>
      <c r="Q520" t="b">
        <f>IFERROR(VLOOKUP(D520,Products!A:F,6,0),"")</f>
        <v>1</v>
      </c>
      <c r="R520">
        <f t="shared" si="24"/>
        <v>0.46768558951965067</v>
      </c>
      <c r="S520">
        <f t="shared" si="25"/>
        <v>1</v>
      </c>
      <c r="T520">
        <f>IF(AND(S520&gt;1,COUNTIF($A$2:A520,A520)=1),1,0)</f>
        <v>0</v>
      </c>
      <c r="U520">
        <f>COUNTIF(Customers!$A$2:$A$301,C520)</f>
        <v>1</v>
      </c>
      <c r="V520">
        <f t="shared" si="26"/>
        <v>0</v>
      </c>
    </row>
    <row r="521" spans="1:22" ht="14.25" customHeight="1" x14ac:dyDescent="0.35">
      <c r="A521" s="10" t="s">
        <v>921</v>
      </c>
      <c r="B521" s="11">
        <v>45638</v>
      </c>
      <c r="C521" s="10" t="s">
        <v>150</v>
      </c>
      <c r="D521" s="10" t="s">
        <v>328</v>
      </c>
      <c r="E521" s="10" t="s">
        <v>202</v>
      </c>
      <c r="F521" s="12">
        <v>2</v>
      </c>
      <c r="G521" s="12">
        <v>5330</v>
      </c>
      <c r="H521" s="12">
        <v>26.5</v>
      </c>
      <c r="I521" s="12">
        <v>7835.1</v>
      </c>
      <c r="J521" s="10" t="s">
        <v>51</v>
      </c>
      <c r="K521" s="10" t="s">
        <v>58</v>
      </c>
      <c r="L521" t="str">
        <f>IFERROR(VLOOKUP(D521,Products!A:F,3,0),"")</f>
        <v>Electronics</v>
      </c>
      <c r="M521" t="str">
        <f>IFERROR(VLOOKUP(E521,Sales_Reps!A:E,3,0),"")</f>
        <v>East</v>
      </c>
      <c r="N521" t="str">
        <f>IFERROR(VLOOKUP(C521,Customers!A:F,5,0),"")</f>
        <v>SMB</v>
      </c>
      <c r="O521">
        <f>IFERROR(VLOOKUP(C521,Customers!A:F,3,0),"")</f>
        <v>52</v>
      </c>
      <c r="P521">
        <f>IFERROR(VLOOKUP(D521,Products!A:F,4,0),"")</f>
        <v>2405</v>
      </c>
      <c r="Q521" t="b">
        <f>IFERROR(VLOOKUP(D521,Products!A:F,6,0),"")</f>
        <v>1</v>
      </c>
      <c r="R521">
        <f t="shared" si="24"/>
        <v>0.54878048780487809</v>
      </c>
      <c r="S521">
        <f t="shared" si="25"/>
        <v>1</v>
      </c>
      <c r="T521">
        <f>IF(AND(S521&gt;1,COUNTIF($A$2:A521,A521)=1),1,0)</f>
        <v>0</v>
      </c>
      <c r="U521">
        <f>COUNTIF(Customers!$A$2:$A$301,C521)</f>
        <v>1</v>
      </c>
      <c r="V521">
        <f t="shared" si="26"/>
        <v>0</v>
      </c>
    </row>
    <row r="522" spans="1:22" ht="14.25" customHeight="1" x14ac:dyDescent="0.35">
      <c r="A522" s="10" t="s">
        <v>922</v>
      </c>
      <c r="B522" s="11">
        <v>45476</v>
      </c>
      <c r="C522" s="10" t="s">
        <v>923</v>
      </c>
      <c r="D522" s="10" t="s">
        <v>328</v>
      </c>
      <c r="E522" s="10" t="s">
        <v>152</v>
      </c>
      <c r="F522" s="12">
        <v>4</v>
      </c>
      <c r="G522" s="12">
        <v>5330</v>
      </c>
      <c r="H522" s="12">
        <v>25.6</v>
      </c>
      <c r="I522" s="12">
        <v>15862.08</v>
      </c>
      <c r="J522" s="10" t="s">
        <v>51</v>
      </c>
      <c r="K522" s="10" t="s">
        <v>76</v>
      </c>
      <c r="L522" t="str">
        <f>IFERROR(VLOOKUP(D522,Products!A:F,3,0),"")</f>
        <v>Electronics</v>
      </c>
      <c r="M522" t="str">
        <f>IFERROR(VLOOKUP(E522,Sales_Reps!A:E,3,0),"")</f>
        <v>South</v>
      </c>
      <c r="N522" t="str">
        <f>IFERROR(VLOOKUP(C522,Customers!A:F,5,0),"")</f>
        <v>SMB</v>
      </c>
      <c r="O522">
        <f>IFERROR(VLOOKUP(C522,Customers!A:F,3,0),"")</f>
        <v>65</v>
      </c>
      <c r="P522">
        <f>IFERROR(VLOOKUP(D522,Products!A:F,4,0),"")</f>
        <v>2405</v>
      </c>
      <c r="Q522" t="b">
        <f>IFERROR(VLOOKUP(D522,Products!A:F,6,0),"")</f>
        <v>1</v>
      </c>
      <c r="R522">
        <f t="shared" si="24"/>
        <v>0.54878048780487809</v>
      </c>
      <c r="S522">
        <f t="shared" si="25"/>
        <v>1</v>
      </c>
      <c r="T522">
        <f>IF(AND(S522&gt;1,COUNTIF($A$2:A522,A522)=1),1,0)</f>
        <v>0</v>
      </c>
      <c r="U522">
        <f>COUNTIF(Customers!$A$2:$A$301,C522)</f>
        <v>1</v>
      </c>
      <c r="V522">
        <f t="shared" si="26"/>
        <v>0</v>
      </c>
    </row>
    <row r="523" spans="1:22" ht="14.25" customHeight="1" x14ac:dyDescent="0.35">
      <c r="A523" s="10" t="s">
        <v>924</v>
      </c>
      <c r="B523" s="11">
        <v>45566</v>
      </c>
      <c r="C523" s="10" t="s">
        <v>253</v>
      </c>
      <c r="D523" s="10" t="s">
        <v>407</v>
      </c>
      <c r="E523" s="10" t="s">
        <v>67</v>
      </c>
      <c r="F523" s="12">
        <v>4</v>
      </c>
      <c r="G523" s="12">
        <v>5080</v>
      </c>
      <c r="H523" s="12">
        <v>28.6</v>
      </c>
      <c r="I523" s="12">
        <v>14508.48</v>
      </c>
      <c r="J523" s="10" t="s">
        <v>51</v>
      </c>
      <c r="K523" s="10" t="s">
        <v>58</v>
      </c>
      <c r="L523" t="str">
        <f>IFERROR(VLOOKUP(D523,Products!A:F,3,0),"")</f>
        <v>Home</v>
      </c>
      <c r="M523" t="str">
        <f>IFERROR(VLOOKUP(E523,Sales_Reps!A:E,3,0),"")</f>
        <v>North</v>
      </c>
      <c r="N523" t="str">
        <f>IFERROR(VLOOKUP(C523,Customers!A:F,5,0),"")</f>
        <v>Retail</v>
      </c>
      <c r="O523">
        <f>IFERROR(VLOOKUP(C523,Customers!A:F,3,0),"")</f>
        <v>38</v>
      </c>
      <c r="P523">
        <f>IFERROR(VLOOKUP(D523,Products!A:F,4,0),"")</f>
        <v>2459</v>
      </c>
      <c r="Q523" t="b">
        <f>IFERROR(VLOOKUP(D523,Products!A:F,6,0),"")</f>
        <v>1</v>
      </c>
      <c r="R523">
        <f t="shared" si="24"/>
        <v>0.51594488188976373</v>
      </c>
      <c r="S523">
        <f t="shared" si="25"/>
        <v>1</v>
      </c>
      <c r="T523">
        <f>IF(AND(S523&gt;1,COUNTIF($A$2:A523,A523)=1),1,0)</f>
        <v>0</v>
      </c>
      <c r="U523">
        <f>COUNTIF(Customers!$A$2:$A$301,C523)</f>
        <v>1</v>
      </c>
      <c r="V523">
        <f t="shared" si="26"/>
        <v>0</v>
      </c>
    </row>
    <row r="524" spans="1:22" ht="14.25" customHeight="1" x14ac:dyDescent="0.35">
      <c r="A524" s="10" t="s">
        <v>925</v>
      </c>
      <c r="B524" s="11">
        <v>45392</v>
      </c>
      <c r="C524" s="10" t="s">
        <v>443</v>
      </c>
      <c r="D524" s="10" t="s">
        <v>74</v>
      </c>
      <c r="E524" s="10" t="s">
        <v>261</v>
      </c>
      <c r="F524" s="12">
        <v>4</v>
      </c>
      <c r="G524" s="12">
        <v>370</v>
      </c>
      <c r="H524" s="12">
        <v>12.6</v>
      </c>
      <c r="I524" s="12">
        <v>1293.52</v>
      </c>
      <c r="J524" s="10" t="s">
        <v>57</v>
      </c>
      <c r="K524" s="10" t="s">
        <v>52</v>
      </c>
      <c r="L524" t="str">
        <f>IFERROR(VLOOKUP(D524,Products!A:F,3,0),"")</f>
        <v>Home</v>
      </c>
      <c r="M524" t="str">
        <f>IFERROR(VLOOKUP(E524,Sales_Reps!A:E,3,0),"")</f>
        <v>North</v>
      </c>
      <c r="N524" t="str">
        <f>IFERROR(VLOOKUP(C524,Customers!A:F,5,0),"")</f>
        <v>SMB</v>
      </c>
      <c r="O524">
        <f>IFERROR(VLOOKUP(C524,Customers!A:F,3,0),"")</f>
        <v>49</v>
      </c>
      <c r="P524">
        <f>IFERROR(VLOOKUP(D524,Products!A:F,4,0),"")</f>
        <v>288</v>
      </c>
      <c r="Q524" t="b">
        <f>IFERROR(VLOOKUP(D524,Products!A:F,6,0),"")</f>
        <v>1</v>
      </c>
      <c r="R524">
        <f t="shared" si="24"/>
        <v>0.22162162162162163</v>
      </c>
      <c r="S524">
        <f t="shared" si="25"/>
        <v>1</v>
      </c>
      <c r="T524">
        <f>IF(AND(S524&gt;1,COUNTIF($A$2:A524,A524)=1),1,0)</f>
        <v>0</v>
      </c>
      <c r="U524">
        <f>COUNTIF(Customers!$A$2:$A$301,C524)</f>
        <v>1</v>
      </c>
      <c r="V524">
        <f t="shared" si="26"/>
        <v>0</v>
      </c>
    </row>
    <row r="525" spans="1:22" ht="14.25" customHeight="1" x14ac:dyDescent="0.35">
      <c r="A525" s="10" t="s">
        <v>926</v>
      </c>
      <c r="B525" s="11">
        <v>45561</v>
      </c>
      <c r="C525" s="10" t="s">
        <v>927</v>
      </c>
      <c r="D525" s="10" t="s">
        <v>61</v>
      </c>
      <c r="E525" s="10" t="s">
        <v>216</v>
      </c>
      <c r="F525" s="12">
        <v>9</v>
      </c>
      <c r="G525" s="12">
        <v>470</v>
      </c>
      <c r="H525" s="12">
        <v>3.6</v>
      </c>
      <c r="I525" s="12">
        <v>4077.72</v>
      </c>
      <c r="J525" s="10" t="s">
        <v>51</v>
      </c>
      <c r="K525" s="10" t="s">
        <v>58</v>
      </c>
      <c r="L525" t="str">
        <f>IFERROR(VLOOKUP(D525,Products!A:F,3,0),"")</f>
        <v>Sports</v>
      </c>
      <c r="M525" t="str">
        <f>IFERROR(VLOOKUP(E525,Sales_Reps!A:E,3,0),"")</f>
        <v>South</v>
      </c>
      <c r="N525" t="str">
        <f>IFERROR(VLOOKUP(C525,Customers!A:F,5,0),"")</f>
        <v>Retail</v>
      </c>
      <c r="O525">
        <f>IFERROR(VLOOKUP(C525,Customers!A:F,3,0),"")</f>
        <v>31</v>
      </c>
      <c r="P525">
        <f>IFERROR(VLOOKUP(D525,Products!A:F,4,0),"")</f>
        <v>302</v>
      </c>
      <c r="Q525" t="b">
        <f>IFERROR(VLOOKUP(D525,Products!A:F,6,0),"")</f>
        <v>0</v>
      </c>
      <c r="R525">
        <f t="shared" si="24"/>
        <v>0.35744680851063831</v>
      </c>
      <c r="S525">
        <f t="shared" si="25"/>
        <v>1</v>
      </c>
      <c r="T525">
        <f>IF(AND(S525&gt;1,COUNTIF($A$2:A525,A525)=1),1,0)</f>
        <v>0</v>
      </c>
      <c r="U525">
        <f>COUNTIF(Customers!$A$2:$A$301,C525)</f>
        <v>1</v>
      </c>
      <c r="V525">
        <f t="shared" si="26"/>
        <v>0</v>
      </c>
    </row>
    <row r="526" spans="1:22" ht="14.25" customHeight="1" x14ac:dyDescent="0.35">
      <c r="A526" s="10" t="s">
        <v>928</v>
      </c>
      <c r="B526" s="11">
        <v>45634</v>
      </c>
      <c r="C526" s="10" t="s">
        <v>607</v>
      </c>
      <c r="D526" s="10" t="s">
        <v>324</v>
      </c>
      <c r="E526" s="10" t="s">
        <v>307</v>
      </c>
      <c r="F526" s="12">
        <v>4</v>
      </c>
      <c r="G526" s="12">
        <v>5410</v>
      </c>
      <c r="H526" s="12">
        <v>11.3</v>
      </c>
      <c r="I526" s="12">
        <v>19194.68</v>
      </c>
      <c r="J526" s="10" t="s">
        <v>108</v>
      </c>
      <c r="K526" s="10" t="s">
        <v>76</v>
      </c>
      <c r="L526" t="str">
        <f>IFERROR(VLOOKUP(D526,Products!A:F,3,0),"")</f>
        <v>Sports</v>
      </c>
      <c r="M526" t="str">
        <f>IFERROR(VLOOKUP(E526,Sales_Reps!A:E,3,0),"")</f>
        <v>West</v>
      </c>
      <c r="N526" t="str">
        <f>IFERROR(VLOOKUP(C526,Customers!A:F,5,0),"")</f>
        <v>SMB</v>
      </c>
      <c r="O526">
        <f>IFERROR(VLOOKUP(C526,Customers!A:F,3,0),"")</f>
        <v>27</v>
      </c>
      <c r="P526">
        <f>IFERROR(VLOOKUP(D526,Products!A:F,4,0),"")</f>
        <v>2265</v>
      </c>
      <c r="Q526" t="b">
        <f>IFERROR(VLOOKUP(D526,Products!A:F,6,0),"")</f>
        <v>1</v>
      </c>
      <c r="R526">
        <f t="shared" si="24"/>
        <v>0.58133086876155271</v>
      </c>
      <c r="S526">
        <f t="shared" si="25"/>
        <v>1</v>
      </c>
      <c r="T526">
        <f>IF(AND(S526&gt;1,COUNTIF($A$2:A526,A526)=1),1,0)</f>
        <v>0</v>
      </c>
      <c r="U526">
        <f>COUNTIF(Customers!$A$2:$A$301,C526)</f>
        <v>1</v>
      </c>
      <c r="V526">
        <f t="shared" si="26"/>
        <v>0</v>
      </c>
    </row>
    <row r="527" spans="1:22" ht="14.25" customHeight="1" x14ac:dyDescent="0.35">
      <c r="A527" s="10" t="s">
        <v>929</v>
      </c>
      <c r="B527" s="11">
        <v>45311</v>
      </c>
      <c r="C527" s="10" t="s">
        <v>930</v>
      </c>
      <c r="D527" s="10" t="s">
        <v>49</v>
      </c>
      <c r="E527" s="10" t="s">
        <v>50</v>
      </c>
      <c r="F527" s="12">
        <v>10</v>
      </c>
      <c r="G527" s="12">
        <v>3620</v>
      </c>
      <c r="H527" s="12">
        <v>2.5</v>
      </c>
      <c r="I527" s="12">
        <v>35295</v>
      </c>
      <c r="J527" s="10" t="s">
        <v>51</v>
      </c>
      <c r="K527" s="10" t="s">
        <v>97</v>
      </c>
      <c r="L527" t="str">
        <f>IFERROR(VLOOKUP(D527,Products!A:F,3,0),"")</f>
        <v>Apparel</v>
      </c>
      <c r="M527" t="str">
        <f>IFERROR(VLOOKUP(E527,Sales_Reps!A:E,3,0),"")</f>
        <v>North</v>
      </c>
      <c r="N527" t="str">
        <f>IFERROR(VLOOKUP(C527,Customers!A:F,5,0),"")</f>
        <v>SMB</v>
      </c>
      <c r="O527">
        <f>IFERROR(VLOOKUP(C527,Customers!A:F,3,0),"")</f>
        <v>31</v>
      </c>
      <c r="P527">
        <f>IFERROR(VLOOKUP(D527,Products!A:F,4,0),"")</f>
        <v>2509</v>
      </c>
      <c r="Q527" t="b">
        <f>IFERROR(VLOOKUP(D527,Products!A:F,6,0),"")</f>
        <v>1</v>
      </c>
      <c r="R527">
        <f t="shared" si="24"/>
        <v>0.3069060773480663</v>
      </c>
      <c r="S527">
        <f t="shared" si="25"/>
        <v>1</v>
      </c>
      <c r="T527">
        <f>IF(AND(S527&gt;1,COUNTIF($A$2:A527,A527)=1),1,0)</f>
        <v>0</v>
      </c>
      <c r="U527">
        <f>COUNTIF(Customers!$A$2:$A$301,C527)</f>
        <v>1</v>
      </c>
      <c r="V527">
        <f t="shared" si="26"/>
        <v>0</v>
      </c>
    </row>
    <row r="528" spans="1:22" ht="14.25" customHeight="1" x14ac:dyDescent="0.35">
      <c r="A528" s="10" t="s">
        <v>931</v>
      </c>
      <c r="B528" s="11">
        <v>45380</v>
      </c>
      <c r="C528" s="10" t="s">
        <v>932</v>
      </c>
      <c r="D528" s="10" t="s">
        <v>164</v>
      </c>
      <c r="E528" s="10" t="s">
        <v>134</v>
      </c>
      <c r="F528" s="12">
        <v>1</v>
      </c>
      <c r="G528" s="12">
        <v>2760</v>
      </c>
      <c r="H528" s="12">
        <v>22.2</v>
      </c>
      <c r="I528" s="12">
        <v>2147.2800000000002</v>
      </c>
      <c r="J528" s="10" t="s">
        <v>51</v>
      </c>
      <c r="K528" s="10" t="s">
        <v>63</v>
      </c>
      <c r="L528" t="str">
        <f>IFERROR(VLOOKUP(D528,Products!A:F,3,0),"")</f>
        <v>Grocery</v>
      </c>
      <c r="M528" t="str">
        <f>IFERROR(VLOOKUP(E528,Sales_Reps!A:E,3,0),"")</f>
        <v>West</v>
      </c>
      <c r="N528" t="str">
        <f>IFERROR(VLOOKUP(C528,Customers!A:F,5,0),"")</f>
        <v>Retail</v>
      </c>
      <c r="O528">
        <f>IFERROR(VLOOKUP(C528,Customers!A:F,3,0),"")</f>
        <v>47</v>
      </c>
      <c r="P528">
        <f>IFERROR(VLOOKUP(D528,Products!A:F,4,0),"")</f>
        <v>1435</v>
      </c>
      <c r="Q528" t="b">
        <f>IFERROR(VLOOKUP(D528,Products!A:F,6,0),"")</f>
        <v>1</v>
      </c>
      <c r="R528">
        <f t="shared" si="24"/>
        <v>0.48007246376811596</v>
      </c>
      <c r="S528">
        <f t="shared" si="25"/>
        <v>1</v>
      </c>
      <c r="T528">
        <f>IF(AND(S528&gt;1,COUNTIF($A$2:A528,A528)=1),1,0)</f>
        <v>0</v>
      </c>
      <c r="U528">
        <f>COUNTIF(Customers!$A$2:$A$301,C528)</f>
        <v>1</v>
      </c>
      <c r="V528">
        <f t="shared" si="26"/>
        <v>0</v>
      </c>
    </row>
    <row r="529" spans="1:22" ht="14.25" customHeight="1" x14ac:dyDescent="0.35">
      <c r="A529" s="10" t="s">
        <v>933</v>
      </c>
      <c r="B529" s="11">
        <v>45549</v>
      </c>
      <c r="C529" s="10" t="s">
        <v>934</v>
      </c>
      <c r="D529" s="10" t="s">
        <v>121</v>
      </c>
      <c r="E529" s="10" t="s">
        <v>179</v>
      </c>
      <c r="F529" s="12">
        <v>7</v>
      </c>
      <c r="G529" s="12">
        <v>3450</v>
      </c>
      <c r="H529" s="12">
        <v>8.6</v>
      </c>
      <c r="I529" s="12">
        <v>22073.1</v>
      </c>
      <c r="J529" s="10" t="s">
        <v>51</v>
      </c>
      <c r="K529" s="10" t="s">
        <v>76</v>
      </c>
      <c r="L529" t="str">
        <f>IFERROR(VLOOKUP(D529,Products!A:F,3,0),"")</f>
        <v>Beauty</v>
      </c>
      <c r="M529" t="str">
        <f>IFERROR(VLOOKUP(E529,Sales_Reps!A:E,3,0),"")</f>
        <v>North</v>
      </c>
      <c r="N529" t="str">
        <f>IFERROR(VLOOKUP(C529,Customers!A:F,5,0),"")</f>
        <v>Retail</v>
      </c>
      <c r="O529">
        <f>IFERROR(VLOOKUP(C529,Customers!A:F,3,0),"")</f>
        <v>40</v>
      </c>
      <c r="P529">
        <f>IFERROR(VLOOKUP(D529,Products!A:F,4,0),"")</f>
        <v>2420</v>
      </c>
      <c r="Q529" t="b">
        <f>IFERROR(VLOOKUP(D529,Products!A:F,6,0),"")</f>
        <v>1</v>
      </c>
      <c r="R529">
        <f t="shared" si="24"/>
        <v>0.29855072463768118</v>
      </c>
      <c r="S529">
        <f t="shared" si="25"/>
        <v>1</v>
      </c>
      <c r="T529">
        <f>IF(AND(S529&gt;1,COUNTIF($A$2:A529,A529)=1),1,0)</f>
        <v>0</v>
      </c>
      <c r="U529">
        <f>COUNTIF(Customers!$A$2:$A$301,C529)</f>
        <v>1</v>
      </c>
      <c r="V529">
        <f t="shared" si="26"/>
        <v>0</v>
      </c>
    </row>
    <row r="530" spans="1:22" ht="14.25" customHeight="1" x14ac:dyDescent="0.35">
      <c r="A530" s="10" t="s">
        <v>935</v>
      </c>
      <c r="B530" s="11">
        <v>45418</v>
      </c>
      <c r="C530" s="10" t="s">
        <v>510</v>
      </c>
      <c r="D530" s="10" t="s">
        <v>66</v>
      </c>
      <c r="E530" s="10" t="s">
        <v>92</v>
      </c>
      <c r="F530" s="12">
        <v>6</v>
      </c>
      <c r="G530" s="12">
        <v>3660</v>
      </c>
      <c r="H530" s="12">
        <v>10.6</v>
      </c>
      <c r="I530" s="12">
        <v>19632.240000000002</v>
      </c>
      <c r="J530" s="10" t="s">
        <v>51</v>
      </c>
      <c r="K530" s="10" t="s">
        <v>63</v>
      </c>
      <c r="L530" t="str">
        <f>IFERROR(VLOOKUP(D530,Products!A:F,3,0),"")</f>
        <v>Grocery</v>
      </c>
      <c r="M530" t="str">
        <f>IFERROR(VLOOKUP(E530,Sales_Reps!A:E,3,0),"")</f>
        <v>West</v>
      </c>
      <c r="N530" t="str">
        <f>IFERROR(VLOOKUP(C530,Customers!A:F,5,0),"")</f>
        <v>SMB</v>
      </c>
      <c r="O530">
        <f>IFERROR(VLOOKUP(C530,Customers!A:F,3,0),"")</f>
        <v>29</v>
      </c>
      <c r="P530">
        <f>IFERROR(VLOOKUP(D530,Products!A:F,4,0),"")</f>
        <v>2214</v>
      </c>
      <c r="Q530" t="b">
        <f>IFERROR(VLOOKUP(D530,Products!A:F,6,0),"")</f>
        <v>0</v>
      </c>
      <c r="R530">
        <f t="shared" si="24"/>
        <v>0.39508196721311473</v>
      </c>
      <c r="S530">
        <f t="shared" si="25"/>
        <v>1</v>
      </c>
      <c r="T530">
        <f>IF(AND(S530&gt;1,COUNTIF($A$2:A530,A530)=1),1,0)</f>
        <v>0</v>
      </c>
      <c r="U530">
        <f>COUNTIF(Customers!$A$2:$A$301,C530)</f>
        <v>1</v>
      </c>
      <c r="V530">
        <f t="shared" si="26"/>
        <v>0</v>
      </c>
    </row>
    <row r="531" spans="1:22" ht="14.25" customHeight="1" x14ac:dyDescent="0.35">
      <c r="A531" s="10" t="s">
        <v>936</v>
      </c>
      <c r="B531" s="11">
        <v>45532</v>
      </c>
      <c r="C531" s="10" t="s">
        <v>488</v>
      </c>
      <c r="D531" s="10" t="s">
        <v>151</v>
      </c>
      <c r="E531" s="10" t="s">
        <v>92</v>
      </c>
      <c r="F531" s="12">
        <v>10</v>
      </c>
      <c r="G531" s="12">
        <v>3570</v>
      </c>
      <c r="H531" s="12">
        <v>1.2</v>
      </c>
      <c r="I531" s="12">
        <v>35271.599999999999</v>
      </c>
      <c r="J531" s="10" t="s">
        <v>51</v>
      </c>
      <c r="K531" s="10" t="s">
        <v>76</v>
      </c>
      <c r="L531" t="str">
        <f>IFERROR(VLOOKUP(D531,Products!A:F,3,0),"")</f>
        <v>Electronics</v>
      </c>
      <c r="M531" t="str">
        <f>IFERROR(VLOOKUP(E531,Sales_Reps!A:E,3,0),"")</f>
        <v>West</v>
      </c>
      <c r="N531" t="str">
        <f>IFERROR(VLOOKUP(C531,Customers!A:F,5,0),"")</f>
        <v>Corporate</v>
      </c>
      <c r="O531">
        <f>IFERROR(VLOOKUP(C531,Customers!A:F,3,0),"")</f>
        <v>55</v>
      </c>
      <c r="P531">
        <f>IFERROR(VLOOKUP(D531,Products!A:F,4,0),"")</f>
        <v>1665</v>
      </c>
      <c r="Q531" t="b">
        <f>IFERROR(VLOOKUP(D531,Products!A:F,6,0),"")</f>
        <v>1</v>
      </c>
      <c r="R531">
        <f t="shared" si="24"/>
        <v>0.53361344537815125</v>
      </c>
      <c r="S531">
        <f t="shared" si="25"/>
        <v>1</v>
      </c>
      <c r="T531">
        <f>IF(AND(S531&gt;1,COUNTIF($A$2:A531,A531)=1),1,0)</f>
        <v>0</v>
      </c>
      <c r="U531">
        <f>COUNTIF(Customers!$A$2:$A$301,C531)</f>
        <v>1</v>
      </c>
      <c r="V531">
        <f t="shared" si="26"/>
        <v>0</v>
      </c>
    </row>
    <row r="532" spans="1:22" ht="14.25" customHeight="1" x14ac:dyDescent="0.35">
      <c r="A532" s="10" t="s">
        <v>937</v>
      </c>
      <c r="B532" s="11">
        <v>45542</v>
      </c>
      <c r="C532" s="10" t="s">
        <v>384</v>
      </c>
      <c r="D532" s="10" t="s">
        <v>466</v>
      </c>
      <c r="E532" s="10" t="s">
        <v>168</v>
      </c>
      <c r="F532" s="12">
        <v>8</v>
      </c>
      <c r="G532" s="12">
        <v>1090</v>
      </c>
      <c r="H532" s="12">
        <v>13.2</v>
      </c>
      <c r="I532" s="12">
        <v>7568.96</v>
      </c>
      <c r="J532" s="10" t="s">
        <v>108</v>
      </c>
      <c r="K532" s="10" t="s">
        <v>63</v>
      </c>
      <c r="L532" t="str">
        <f>IFERROR(VLOOKUP(D532,Products!A:F,3,0),"")</f>
        <v>Home</v>
      </c>
      <c r="M532" t="str">
        <f>IFERROR(VLOOKUP(E532,Sales_Reps!A:E,3,0),"")</f>
        <v>South</v>
      </c>
      <c r="N532" t="str">
        <f>IFERROR(VLOOKUP(C532,Customers!A:F,5,0),"")</f>
        <v>Retail</v>
      </c>
      <c r="O532">
        <f>IFERROR(VLOOKUP(C532,Customers!A:F,3,0),"")</f>
        <v>44</v>
      </c>
      <c r="P532">
        <f>IFERROR(VLOOKUP(D532,Products!A:F,4,0),"")</f>
        <v>464</v>
      </c>
      <c r="Q532" t="b">
        <f>IFERROR(VLOOKUP(D532,Products!A:F,6,0),"")</f>
        <v>1</v>
      </c>
      <c r="R532">
        <f t="shared" si="24"/>
        <v>0.57431192660550456</v>
      </c>
      <c r="S532">
        <f t="shared" si="25"/>
        <v>1</v>
      </c>
      <c r="T532">
        <f>IF(AND(S532&gt;1,COUNTIF($A$2:A532,A532)=1),1,0)</f>
        <v>0</v>
      </c>
      <c r="U532">
        <f>COUNTIF(Customers!$A$2:$A$301,C532)</f>
        <v>1</v>
      </c>
      <c r="V532">
        <f t="shared" si="26"/>
        <v>0</v>
      </c>
    </row>
    <row r="533" spans="1:22" ht="14.25" customHeight="1" x14ac:dyDescent="0.35">
      <c r="A533" s="10" t="s">
        <v>938</v>
      </c>
      <c r="B533" s="11">
        <v>45320</v>
      </c>
      <c r="C533" s="10" t="s">
        <v>421</v>
      </c>
      <c r="D533" s="10" t="s">
        <v>49</v>
      </c>
      <c r="E533" s="10" t="s">
        <v>267</v>
      </c>
      <c r="F533" s="12">
        <v>8</v>
      </c>
      <c r="G533" s="12">
        <v>3620</v>
      </c>
      <c r="H533" s="12">
        <v>29</v>
      </c>
      <c r="I533" s="12">
        <v>20561.599999999999</v>
      </c>
      <c r="J533" s="10" t="s">
        <v>51</v>
      </c>
      <c r="K533" s="10" t="s">
        <v>52</v>
      </c>
      <c r="L533" t="str">
        <f>IFERROR(VLOOKUP(D533,Products!A:F,3,0),"")</f>
        <v>Apparel</v>
      </c>
      <c r="M533" t="str">
        <f>IFERROR(VLOOKUP(E533,Sales_Reps!A:E,3,0),"")</f>
        <v>East</v>
      </c>
      <c r="N533" t="str">
        <f>IFERROR(VLOOKUP(C533,Customers!A:F,5,0),"")</f>
        <v>Retail</v>
      </c>
      <c r="O533">
        <f>IFERROR(VLOOKUP(C533,Customers!A:F,3,0),"")</f>
        <v>29</v>
      </c>
      <c r="P533">
        <f>IFERROR(VLOOKUP(D533,Products!A:F,4,0),"")</f>
        <v>2509</v>
      </c>
      <c r="Q533" t="b">
        <f>IFERROR(VLOOKUP(D533,Products!A:F,6,0),"")</f>
        <v>1</v>
      </c>
      <c r="R533">
        <f t="shared" si="24"/>
        <v>0.3069060773480663</v>
      </c>
      <c r="S533">
        <f t="shared" si="25"/>
        <v>1</v>
      </c>
      <c r="T533">
        <f>IF(AND(S533&gt;1,COUNTIF($A$2:A533,A533)=1),1,0)</f>
        <v>0</v>
      </c>
      <c r="U533">
        <f>COUNTIF(Customers!$A$2:$A$301,C533)</f>
        <v>1</v>
      </c>
      <c r="V533">
        <f t="shared" si="26"/>
        <v>0</v>
      </c>
    </row>
    <row r="534" spans="1:22" ht="14.25" customHeight="1" x14ac:dyDescent="0.35">
      <c r="A534" s="10" t="s">
        <v>939</v>
      </c>
      <c r="B534" s="11">
        <v>45548</v>
      </c>
      <c r="C534" s="10" t="s">
        <v>255</v>
      </c>
      <c r="D534" s="10" t="s">
        <v>148</v>
      </c>
      <c r="E534" s="10" t="s">
        <v>96</v>
      </c>
      <c r="F534" s="12">
        <v>7</v>
      </c>
      <c r="G534" s="12">
        <v>4880</v>
      </c>
      <c r="H534" s="12">
        <v>25.6</v>
      </c>
      <c r="I534" s="12">
        <v>25415.040000000001</v>
      </c>
      <c r="J534" s="10" t="s">
        <v>108</v>
      </c>
      <c r="K534" s="10" t="s">
        <v>63</v>
      </c>
      <c r="L534" t="str">
        <f>IFERROR(VLOOKUP(D534,Products!A:F,3,0),"")</f>
        <v>Beauty</v>
      </c>
      <c r="M534" t="str">
        <f>IFERROR(VLOOKUP(E534,Sales_Reps!A:E,3,0),"")</f>
        <v>South</v>
      </c>
      <c r="N534" t="str">
        <f>IFERROR(VLOOKUP(C534,Customers!A:F,5,0),"")</f>
        <v>Retail</v>
      </c>
      <c r="O534">
        <f>IFERROR(VLOOKUP(C534,Customers!A:F,3,0),"")</f>
        <v>35</v>
      </c>
      <c r="P534">
        <f>IFERROR(VLOOKUP(D534,Products!A:F,4,0),"")</f>
        <v>2768</v>
      </c>
      <c r="Q534" t="b">
        <f>IFERROR(VLOOKUP(D534,Products!A:F,6,0),"")</f>
        <v>1</v>
      </c>
      <c r="R534">
        <f t="shared" si="24"/>
        <v>0.43278688524590164</v>
      </c>
      <c r="S534">
        <f t="shared" si="25"/>
        <v>1</v>
      </c>
      <c r="T534">
        <f>IF(AND(S534&gt;1,COUNTIF($A$2:A534,A534)=1),1,0)</f>
        <v>0</v>
      </c>
      <c r="U534">
        <f>COUNTIF(Customers!$A$2:$A$301,C534)</f>
        <v>1</v>
      </c>
      <c r="V534">
        <f t="shared" si="26"/>
        <v>0</v>
      </c>
    </row>
    <row r="535" spans="1:22" ht="14.25" customHeight="1" x14ac:dyDescent="0.35">
      <c r="A535" s="10" t="s">
        <v>940</v>
      </c>
      <c r="B535" s="11">
        <v>45434</v>
      </c>
      <c r="C535" s="10" t="s">
        <v>941</v>
      </c>
      <c r="D535" s="10" t="s">
        <v>61</v>
      </c>
      <c r="E535" s="10" t="s">
        <v>92</v>
      </c>
      <c r="F535" s="12">
        <v>2</v>
      </c>
      <c r="G535" s="12">
        <v>470</v>
      </c>
      <c r="H535" s="12">
        <v>9.6999999999999993</v>
      </c>
      <c r="I535" s="12">
        <v>848.82</v>
      </c>
      <c r="J535" s="10" t="s">
        <v>51</v>
      </c>
      <c r="K535" s="10" t="s">
        <v>52</v>
      </c>
      <c r="L535" t="str">
        <f>IFERROR(VLOOKUP(D535,Products!A:F,3,0),"")</f>
        <v>Sports</v>
      </c>
      <c r="M535" t="str">
        <f>IFERROR(VLOOKUP(E535,Sales_Reps!A:E,3,0),"")</f>
        <v>West</v>
      </c>
      <c r="N535" t="str">
        <f>IFERROR(VLOOKUP(C535,Customers!A:F,5,0),"")</f>
        <v>Corporate</v>
      </c>
      <c r="O535">
        <f>IFERROR(VLOOKUP(C535,Customers!A:F,3,0),"")</f>
        <v>29</v>
      </c>
      <c r="P535">
        <f>IFERROR(VLOOKUP(D535,Products!A:F,4,0),"")</f>
        <v>302</v>
      </c>
      <c r="Q535" t="b">
        <f>IFERROR(VLOOKUP(D535,Products!A:F,6,0),"")</f>
        <v>0</v>
      </c>
      <c r="R535">
        <f t="shared" si="24"/>
        <v>0.35744680851063831</v>
      </c>
      <c r="S535">
        <f t="shared" si="25"/>
        <v>1</v>
      </c>
      <c r="T535">
        <f>IF(AND(S535&gt;1,COUNTIF($A$2:A535,A535)=1),1,0)</f>
        <v>0</v>
      </c>
      <c r="U535">
        <f>COUNTIF(Customers!$A$2:$A$301,C535)</f>
        <v>1</v>
      </c>
      <c r="V535">
        <f t="shared" si="26"/>
        <v>0</v>
      </c>
    </row>
    <row r="536" spans="1:22" ht="14.25" customHeight="1" x14ac:dyDescent="0.35">
      <c r="A536" s="10" t="s">
        <v>942</v>
      </c>
      <c r="B536" s="11">
        <v>45539</v>
      </c>
      <c r="C536" s="10" t="s">
        <v>799</v>
      </c>
      <c r="D536" s="10" t="s">
        <v>350</v>
      </c>
      <c r="E536" s="10" t="s">
        <v>249</v>
      </c>
      <c r="F536" s="12">
        <v>6</v>
      </c>
      <c r="G536" s="12">
        <v>2290</v>
      </c>
      <c r="H536" s="12">
        <v>8.9</v>
      </c>
      <c r="I536" s="12">
        <v>12517.14</v>
      </c>
      <c r="J536" s="10" t="s">
        <v>51</v>
      </c>
      <c r="K536" s="10" t="s">
        <v>81</v>
      </c>
      <c r="L536" t="str">
        <f>IFERROR(VLOOKUP(D536,Products!A:F,3,0),"")</f>
        <v>Beauty</v>
      </c>
      <c r="M536" t="str">
        <f>IFERROR(VLOOKUP(E536,Sales_Reps!A:E,3,0),"")</f>
        <v>East</v>
      </c>
      <c r="N536" t="str">
        <f>IFERROR(VLOOKUP(C536,Customers!A:F,5,0),"")</f>
        <v>Retail</v>
      </c>
      <c r="O536">
        <f>IFERROR(VLOOKUP(C536,Customers!A:F,3,0),"")</f>
        <v>52</v>
      </c>
      <c r="P536">
        <f>IFERROR(VLOOKUP(D536,Products!A:F,4,0),"")</f>
        <v>1219</v>
      </c>
      <c r="Q536" t="b">
        <f>IFERROR(VLOOKUP(D536,Products!A:F,6,0),"")</f>
        <v>1</v>
      </c>
      <c r="R536">
        <f t="shared" si="24"/>
        <v>0.46768558951965067</v>
      </c>
      <c r="S536">
        <f t="shared" si="25"/>
        <v>1</v>
      </c>
      <c r="T536">
        <f>IF(AND(S536&gt;1,COUNTIF($A$2:A536,A536)=1),1,0)</f>
        <v>0</v>
      </c>
      <c r="U536">
        <f>COUNTIF(Customers!$A$2:$A$301,C536)</f>
        <v>1</v>
      </c>
      <c r="V536">
        <f t="shared" si="26"/>
        <v>0</v>
      </c>
    </row>
    <row r="537" spans="1:22" ht="14.25" customHeight="1" x14ac:dyDescent="0.35">
      <c r="A537" s="10" t="s">
        <v>943</v>
      </c>
      <c r="B537" s="11">
        <v>45468</v>
      </c>
      <c r="C537" s="10" t="s">
        <v>424</v>
      </c>
      <c r="D537" s="10" t="s">
        <v>331</v>
      </c>
      <c r="E537" s="10" t="s">
        <v>96</v>
      </c>
      <c r="F537" s="12">
        <v>3</v>
      </c>
      <c r="G537" s="12">
        <v>2380</v>
      </c>
      <c r="H537" s="12">
        <v>2.7</v>
      </c>
      <c r="I537" s="12">
        <v>6947.22</v>
      </c>
      <c r="J537" s="10" t="s">
        <v>57</v>
      </c>
      <c r="K537" s="10" t="s">
        <v>52</v>
      </c>
      <c r="L537" t="str">
        <f>IFERROR(VLOOKUP(D537,Products!A:F,3,0),"")</f>
        <v>Grocery</v>
      </c>
      <c r="M537" t="str">
        <f>IFERROR(VLOOKUP(E537,Sales_Reps!A:E,3,0),"")</f>
        <v>South</v>
      </c>
      <c r="N537" t="str">
        <f>IFERROR(VLOOKUP(C537,Customers!A:F,5,0),"")</f>
        <v>Corporate</v>
      </c>
      <c r="O537">
        <f>IFERROR(VLOOKUP(C537,Customers!A:F,3,0),"")</f>
        <v>37</v>
      </c>
      <c r="P537">
        <f>IFERROR(VLOOKUP(D537,Products!A:F,4,0),"")</f>
        <v>1182</v>
      </c>
      <c r="Q537" t="b">
        <f>IFERROR(VLOOKUP(D537,Products!A:F,6,0),"")</f>
        <v>1</v>
      </c>
      <c r="R537">
        <f t="shared" si="24"/>
        <v>0.50336134453781511</v>
      </c>
      <c r="S537">
        <f t="shared" si="25"/>
        <v>1</v>
      </c>
      <c r="T537">
        <f>IF(AND(S537&gt;1,COUNTIF($A$2:A537,A537)=1),1,0)</f>
        <v>0</v>
      </c>
      <c r="U537">
        <f>COUNTIF(Customers!$A$2:$A$301,C537)</f>
        <v>1</v>
      </c>
      <c r="V537">
        <f t="shared" si="26"/>
        <v>0</v>
      </c>
    </row>
    <row r="538" spans="1:22" ht="14.25" customHeight="1" x14ac:dyDescent="0.35">
      <c r="A538" s="10" t="s">
        <v>944</v>
      </c>
      <c r="B538" s="11">
        <v>45485</v>
      </c>
      <c r="C538" s="10" t="s">
        <v>693</v>
      </c>
      <c r="D538" s="10" t="s">
        <v>331</v>
      </c>
      <c r="E538" s="10" t="s">
        <v>71</v>
      </c>
      <c r="F538" s="12">
        <v>9</v>
      </c>
      <c r="G538" s="12">
        <v>2380</v>
      </c>
      <c r="H538" s="12">
        <v>20.100000000000001</v>
      </c>
      <c r="I538" s="12">
        <v>17114.580000000002</v>
      </c>
      <c r="J538" s="10" t="s">
        <v>51</v>
      </c>
      <c r="K538" s="10" t="s">
        <v>76</v>
      </c>
      <c r="L538" t="str">
        <f>IFERROR(VLOOKUP(D538,Products!A:F,3,0),"")</f>
        <v>Grocery</v>
      </c>
      <c r="M538" t="str">
        <f>IFERROR(VLOOKUP(E538,Sales_Reps!A:E,3,0),"")</f>
        <v>North</v>
      </c>
      <c r="N538" t="str">
        <f>IFERROR(VLOOKUP(C538,Customers!A:F,5,0),"")</f>
        <v>Retail</v>
      </c>
      <c r="O538">
        <f>IFERROR(VLOOKUP(C538,Customers!A:F,3,0),"")</f>
        <v>56</v>
      </c>
      <c r="P538">
        <f>IFERROR(VLOOKUP(D538,Products!A:F,4,0),"")</f>
        <v>1182</v>
      </c>
      <c r="Q538" t="b">
        <f>IFERROR(VLOOKUP(D538,Products!A:F,6,0),"")</f>
        <v>1</v>
      </c>
      <c r="R538">
        <f t="shared" si="24"/>
        <v>0.50336134453781511</v>
      </c>
      <c r="S538">
        <f t="shared" si="25"/>
        <v>1</v>
      </c>
      <c r="T538">
        <f>IF(AND(S538&gt;1,COUNTIF($A$2:A538,A538)=1),1,0)</f>
        <v>0</v>
      </c>
      <c r="U538">
        <f>COUNTIF(Customers!$A$2:$A$301,C538)</f>
        <v>1</v>
      </c>
      <c r="V538">
        <f t="shared" si="26"/>
        <v>0</v>
      </c>
    </row>
    <row r="539" spans="1:22" ht="14.25" customHeight="1" x14ac:dyDescent="0.35">
      <c r="A539" s="10" t="s">
        <v>945</v>
      </c>
      <c r="B539" s="11">
        <v>45303</v>
      </c>
      <c r="C539" s="10" t="s">
        <v>531</v>
      </c>
      <c r="D539" s="10" t="s">
        <v>324</v>
      </c>
      <c r="E539" s="10" t="s">
        <v>62</v>
      </c>
      <c r="F539" s="12">
        <v>8</v>
      </c>
      <c r="G539" s="12">
        <v>5410</v>
      </c>
      <c r="H539" s="12">
        <v>11.2</v>
      </c>
      <c r="I539" s="12">
        <v>38432.639999999999</v>
      </c>
      <c r="J539" s="10" t="s">
        <v>51</v>
      </c>
      <c r="K539" s="10" t="s">
        <v>81</v>
      </c>
      <c r="L539" t="str">
        <f>IFERROR(VLOOKUP(D539,Products!A:F,3,0),"")</f>
        <v>Sports</v>
      </c>
      <c r="M539" t="str">
        <f>IFERROR(VLOOKUP(E539,Sales_Reps!A:E,3,0),"")</f>
        <v>South</v>
      </c>
      <c r="N539" t="str">
        <f>IFERROR(VLOOKUP(C539,Customers!A:F,5,0),"")</f>
        <v>Corporate</v>
      </c>
      <c r="O539">
        <f>IFERROR(VLOOKUP(C539,Customers!A:F,3,0),"")</f>
        <v>41</v>
      </c>
      <c r="P539">
        <f>IFERROR(VLOOKUP(D539,Products!A:F,4,0),"")</f>
        <v>2265</v>
      </c>
      <c r="Q539" t="b">
        <f>IFERROR(VLOOKUP(D539,Products!A:F,6,0),"")</f>
        <v>1</v>
      </c>
      <c r="R539">
        <f t="shared" si="24"/>
        <v>0.58133086876155271</v>
      </c>
      <c r="S539">
        <f t="shared" si="25"/>
        <v>1</v>
      </c>
      <c r="T539">
        <f>IF(AND(S539&gt;1,COUNTIF($A$2:A539,A539)=1),1,0)</f>
        <v>0</v>
      </c>
      <c r="U539">
        <f>COUNTIF(Customers!$A$2:$A$301,C539)</f>
        <v>1</v>
      </c>
      <c r="V539">
        <f t="shared" si="26"/>
        <v>0</v>
      </c>
    </row>
    <row r="540" spans="1:22" ht="14.25" customHeight="1" x14ac:dyDescent="0.35">
      <c r="A540" s="10" t="s">
        <v>946</v>
      </c>
      <c r="B540" s="11">
        <v>45605</v>
      </c>
      <c r="C540" s="10" t="s">
        <v>947</v>
      </c>
      <c r="D540" s="10" t="s">
        <v>84</v>
      </c>
      <c r="E540" s="10" t="s">
        <v>71</v>
      </c>
      <c r="F540" s="12">
        <v>1</v>
      </c>
      <c r="G540" s="12">
        <v>1430</v>
      </c>
      <c r="H540" s="12">
        <v>19.600000000000001</v>
      </c>
      <c r="I540" s="12">
        <v>1149.72</v>
      </c>
      <c r="J540" s="10" t="s">
        <v>51</v>
      </c>
      <c r="K540" s="10" t="s">
        <v>81</v>
      </c>
      <c r="L540" t="str">
        <f>IFERROR(VLOOKUP(D540,Products!A:F,3,0),"")</f>
        <v>Electronics</v>
      </c>
      <c r="M540" t="str">
        <f>IFERROR(VLOOKUP(E540,Sales_Reps!A:E,3,0),"")</f>
        <v>North</v>
      </c>
      <c r="N540" t="str">
        <f>IFERROR(VLOOKUP(C540,Customers!A:F,5,0),"")</f>
        <v>SMB</v>
      </c>
      <c r="O540">
        <f>IFERROR(VLOOKUP(C540,Customers!A:F,3,0),"")</f>
        <v>36</v>
      </c>
      <c r="P540">
        <f>IFERROR(VLOOKUP(D540,Products!A:F,4,0),"")</f>
        <v>861</v>
      </c>
      <c r="Q540" t="b">
        <f>IFERROR(VLOOKUP(D540,Products!A:F,6,0),"")</f>
        <v>1</v>
      </c>
      <c r="R540">
        <f t="shared" si="24"/>
        <v>0.39790209790209791</v>
      </c>
      <c r="S540">
        <f t="shared" si="25"/>
        <v>1</v>
      </c>
      <c r="T540">
        <f>IF(AND(S540&gt;1,COUNTIF($A$2:A540,A540)=1),1,0)</f>
        <v>0</v>
      </c>
      <c r="U540">
        <f>COUNTIF(Customers!$A$2:$A$301,C540)</f>
        <v>1</v>
      </c>
      <c r="V540">
        <f t="shared" si="26"/>
        <v>0</v>
      </c>
    </row>
    <row r="541" spans="1:22" ht="14.25" customHeight="1" x14ac:dyDescent="0.35">
      <c r="A541" s="10" t="s">
        <v>948</v>
      </c>
      <c r="B541" s="11">
        <v>45421</v>
      </c>
      <c r="C541" s="10" t="s">
        <v>834</v>
      </c>
      <c r="D541" s="10" t="s">
        <v>115</v>
      </c>
      <c r="E541" s="10" t="s">
        <v>307</v>
      </c>
      <c r="F541" s="12">
        <v>9</v>
      </c>
      <c r="G541" s="12">
        <v>2400</v>
      </c>
      <c r="H541" s="12">
        <v>5</v>
      </c>
      <c r="I541" s="12">
        <v>20520</v>
      </c>
      <c r="J541" s="10" t="s">
        <v>51</v>
      </c>
      <c r="K541" s="10" t="s">
        <v>81</v>
      </c>
      <c r="L541" t="str">
        <f>IFERROR(VLOOKUP(D541,Products!A:F,3,0),"")</f>
        <v>Sports</v>
      </c>
      <c r="M541" t="str">
        <f>IFERROR(VLOOKUP(E541,Sales_Reps!A:E,3,0),"")</f>
        <v>West</v>
      </c>
      <c r="N541" t="str">
        <f>IFERROR(VLOOKUP(C541,Customers!A:F,5,0),"")</f>
        <v>Retail</v>
      </c>
      <c r="O541">
        <f>IFERROR(VLOOKUP(C541,Customers!A:F,3,0),"")</f>
        <v>47</v>
      </c>
      <c r="P541">
        <f>IFERROR(VLOOKUP(D541,Products!A:F,4,0),"")</f>
        <v>974</v>
      </c>
      <c r="Q541" t="b">
        <f>IFERROR(VLOOKUP(D541,Products!A:F,6,0),"")</f>
        <v>1</v>
      </c>
      <c r="R541">
        <f t="shared" si="24"/>
        <v>0.59416666666666662</v>
      </c>
      <c r="S541">
        <f t="shared" si="25"/>
        <v>1</v>
      </c>
      <c r="T541">
        <f>IF(AND(S541&gt;1,COUNTIF($A$2:A541,A541)=1),1,0)</f>
        <v>0</v>
      </c>
      <c r="U541">
        <f>COUNTIF(Customers!$A$2:$A$301,C541)</f>
        <v>1</v>
      </c>
      <c r="V541">
        <f t="shared" si="26"/>
        <v>0</v>
      </c>
    </row>
    <row r="542" spans="1:22" ht="14.25" customHeight="1" x14ac:dyDescent="0.35">
      <c r="A542" s="10" t="s">
        <v>949</v>
      </c>
      <c r="B542" s="11">
        <v>45493</v>
      </c>
      <c r="C542" s="10" t="s">
        <v>950</v>
      </c>
      <c r="D542" s="10" t="s">
        <v>198</v>
      </c>
      <c r="E542" s="10" t="s">
        <v>179</v>
      </c>
      <c r="F542" s="12">
        <v>1</v>
      </c>
      <c r="G542" s="12">
        <v>3780</v>
      </c>
      <c r="H542" s="12">
        <v>4.7</v>
      </c>
      <c r="I542" s="12">
        <v>3602.34</v>
      </c>
      <c r="J542" s="10" t="s">
        <v>51</v>
      </c>
      <c r="K542" s="10" t="s">
        <v>58</v>
      </c>
      <c r="L542" t="str">
        <f>IFERROR(VLOOKUP(D542,Products!A:F,3,0),"")</f>
        <v>Grocery</v>
      </c>
      <c r="M542" t="str">
        <f>IFERROR(VLOOKUP(E542,Sales_Reps!A:E,3,0),"")</f>
        <v>North</v>
      </c>
      <c r="N542" t="str">
        <f>IFERROR(VLOOKUP(C542,Customers!A:F,5,0),"")</f>
        <v>Corporate</v>
      </c>
      <c r="O542">
        <f>IFERROR(VLOOKUP(C542,Customers!A:F,3,0),"")</f>
        <v>52</v>
      </c>
      <c r="P542">
        <f>IFERROR(VLOOKUP(D542,Products!A:F,4,0),"")</f>
        <v>2436</v>
      </c>
      <c r="Q542" t="b">
        <f>IFERROR(VLOOKUP(D542,Products!A:F,6,0),"")</f>
        <v>1</v>
      </c>
      <c r="R542">
        <f t="shared" si="24"/>
        <v>0.35555555555555557</v>
      </c>
      <c r="S542">
        <f t="shared" si="25"/>
        <v>1</v>
      </c>
      <c r="T542">
        <f>IF(AND(S542&gt;1,COUNTIF($A$2:A542,A542)=1),1,0)</f>
        <v>0</v>
      </c>
      <c r="U542">
        <f>COUNTIF(Customers!$A$2:$A$301,C542)</f>
        <v>1</v>
      </c>
      <c r="V542">
        <f t="shared" si="26"/>
        <v>0</v>
      </c>
    </row>
    <row r="543" spans="1:22" ht="14.25" customHeight="1" x14ac:dyDescent="0.35">
      <c r="A543" s="10" t="s">
        <v>951</v>
      </c>
      <c r="B543" s="11">
        <v>45592</v>
      </c>
      <c r="C543" s="10" t="s">
        <v>842</v>
      </c>
      <c r="D543" s="10" t="s">
        <v>256</v>
      </c>
      <c r="E543" s="10" t="s">
        <v>85</v>
      </c>
      <c r="F543" s="12">
        <v>2</v>
      </c>
      <c r="G543" s="12">
        <v>620</v>
      </c>
      <c r="H543" s="12">
        <v>8</v>
      </c>
      <c r="I543" s="12">
        <v>1140.8</v>
      </c>
      <c r="J543" s="10" t="s">
        <v>51</v>
      </c>
      <c r="K543" s="10" t="s">
        <v>76</v>
      </c>
      <c r="L543" t="str">
        <f>IFERROR(VLOOKUP(D543,Products!A:F,3,0),"")</f>
        <v>Apparel</v>
      </c>
      <c r="M543" t="str">
        <f>IFERROR(VLOOKUP(E543,Sales_Reps!A:E,3,0),"")</f>
        <v>East</v>
      </c>
      <c r="N543" t="str">
        <f>IFERROR(VLOOKUP(C543,Customers!A:F,5,0),"")</f>
        <v>Corporate</v>
      </c>
      <c r="O543">
        <f>IFERROR(VLOOKUP(C543,Customers!A:F,3,0),"")</f>
        <v>62</v>
      </c>
      <c r="P543">
        <f>IFERROR(VLOOKUP(D543,Products!A:F,4,0),"")</f>
        <v>396</v>
      </c>
      <c r="Q543" t="b">
        <f>IFERROR(VLOOKUP(D543,Products!A:F,6,0),"")</f>
        <v>1</v>
      </c>
      <c r="R543">
        <f t="shared" si="24"/>
        <v>0.36129032258064514</v>
      </c>
      <c r="S543">
        <f t="shared" si="25"/>
        <v>1</v>
      </c>
      <c r="T543">
        <f>IF(AND(S543&gt;1,COUNTIF($A$2:A543,A543)=1),1,0)</f>
        <v>0</v>
      </c>
      <c r="U543">
        <f>COUNTIF(Customers!$A$2:$A$301,C543)</f>
        <v>1</v>
      </c>
      <c r="V543">
        <f t="shared" si="26"/>
        <v>0</v>
      </c>
    </row>
    <row r="544" spans="1:22" ht="14.25" customHeight="1" x14ac:dyDescent="0.35">
      <c r="A544" s="10" t="s">
        <v>952</v>
      </c>
      <c r="B544" s="11">
        <v>45379</v>
      </c>
      <c r="C544" s="10" t="s">
        <v>602</v>
      </c>
      <c r="D544" s="10" t="s">
        <v>111</v>
      </c>
      <c r="E544" s="10" t="s">
        <v>50</v>
      </c>
      <c r="F544" s="12">
        <v>3</v>
      </c>
      <c r="G544" s="12">
        <v>190</v>
      </c>
      <c r="H544" s="12">
        <v>17.899999999999999</v>
      </c>
      <c r="I544" s="12">
        <v>467.97</v>
      </c>
      <c r="J544" s="10" t="s">
        <v>57</v>
      </c>
      <c r="K544" s="10" t="s">
        <v>63</v>
      </c>
      <c r="L544" t="str">
        <f>IFERROR(VLOOKUP(D544,Products!A:F,3,0),"")</f>
        <v>Sports</v>
      </c>
      <c r="M544" t="str">
        <f>IFERROR(VLOOKUP(E544,Sales_Reps!A:E,3,0),"")</f>
        <v>North</v>
      </c>
      <c r="N544" t="str">
        <f>IFERROR(VLOOKUP(C544,Customers!A:F,5,0),"")</f>
        <v>Retail</v>
      </c>
      <c r="O544">
        <f>IFERROR(VLOOKUP(C544,Customers!A:F,3,0),"")</f>
        <v>43</v>
      </c>
      <c r="P544">
        <f>IFERROR(VLOOKUP(D544,Products!A:F,4,0),"")</f>
        <v>147</v>
      </c>
      <c r="Q544" t="b">
        <f>IFERROR(VLOOKUP(D544,Products!A:F,6,0),"")</f>
        <v>1</v>
      </c>
      <c r="R544">
        <f t="shared" si="24"/>
        <v>0.22631578947368422</v>
      </c>
      <c r="S544">
        <f t="shared" si="25"/>
        <v>1</v>
      </c>
      <c r="T544">
        <f>IF(AND(S544&gt;1,COUNTIF($A$2:A544,A544)=1),1,0)</f>
        <v>0</v>
      </c>
      <c r="U544">
        <f>COUNTIF(Customers!$A$2:$A$301,C544)</f>
        <v>1</v>
      </c>
      <c r="V544">
        <f t="shared" si="26"/>
        <v>0</v>
      </c>
    </row>
    <row r="545" spans="1:22" ht="14.25" customHeight="1" x14ac:dyDescent="0.35">
      <c r="A545" s="10" t="s">
        <v>953</v>
      </c>
      <c r="B545" s="11">
        <v>45332</v>
      </c>
      <c r="C545" s="10" t="s">
        <v>954</v>
      </c>
      <c r="D545" s="10" t="s">
        <v>49</v>
      </c>
      <c r="E545" s="10" t="s">
        <v>85</v>
      </c>
      <c r="F545" s="12">
        <v>2</v>
      </c>
      <c r="G545" s="12">
        <v>3620</v>
      </c>
      <c r="H545" s="12">
        <v>15.5</v>
      </c>
      <c r="I545" s="12">
        <v>6117.8</v>
      </c>
      <c r="J545" s="10" t="s">
        <v>51</v>
      </c>
      <c r="K545" s="10" t="s">
        <v>81</v>
      </c>
      <c r="L545" t="str">
        <f>IFERROR(VLOOKUP(D545,Products!A:F,3,0),"")</f>
        <v>Apparel</v>
      </c>
      <c r="M545" t="str">
        <f>IFERROR(VLOOKUP(E545,Sales_Reps!A:E,3,0),"")</f>
        <v>East</v>
      </c>
      <c r="N545" t="str">
        <f>IFERROR(VLOOKUP(C545,Customers!A:F,5,0),"")</f>
        <v>Retail</v>
      </c>
      <c r="O545">
        <f>IFERROR(VLOOKUP(C545,Customers!A:F,3,0),"")</f>
        <v>61</v>
      </c>
      <c r="P545">
        <f>IFERROR(VLOOKUP(D545,Products!A:F,4,0),"")</f>
        <v>2509</v>
      </c>
      <c r="Q545" t="b">
        <f>IFERROR(VLOOKUP(D545,Products!A:F,6,0),"")</f>
        <v>1</v>
      </c>
      <c r="R545">
        <f t="shared" si="24"/>
        <v>0.3069060773480663</v>
      </c>
      <c r="S545">
        <f t="shared" si="25"/>
        <v>1</v>
      </c>
      <c r="T545">
        <f>IF(AND(S545&gt;1,COUNTIF($A$2:A545,A545)=1),1,0)</f>
        <v>0</v>
      </c>
      <c r="U545">
        <f>COUNTIF(Customers!$A$2:$A$301,C545)</f>
        <v>1</v>
      </c>
      <c r="V545">
        <f t="shared" si="26"/>
        <v>0</v>
      </c>
    </row>
    <row r="546" spans="1:22" ht="14.25" customHeight="1" x14ac:dyDescent="0.35">
      <c r="A546" s="10" t="s">
        <v>955</v>
      </c>
      <c r="B546" s="11">
        <v>45610</v>
      </c>
      <c r="C546" s="10" t="s">
        <v>154</v>
      </c>
      <c r="D546" s="10" t="s">
        <v>159</v>
      </c>
      <c r="E546" s="10" t="s">
        <v>267</v>
      </c>
      <c r="F546" s="12">
        <v>5</v>
      </c>
      <c r="G546" s="12">
        <v>2860</v>
      </c>
      <c r="H546" s="12">
        <v>26.8</v>
      </c>
      <c r="I546" s="12">
        <v>10467.6</v>
      </c>
      <c r="J546" s="10" t="s">
        <v>51</v>
      </c>
      <c r="K546" s="10" t="s">
        <v>97</v>
      </c>
      <c r="L546" t="str">
        <f>IFERROR(VLOOKUP(D546,Products!A:F,3,0),"")</f>
        <v>Sports</v>
      </c>
      <c r="M546" t="str">
        <f>IFERROR(VLOOKUP(E546,Sales_Reps!A:E,3,0),"")</f>
        <v>East</v>
      </c>
      <c r="N546" t="str">
        <f>IFERROR(VLOOKUP(C546,Customers!A:F,5,0),"")</f>
        <v>Corporate</v>
      </c>
      <c r="O546">
        <f>IFERROR(VLOOKUP(C546,Customers!A:F,3,0),"")</f>
        <v>56</v>
      </c>
      <c r="P546">
        <f>IFERROR(VLOOKUP(D546,Products!A:F,4,0),"")</f>
        <v>2028</v>
      </c>
      <c r="Q546" t="b">
        <f>IFERROR(VLOOKUP(D546,Products!A:F,6,0),"")</f>
        <v>1</v>
      </c>
      <c r="R546">
        <f t="shared" si="24"/>
        <v>0.29090909090909089</v>
      </c>
      <c r="S546">
        <f t="shared" si="25"/>
        <v>1</v>
      </c>
      <c r="T546">
        <f>IF(AND(S546&gt;1,COUNTIF($A$2:A546,A546)=1),1,0)</f>
        <v>0</v>
      </c>
      <c r="U546">
        <f>COUNTIF(Customers!$A$2:$A$301,C546)</f>
        <v>1</v>
      </c>
      <c r="V546">
        <f t="shared" si="26"/>
        <v>0</v>
      </c>
    </row>
    <row r="547" spans="1:22" ht="14.25" customHeight="1" x14ac:dyDescent="0.35">
      <c r="A547" s="10" t="s">
        <v>956</v>
      </c>
      <c r="B547" s="11">
        <v>45638</v>
      </c>
      <c r="C547" s="10" t="s">
        <v>874</v>
      </c>
      <c r="D547" s="10" t="s">
        <v>115</v>
      </c>
      <c r="E547" s="10" t="s">
        <v>118</v>
      </c>
      <c r="F547" s="12">
        <v>6</v>
      </c>
      <c r="G547" s="12">
        <v>2400</v>
      </c>
      <c r="H547" s="12">
        <v>19.2</v>
      </c>
      <c r="I547" s="12">
        <v>11635.2</v>
      </c>
      <c r="J547" s="10" t="s">
        <v>104</v>
      </c>
      <c r="K547" s="10" t="s">
        <v>63</v>
      </c>
      <c r="L547" t="str">
        <f>IFERROR(VLOOKUP(D547,Products!A:F,3,0),"")</f>
        <v>Sports</v>
      </c>
      <c r="M547" t="str">
        <f>IFERROR(VLOOKUP(E547,Sales_Reps!A:E,3,0),"")</f>
        <v>East</v>
      </c>
      <c r="N547" t="str">
        <f>IFERROR(VLOOKUP(C547,Customers!A:F,5,0),"")</f>
        <v>Retail</v>
      </c>
      <c r="O547">
        <f>IFERROR(VLOOKUP(C547,Customers!A:F,3,0),"")</f>
        <v>55</v>
      </c>
      <c r="P547">
        <f>IFERROR(VLOOKUP(D547,Products!A:F,4,0),"")</f>
        <v>974</v>
      </c>
      <c r="Q547" t="b">
        <f>IFERROR(VLOOKUP(D547,Products!A:F,6,0),"")</f>
        <v>1</v>
      </c>
      <c r="R547">
        <f t="shared" si="24"/>
        <v>0.59416666666666662</v>
      </c>
      <c r="S547">
        <f t="shared" si="25"/>
        <v>1</v>
      </c>
      <c r="T547">
        <f>IF(AND(S547&gt;1,COUNTIF($A$2:A547,A547)=1),1,0)</f>
        <v>0</v>
      </c>
      <c r="U547">
        <f>COUNTIF(Customers!$A$2:$A$301,C547)</f>
        <v>1</v>
      </c>
      <c r="V547">
        <f t="shared" si="26"/>
        <v>0</v>
      </c>
    </row>
    <row r="548" spans="1:22" ht="14.25" customHeight="1" x14ac:dyDescent="0.35">
      <c r="A548" s="10" t="s">
        <v>957</v>
      </c>
      <c r="B548" s="11">
        <v>45546</v>
      </c>
      <c r="C548" s="10" t="s">
        <v>574</v>
      </c>
      <c r="D548" s="10" t="s">
        <v>407</v>
      </c>
      <c r="E548" s="10" t="s">
        <v>168</v>
      </c>
      <c r="F548" s="12">
        <v>7</v>
      </c>
      <c r="G548" s="12">
        <v>5080</v>
      </c>
      <c r="H548" s="12">
        <v>16.600000000000001</v>
      </c>
      <c r="I548" s="12">
        <v>29657.040000000001</v>
      </c>
      <c r="J548" s="10" t="s">
        <v>57</v>
      </c>
      <c r="K548" s="10" t="s">
        <v>81</v>
      </c>
      <c r="L548" t="str">
        <f>IFERROR(VLOOKUP(D548,Products!A:F,3,0),"")</f>
        <v>Home</v>
      </c>
      <c r="M548" t="str">
        <f>IFERROR(VLOOKUP(E548,Sales_Reps!A:E,3,0),"")</f>
        <v>South</v>
      </c>
      <c r="N548" t="str">
        <f>IFERROR(VLOOKUP(C548,Customers!A:F,5,0),"")</f>
        <v>SMB</v>
      </c>
      <c r="O548">
        <f>IFERROR(VLOOKUP(C548,Customers!A:F,3,0),"")</f>
        <v>42</v>
      </c>
      <c r="P548">
        <f>IFERROR(VLOOKUP(D548,Products!A:F,4,0),"")</f>
        <v>2459</v>
      </c>
      <c r="Q548" t="b">
        <f>IFERROR(VLOOKUP(D548,Products!A:F,6,0),"")</f>
        <v>1</v>
      </c>
      <c r="R548">
        <f t="shared" si="24"/>
        <v>0.51594488188976373</v>
      </c>
      <c r="S548">
        <f t="shared" si="25"/>
        <v>1</v>
      </c>
      <c r="T548">
        <f>IF(AND(S548&gt;1,COUNTIF($A$2:A548,A548)=1),1,0)</f>
        <v>0</v>
      </c>
      <c r="U548">
        <f>COUNTIF(Customers!$A$2:$A$301,C548)</f>
        <v>1</v>
      </c>
      <c r="V548">
        <f t="shared" si="26"/>
        <v>0</v>
      </c>
    </row>
    <row r="549" spans="1:22" ht="14.25" customHeight="1" x14ac:dyDescent="0.35">
      <c r="A549" s="10" t="s">
        <v>958</v>
      </c>
      <c r="B549" s="11">
        <v>45436</v>
      </c>
      <c r="C549" s="10" t="s">
        <v>120</v>
      </c>
      <c r="D549" s="10" t="s">
        <v>407</v>
      </c>
      <c r="E549" s="10" t="s">
        <v>152</v>
      </c>
      <c r="F549" s="12">
        <v>10</v>
      </c>
      <c r="G549" s="12">
        <v>5080</v>
      </c>
      <c r="H549" s="12">
        <v>24.6</v>
      </c>
      <c r="I549" s="12">
        <v>38303.199999999997</v>
      </c>
      <c r="J549" s="10" t="s">
        <v>51</v>
      </c>
      <c r="K549" s="10" t="s">
        <v>97</v>
      </c>
      <c r="L549" t="str">
        <f>IFERROR(VLOOKUP(D549,Products!A:F,3,0),"")</f>
        <v>Home</v>
      </c>
      <c r="M549" t="str">
        <f>IFERROR(VLOOKUP(E549,Sales_Reps!A:E,3,0),"")</f>
        <v>South</v>
      </c>
      <c r="N549" t="str">
        <f>IFERROR(VLOOKUP(C549,Customers!A:F,5,0),"")</f>
        <v>Corporate</v>
      </c>
      <c r="O549">
        <f>IFERROR(VLOOKUP(C549,Customers!A:F,3,0),"")</f>
        <v>32</v>
      </c>
      <c r="P549">
        <f>IFERROR(VLOOKUP(D549,Products!A:F,4,0),"")</f>
        <v>2459</v>
      </c>
      <c r="Q549" t="b">
        <f>IFERROR(VLOOKUP(D549,Products!A:F,6,0),"")</f>
        <v>1</v>
      </c>
      <c r="R549">
        <f t="shared" si="24"/>
        <v>0.51594488188976373</v>
      </c>
      <c r="S549">
        <f t="shared" si="25"/>
        <v>1</v>
      </c>
      <c r="T549">
        <f>IF(AND(S549&gt;1,COUNTIF($A$2:A549,A549)=1),1,0)</f>
        <v>0</v>
      </c>
      <c r="U549">
        <f>COUNTIF(Customers!$A$2:$A$301,C549)</f>
        <v>1</v>
      </c>
      <c r="V549">
        <f t="shared" si="26"/>
        <v>0</v>
      </c>
    </row>
    <row r="550" spans="1:22" ht="14.25" customHeight="1" x14ac:dyDescent="0.35">
      <c r="A550" s="10" t="s">
        <v>959</v>
      </c>
      <c r="B550" s="11">
        <v>45532</v>
      </c>
      <c r="C550" s="10" t="s">
        <v>923</v>
      </c>
      <c r="D550" s="10" t="s">
        <v>79</v>
      </c>
      <c r="E550" s="10" t="s">
        <v>71</v>
      </c>
      <c r="F550" s="12">
        <v>7</v>
      </c>
      <c r="G550" s="12">
        <v>960</v>
      </c>
      <c r="H550" s="12">
        <v>16.600000000000001</v>
      </c>
      <c r="I550" s="12">
        <v>5604.48</v>
      </c>
      <c r="J550" s="10" t="s">
        <v>51</v>
      </c>
      <c r="K550" s="10" t="s">
        <v>76</v>
      </c>
      <c r="L550" t="str">
        <f>IFERROR(VLOOKUP(D550,Products!A:F,3,0),"")</f>
        <v>Sports</v>
      </c>
      <c r="M550" t="str">
        <f>IFERROR(VLOOKUP(E550,Sales_Reps!A:E,3,0),"")</f>
        <v>North</v>
      </c>
      <c r="N550" t="str">
        <f>IFERROR(VLOOKUP(C550,Customers!A:F,5,0),"")</f>
        <v>SMB</v>
      </c>
      <c r="O550">
        <f>IFERROR(VLOOKUP(C550,Customers!A:F,3,0),"")</f>
        <v>65</v>
      </c>
      <c r="P550">
        <f>IFERROR(VLOOKUP(D550,Products!A:F,4,0),"")</f>
        <v>705</v>
      </c>
      <c r="Q550" t="b">
        <f>IFERROR(VLOOKUP(D550,Products!A:F,6,0),"")</f>
        <v>1</v>
      </c>
      <c r="R550">
        <f t="shared" si="24"/>
        <v>0.265625</v>
      </c>
      <c r="S550">
        <f t="shared" si="25"/>
        <v>1</v>
      </c>
      <c r="T550">
        <f>IF(AND(S550&gt;1,COUNTIF($A$2:A550,A550)=1),1,0)</f>
        <v>0</v>
      </c>
      <c r="U550">
        <f>COUNTIF(Customers!$A$2:$A$301,C550)</f>
        <v>1</v>
      </c>
      <c r="V550">
        <f t="shared" si="26"/>
        <v>0</v>
      </c>
    </row>
    <row r="551" spans="1:22" ht="14.25" customHeight="1" x14ac:dyDescent="0.35">
      <c r="A551" s="10" t="s">
        <v>960</v>
      </c>
      <c r="B551" s="11">
        <v>45568</v>
      </c>
      <c r="C551" s="10" t="s">
        <v>230</v>
      </c>
      <c r="D551" s="10" t="s">
        <v>66</v>
      </c>
      <c r="E551" s="10" t="s">
        <v>92</v>
      </c>
      <c r="F551" s="12">
        <v>3</v>
      </c>
      <c r="G551" s="12">
        <v>3660</v>
      </c>
      <c r="H551" s="12">
        <v>3.2</v>
      </c>
      <c r="I551" s="12">
        <v>10628.64</v>
      </c>
      <c r="J551" s="10" t="s">
        <v>57</v>
      </c>
      <c r="K551" s="10" t="s">
        <v>63</v>
      </c>
      <c r="L551" t="str">
        <f>IFERROR(VLOOKUP(D551,Products!A:F,3,0),"")</f>
        <v>Grocery</v>
      </c>
      <c r="M551" t="str">
        <f>IFERROR(VLOOKUP(E551,Sales_Reps!A:E,3,0),"")</f>
        <v>West</v>
      </c>
      <c r="N551" t="str">
        <f>IFERROR(VLOOKUP(C551,Customers!A:F,5,0),"")</f>
        <v>Corporate</v>
      </c>
      <c r="O551">
        <f>IFERROR(VLOOKUP(C551,Customers!A:F,3,0),"")</f>
        <v>55</v>
      </c>
      <c r="P551">
        <f>IFERROR(VLOOKUP(D551,Products!A:F,4,0),"")</f>
        <v>2214</v>
      </c>
      <c r="Q551" t="b">
        <f>IFERROR(VLOOKUP(D551,Products!A:F,6,0),"")</f>
        <v>0</v>
      </c>
      <c r="R551">
        <f t="shared" si="24"/>
        <v>0.39508196721311473</v>
      </c>
      <c r="S551">
        <f t="shared" si="25"/>
        <v>1</v>
      </c>
      <c r="T551">
        <f>IF(AND(S551&gt;1,COUNTIF($A$2:A551,A551)=1),1,0)</f>
        <v>0</v>
      </c>
      <c r="U551">
        <f>COUNTIF(Customers!$A$2:$A$301,C551)</f>
        <v>1</v>
      </c>
      <c r="V551">
        <f t="shared" si="26"/>
        <v>0</v>
      </c>
    </row>
    <row r="552" spans="1:22" ht="14.25" customHeight="1" x14ac:dyDescent="0.35">
      <c r="A552" s="10" t="s">
        <v>961</v>
      </c>
      <c r="B552" s="11">
        <v>45572</v>
      </c>
      <c r="C552" s="10" t="s">
        <v>161</v>
      </c>
      <c r="D552" s="10" t="s">
        <v>99</v>
      </c>
      <c r="E552" s="10" t="s">
        <v>168</v>
      </c>
      <c r="F552" s="12">
        <v>6</v>
      </c>
      <c r="G552" s="12">
        <v>2640</v>
      </c>
      <c r="H552" s="12">
        <v>26.3</v>
      </c>
      <c r="I552" s="12">
        <v>11674.08</v>
      </c>
      <c r="J552" s="10" t="s">
        <v>51</v>
      </c>
      <c r="K552" s="10" t="s">
        <v>52</v>
      </c>
      <c r="L552" t="str">
        <f>IFERROR(VLOOKUP(D552,Products!A:F,3,0),"")</f>
        <v>Electronics</v>
      </c>
      <c r="M552" t="str">
        <f>IFERROR(VLOOKUP(E552,Sales_Reps!A:E,3,0),"")</f>
        <v>South</v>
      </c>
      <c r="N552" t="str">
        <f>IFERROR(VLOOKUP(C552,Customers!A:F,5,0),"")</f>
        <v>Corporate</v>
      </c>
      <c r="O552">
        <f>IFERROR(VLOOKUP(C552,Customers!A:F,3,0),"")</f>
        <v>47</v>
      </c>
      <c r="P552">
        <f>IFERROR(VLOOKUP(D552,Products!A:F,4,0),"")</f>
        <v>1149</v>
      </c>
      <c r="Q552" t="b">
        <f>IFERROR(VLOOKUP(D552,Products!A:F,6,0),"")</f>
        <v>1</v>
      </c>
      <c r="R552">
        <f t="shared" si="24"/>
        <v>0.56477272727272732</v>
      </c>
      <c r="S552">
        <f t="shared" si="25"/>
        <v>1</v>
      </c>
      <c r="T552">
        <f>IF(AND(S552&gt;1,COUNTIF($A$2:A552,A552)=1),1,0)</f>
        <v>0</v>
      </c>
      <c r="U552">
        <f>COUNTIF(Customers!$A$2:$A$301,C552)</f>
        <v>1</v>
      </c>
      <c r="V552">
        <f t="shared" si="26"/>
        <v>0</v>
      </c>
    </row>
    <row r="553" spans="1:22" ht="14.25" customHeight="1" x14ac:dyDescent="0.35">
      <c r="A553" s="10" t="s">
        <v>962</v>
      </c>
      <c r="B553" s="11">
        <v>45562</v>
      </c>
      <c r="C553" s="10" t="s">
        <v>389</v>
      </c>
      <c r="D553" s="10" t="s">
        <v>231</v>
      </c>
      <c r="E553" s="10" t="s">
        <v>168</v>
      </c>
      <c r="F553" s="12">
        <v>6</v>
      </c>
      <c r="G553" s="12">
        <v>1220</v>
      </c>
      <c r="H553" s="12">
        <v>22.3</v>
      </c>
      <c r="I553" s="12">
        <v>5687.64</v>
      </c>
      <c r="J553" s="10" t="s">
        <v>104</v>
      </c>
      <c r="K553" s="10" t="s">
        <v>58</v>
      </c>
      <c r="L553" t="str">
        <f>IFERROR(VLOOKUP(D553,Products!A:F,3,0),"")</f>
        <v>Electronics</v>
      </c>
      <c r="M553" t="str">
        <f>IFERROR(VLOOKUP(E553,Sales_Reps!A:E,3,0),"")</f>
        <v>South</v>
      </c>
      <c r="N553" t="str">
        <f>IFERROR(VLOOKUP(C553,Customers!A:F,5,0),"")</f>
        <v>SMB</v>
      </c>
      <c r="O553">
        <f>IFERROR(VLOOKUP(C553,Customers!A:F,3,0),"")</f>
        <v>64</v>
      </c>
      <c r="P553">
        <f>IFERROR(VLOOKUP(D553,Products!A:F,4,0),"")</f>
        <v>517</v>
      </c>
      <c r="Q553" t="b">
        <f>IFERROR(VLOOKUP(D553,Products!A:F,6,0),"")</f>
        <v>1</v>
      </c>
      <c r="R553">
        <f t="shared" si="24"/>
        <v>0.57622950819672136</v>
      </c>
      <c r="S553">
        <f t="shared" si="25"/>
        <v>1</v>
      </c>
      <c r="T553">
        <f>IF(AND(S553&gt;1,COUNTIF($A$2:A553,A553)=1),1,0)</f>
        <v>0</v>
      </c>
      <c r="U553">
        <f>COUNTIF(Customers!$A$2:$A$301,C553)</f>
        <v>1</v>
      </c>
      <c r="V553">
        <f t="shared" si="26"/>
        <v>0</v>
      </c>
    </row>
    <row r="554" spans="1:22" ht="14.25" customHeight="1" x14ac:dyDescent="0.35">
      <c r="A554" s="10" t="s">
        <v>963</v>
      </c>
      <c r="B554" s="11">
        <v>45345</v>
      </c>
      <c r="C554" s="10" t="s">
        <v>964</v>
      </c>
      <c r="D554" s="10" t="s">
        <v>246</v>
      </c>
      <c r="E554" s="10" t="s">
        <v>216</v>
      </c>
      <c r="F554" s="12">
        <v>1</v>
      </c>
      <c r="G554" s="12">
        <v>300</v>
      </c>
      <c r="H554" s="12">
        <v>0.7</v>
      </c>
      <c r="I554" s="12">
        <v>297.89999999999998</v>
      </c>
      <c r="J554" s="10" t="s">
        <v>51</v>
      </c>
      <c r="K554" s="10" t="s">
        <v>81</v>
      </c>
      <c r="L554" t="str">
        <f>IFERROR(VLOOKUP(D554,Products!A:F,3,0),"")</f>
        <v>Electronics</v>
      </c>
      <c r="M554" t="str">
        <f>IFERROR(VLOOKUP(E554,Sales_Reps!A:E,3,0),"")</f>
        <v>South</v>
      </c>
      <c r="N554" t="str">
        <f>IFERROR(VLOOKUP(C554,Customers!A:F,5,0),"")</f>
        <v>Retail</v>
      </c>
      <c r="O554">
        <f>IFERROR(VLOOKUP(C554,Customers!A:F,3,0),"")</f>
        <v>27</v>
      </c>
      <c r="P554">
        <f>IFERROR(VLOOKUP(D554,Products!A:F,4,0),"")</f>
        <v>128</v>
      </c>
      <c r="Q554" t="b">
        <f>IFERROR(VLOOKUP(D554,Products!A:F,6,0),"")</f>
        <v>1</v>
      </c>
      <c r="R554">
        <f t="shared" si="24"/>
        <v>0.57333333333333336</v>
      </c>
      <c r="S554">
        <f t="shared" si="25"/>
        <v>1</v>
      </c>
      <c r="T554">
        <f>IF(AND(S554&gt;1,COUNTIF($A$2:A554,A554)=1),1,0)</f>
        <v>0</v>
      </c>
      <c r="U554">
        <f>COUNTIF(Customers!$A$2:$A$301,C554)</f>
        <v>1</v>
      </c>
      <c r="V554">
        <f t="shared" si="26"/>
        <v>0</v>
      </c>
    </row>
    <row r="555" spans="1:22" ht="14.25" customHeight="1" x14ac:dyDescent="0.35">
      <c r="A555" s="10" t="s">
        <v>965</v>
      </c>
      <c r="B555" s="11">
        <v>45370</v>
      </c>
      <c r="C555" s="10" t="s">
        <v>661</v>
      </c>
      <c r="D555" s="10" t="s">
        <v>146</v>
      </c>
      <c r="E555" s="10" t="s">
        <v>156</v>
      </c>
      <c r="F555" s="12">
        <v>2</v>
      </c>
      <c r="G555" s="12">
        <v>1010</v>
      </c>
      <c r="H555" s="12">
        <v>28</v>
      </c>
      <c r="I555" s="12">
        <v>1454.4</v>
      </c>
      <c r="J555" s="10" t="s">
        <v>51</v>
      </c>
      <c r="K555" s="10" t="s">
        <v>97</v>
      </c>
      <c r="L555" t="str">
        <f>IFERROR(VLOOKUP(D555,Products!A:F,3,0),"")</f>
        <v>Sports</v>
      </c>
      <c r="M555" t="str">
        <f>IFERROR(VLOOKUP(E555,Sales_Reps!A:E,3,0),"")</f>
        <v>East</v>
      </c>
      <c r="N555" t="str">
        <f>IFERROR(VLOOKUP(C555,Customers!A:F,5,0),"")</f>
        <v>Retail</v>
      </c>
      <c r="O555">
        <f>IFERROR(VLOOKUP(C555,Customers!A:F,3,0),"")</f>
        <v>65</v>
      </c>
      <c r="P555">
        <f>IFERROR(VLOOKUP(D555,Products!A:F,4,0),"")</f>
        <v>516</v>
      </c>
      <c r="Q555" t="b">
        <f>IFERROR(VLOOKUP(D555,Products!A:F,6,0),"")</f>
        <v>1</v>
      </c>
      <c r="R555">
        <f t="shared" si="24"/>
        <v>0.4891089108910891</v>
      </c>
      <c r="S555">
        <f t="shared" si="25"/>
        <v>1</v>
      </c>
      <c r="T555">
        <f>IF(AND(S555&gt;1,COUNTIF($A$2:A555,A555)=1),1,0)</f>
        <v>0</v>
      </c>
      <c r="U555">
        <f>COUNTIF(Customers!$A$2:$A$301,C555)</f>
        <v>1</v>
      </c>
      <c r="V555">
        <f t="shared" si="26"/>
        <v>0</v>
      </c>
    </row>
    <row r="556" spans="1:22" ht="14.25" customHeight="1" x14ac:dyDescent="0.35">
      <c r="A556" s="10" t="s">
        <v>966</v>
      </c>
      <c r="B556" s="11">
        <v>45407</v>
      </c>
      <c r="C556" s="10" t="s">
        <v>967</v>
      </c>
      <c r="D556" s="10" t="s">
        <v>102</v>
      </c>
      <c r="E556" s="10" t="s">
        <v>237</v>
      </c>
      <c r="F556" s="12">
        <v>5</v>
      </c>
      <c r="G556" s="12">
        <v>2600</v>
      </c>
      <c r="H556" s="12">
        <v>0.8</v>
      </c>
      <c r="I556" s="12">
        <v>12896</v>
      </c>
      <c r="J556" s="10" t="s">
        <v>104</v>
      </c>
      <c r="K556" s="10" t="s">
        <v>63</v>
      </c>
      <c r="L556" t="str">
        <f>IFERROR(VLOOKUP(D556,Products!A:F,3,0),"")</f>
        <v>Electronics</v>
      </c>
      <c r="M556" t="str">
        <f>IFERROR(VLOOKUP(E556,Sales_Reps!A:E,3,0),"")</f>
        <v>South</v>
      </c>
      <c r="N556" t="str">
        <f>IFERROR(VLOOKUP(C556,Customers!A:F,5,0),"")</f>
        <v>SMB</v>
      </c>
      <c r="O556">
        <f>IFERROR(VLOOKUP(C556,Customers!A:F,3,0),"")</f>
        <v>45</v>
      </c>
      <c r="P556">
        <f>IFERROR(VLOOKUP(D556,Products!A:F,4,0),"")</f>
        <v>1052</v>
      </c>
      <c r="Q556" t="b">
        <f>IFERROR(VLOOKUP(D556,Products!A:F,6,0),"")</f>
        <v>1</v>
      </c>
      <c r="R556">
        <f t="shared" si="24"/>
        <v>0.5953846153846154</v>
      </c>
      <c r="S556">
        <f t="shared" si="25"/>
        <v>1</v>
      </c>
      <c r="T556">
        <f>IF(AND(S556&gt;1,COUNTIF($A$2:A556,A556)=1),1,0)</f>
        <v>0</v>
      </c>
      <c r="U556">
        <f>COUNTIF(Customers!$A$2:$A$301,C556)</f>
        <v>1</v>
      </c>
      <c r="V556">
        <f t="shared" si="26"/>
        <v>0</v>
      </c>
    </row>
    <row r="557" spans="1:22" ht="14.25" customHeight="1" x14ac:dyDescent="0.35">
      <c r="A557" s="10" t="s">
        <v>968</v>
      </c>
      <c r="B557" s="11">
        <v>45337</v>
      </c>
      <c r="C557" s="10" t="s">
        <v>519</v>
      </c>
      <c r="D557" s="10" t="s">
        <v>479</v>
      </c>
      <c r="E557" s="10" t="s">
        <v>165</v>
      </c>
      <c r="F557" s="12">
        <v>3</v>
      </c>
      <c r="G557" s="12">
        <v>6940</v>
      </c>
      <c r="H557" s="12">
        <v>10.7</v>
      </c>
      <c r="I557" s="12">
        <v>18592.259999999998</v>
      </c>
      <c r="J557" s="10" t="s">
        <v>104</v>
      </c>
      <c r="K557" s="10" t="s">
        <v>76</v>
      </c>
      <c r="L557" t="str">
        <f>IFERROR(VLOOKUP(D557,Products!A:F,3,0),"")</f>
        <v>Sports</v>
      </c>
      <c r="M557" t="str">
        <f>IFERROR(VLOOKUP(E557,Sales_Reps!A:E,3,0),"")</f>
        <v>West</v>
      </c>
      <c r="N557" t="str">
        <f>IFERROR(VLOOKUP(C557,Customers!A:F,5,0),"")</f>
        <v>Retail</v>
      </c>
      <c r="O557">
        <f>IFERROR(VLOOKUP(C557,Customers!A:F,3,0),"")</f>
        <v>37</v>
      </c>
      <c r="P557">
        <f>IFERROR(VLOOKUP(D557,Products!A:F,4,0),"")</f>
        <v>2827</v>
      </c>
      <c r="Q557" t="b">
        <f>IFERROR(VLOOKUP(D557,Products!A:F,6,0),"")</f>
        <v>1</v>
      </c>
      <c r="R557">
        <f t="shared" si="24"/>
        <v>0.5926512968299712</v>
      </c>
      <c r="S557">
        <f t="shared" si="25"/>
        <v>1</v>
      </c>
      <c r="T557">
        <f>IF(AND(S557&gt;1,COUNTIF($A$2:A557,A557)=1),1,0)</f>
        <v>0</v>
      </c>
      <c r="U557">
        <f>COUNTIF(Customers!$A$2:$A$301,C557)</f>
        <v>1</v>
      </c>
      <c r="V557">
        <f t="shared" si="26"/>
        <v>0</v>
      </c>
    </row>
    <row r="558" spans="1:22" ht="14.25" customHeight="1" x14ac:dyDescent="0.35">
      <c r="A558" s="10" t="s">
        <v>969</v>
      </c>
      <c r="B558" s="11">
        <v>45571</v>
      </c>
      <c r="C558" s="10" t="s">
        <v>970</v>
      </c>
      <c r="D558" s="10" t="s">
        <v>74</v>
      </c>
      <c r="E558" s="10" t="s">
        <v>237</v>
      </c>
      <c r="F558" s="12">
        <v>1</v>
      </c>
      <c r="G558" s="12">
        <v>370</v>
      </c>
      <c r="H558" s="12">
        <v>10.3</v>
      </c>
      <c r="I558" s="12">
        <v>331.89</v>
      </c>
      <c r="J558" s="10" t="s">
        <v>108</v>
      </c>
      <c r="K558" s="10" t="s">
        <v>81</v>
      </c>
      <c r="L558" t="str">
        <f>IFERROR(VLOOKUP(D558,Products!A:F,3,0),"")</f>
        <v>Home</v>
      </c>
      <c r="M558" t="str">
        <f>IFERROR(VLOOKUP(E558,Sales_Reps!A:E,3,0),"")</f>
        <v>South</v>
      </c>
      <c r="N558" t="str">
        <f>IFERROR(VLOOKUP(C558,Customers!A:F,5,0),"")</f>
        <v>SMB</v>
      </c>
      <c r="O558">
        <f>IFERROR(VLOOKUP(C558,Customers!A:F,3,0),"")</f>
        <v>44</v>
      </c>
      <c r="P558">
        <f>IFERROR(VLOOKUP(D558,Products!A:F,4,0),"")</f>
        <v>288</v>
      </c>
      <c r="Q558" t="b">
        <f>IFERROR(VLOOKUP(D558,Products!A:F,6,0),"")</f>
        <v>1</v>
      </c>
      <c r="R558">
        <f t="shared" si="24"/>
        <v>0.22162162162162163</v>
      </c>
      <c r="S558">
        <f t="shared" si="25"/>
        <v>1</v>
      </c>
      <c r="T558">
        <f>IF(AND(S558&gt;1,COUNTIF($A$2:A558,A558)=1),1,0)</f>
        <v>0</v>
      </c>
      <c r="U558">
        <f>COUNTIF(Customers!$A$2:$A$301,C558)</f>
        <v>1</v>
      </c>
      <c r="V558">
        <f t="shared" si="26"/>
        <v>0</v>
      </c>
    </row>
    <row r="559" spans="1:22" ht="14.25" customHeight="1" x14ac:dyDescent="0.35">
      <c r="A559" s="10" t="s">
        <v>971</v>
      </c>
      <c r="B559" s="11">
        <v>45357</v>
      </c>
      <c r="C559" s="10" t="s">
        <v>561</v>
      </c>
      <c r="D559" s="10" t="s">
        <v>198</v>
      </c>
      <c r="E559" s="10" t="s">
        <v>193</v>
      </c>
      <c r="F559" s="12">
        <v>2</v>
      </c>
      <c r="G559" s="12">
        <v>3780</v>
      </c>
      <c r="H559" s="12">
        <v>29.4</v>
      </c>
      <c r="I559" s="12">
        <v>5337.36</v>
      </c>
      <c r="J559" s="10" t="s">
        <v>51</v>
      </c>
      <c r="K559" s="10" t="s">
        <v>76</v>
      </c>
      <c r="L559" t="str">
        <f>IFERROR(VLOOKUP(D559,Products!A:F,3,0),"")</f>
        <v>Grocery</v>
      </c>
      <c r="M559" t="str">
        <f>IFERROR(VLOOKUP(E559,Sales_Reps!A:E,3,0),"")</f>
        <v>West</v>
      </c>
      <c r="N559" t="str">
        <f>IFERROR(VLOOKUP(C559,Customers!A:F,5,0),"")</f>
        <v>Retail</v>
      </c>
      <c r="O559">
        <f>IFERROR(VLOOKUP(C559,Customers!A:F,3,0),"")</f>
        <v>39</v>
      </c>
      <c r="P559">
        <f>IFERROR(VLOOKUP(D559,Products!A:F,4,0),"")</f>
        <v>2436</v>
      </c>
      <c r="Q559" t="b">
        <f>IFERROR(VLOOKUP(D559,Products!A:F,6,0),"")</f>
        <v>1</v>
      </c>
      <c r="R559">
        <f t="shared" si="24"/>
        <v>0.35555555555555557</v>
      </c>
      <c r="S559">
        <f t="shared" si="25"/>
        <v>1</v>
      </c>
      <c r="T559">
        <f>IF(AND(S559&gt;1,COUNTIF($A$2:A559,A559)=1),1,0)</f>
        <v>0</v>
      </c>
      <c r="U559">
        <f>COUNTIF(Customers!$A$2:$A$301,C559)</f>
        <v>1</v>
      </c>
      <c r="V559">
        <f t="shared" si="26"/>
        <v>0</v>
      </c>
    </row>
    <row r="560" spans="1:22" ht="14.25" customHeight="1" x14ac:dyDescent="0.35">
      <c r="A560" s="10" t="s">
        <v>972</v>
      </c>
      <c r="B560" s="11">
        <v>45432</v>
      </c>
      <c r="C560" s="10" t="s">
        <v>443</v>
      </c>
      <c r="D560" s="10" t="s">
        <v>91</v>
      </c>
      <c r="E560" s="10" t="s">
        <v>249</v>
      </c>
      <c r="F560" s="12">
        <v>5</v>
      </c>
      <c r="G560" s="12">
        <v>970</v>
      </c>
      <c r="H560" s="12">
        <v>14.6</v>
      </c>
      <c r="I560" s="12">
        <v>4141.8999999999996</v>
      </c>
      <c r="J560" s="10" t="s">
        <v>51</v>
      </c>
      <c r="K560" s="10" t="s">
        <v>52</v>
      </c>
      <c r="L560" t="str">
        <f>IFERROR(VLOOKUP(D560,Products!A:F,3,0),"")</f>
        <v>Grocery</v>
      </c>
      <c r="M560" t="str">
        <f>IFERROR(VLOOKUP(E560,Sales_Reps!A:E,3,0),"")</f>
        <v>East</v>
      </c>
      <c r="N560" t="str">
        <f>IFERROR(VLOOKUP(C560,Customers!A:F,5,0),"")</f>
        <v>SMB</v>
      </c>
      <c r="O560">
        <f>IFERROR(VLOOKUP(C560,Customers!A:F,3,0),"")</f>
        <v>49</v>
      </c>
      <c r="P560">
        <f>IFERROR(VLOOKUP(D560,Products!A:F,4,0),"")</f>
        <v>434</v>
      </c>
      <c r="Q560" t="b">
        <f>IFERROR(VLOOKUP(D560,Products!A:F,6,0),"")</f>
        <v>1</v>
      </c>
      <c r="R560">
        <f t="shared" si="24"/>
        <v>0.5525773195876289</v>
      </c>
      <c r="S560">
        <f t="shared" si="25"/>
        <v>1</v>
      </c>
      <c r="T560">
        <f>IF(AND(S560&gt;1,COUNTIF($A$2:A560,A560)=1),1,0)</f>
        <v>0</v>
      </c>
      <c r="U560">
        <f>COUNTIF(Customers!$A$2:$A$301,C560)</f>
        <v>1</v>
      </c>
      <c r="V560">
        <f t="shared" si="26"/>
        <v>0</v>
      </c>
    </row>
    <row r="561" spans="1:22" ht="14.25" customHeight="1" x14ac:dyDescent="0.35">
      <c r="A561" s="10" t="s">
        <v>973</v>
      </c>
      <c r="B561" s="11">
        <v>45604</v>
      </c>
      <c r="C561" s="10" t="s">
        <v>749</v>
      </c>
      <c r="D561" s="10" t="s">
        <v>209</v>
      </c>
      <c r="E561" s="10" t="s">
        <v>261</v>
      </c>
      <c r="F561" s="12">
        <v>3</v>
      </c>
      <c r="G561" s="12">
        <v>2270</v>
      </c>
      <c r="H561" s="12">
        <v>6.5</v>
      </c>
      <c r="I561" s="12">
        <v>6367.35</v>
      </c>
      <c r="J561" s="10" t="s">
        <v>51</v>
      </c>
      <c r="K561" s="10" t="s">
        <v>52</v>
      </c>
      <c r="L561" t="str">
        <f>IFERROR(VLOOKUP(D561,Products!A:F,3,0),"")</f>
        <v>Grocery</v>
      </c>
      <c r="M561" t="str">
        <f>IFERROR(VLOOKUP(E561,Sales_Reps!A:E,3,0),"")</f>
        <v>North</v>
      </c>
      <c r="N561" t="str">
        <f>IFERROR(VLOOKUP(C561,Customers!A:F,5,0),"")</f>
        <v>Retail</v>
      </c>
      <c r="O561">
        <f>IFERROR(VLOOKUP(C561,Customers!A:F,3,0),"")</f>
        <v>31</v>
      </c>
      <c r="P561">
        <f>IFERROR(VLOOKUP(D561,Products!A:F,4,0),"")</f>
        <v>1412</v>
      </c>
      <c r="Q561" t="b">
        <f>IFERROR(VLOOKUP(D561,Products!A:F,6,0),"")</f>
        <v>1</v>
      </c>
      <c r="R561">
        <f t="shared" si="24"/>
        <v>0.37797356828193834</v>
      </c>
      <c r="S561">
        <f t="shared" si="25"/>
        <v>1</v>
      </c>
      <c r="T561">
        <f>IF(AND(S561&gt;1,COUNTIF($A$2:A561,A561)=1),1,0)</f>
        <v>0</v>
      </c>
      <c r="U561">
        <f>COUNTIF(Customers!$A$2:$A$301,C561)</f>
        <v>1</v>
      </c>
      <c r="V561">
        <f t="shared" si="26"/>
        <v>0</v>
      </c>
    </row>
    <row r="562" spans="1:22" ht="14.25" customHeight="1" x14ac:dyDescent="0.35">
      <c r="A562" s="10" t="s">
        <v>974</v>
      </c>
      <c r="B562" s="11">
        <v>45467</v>
      </c>
      <c r="C562" s="10" t="s">
        <v>664</v>
      </c>
      <c r="D562" s="10" t="s">
        <v>223</v>
      </c>
      <c r="E562" s="10" t="s">
        <v>193</v>
      </c>
      <c r="F562" s="12">
        <v>10</v>
      </c>
      <c r="G562" s="12">
        <v>1540</v>
      </c>
      <c r="H562" s="12">
        <v>16.5</v>
      </c>
      <c r="I562" s="12">
        <v>12859</v>
      </c>
      <c r="J562" s="10" t="s">
        <v>51</v>
      </c>
      <c r="K562" s="10" t="s">
        <v>58</v>
      </c>
      <c r="L562" t="str">
        <f>IFERROR(VLOOKUP(D562,Products!A:F,3,0),"")</f>
        <v>Beauty</v>
      </c>
      <c r="M562" t="str">
        <f>IFERROR(VLOOKUP(E562,Sales_Reps!A:E,3,0),"")</f>
        <v>West</v>
      </c>
      <c r="N562" t="str">
        <f>IFERROR(VLOOKUP(C562,Customers!A:F,5,0),"")</f>
        <v>SMB</v>
      </c>
      <c r="O562">
        <f>IFERROR(VLOOKUP(C562,Customers!A:F,3,0),"")</f>
        <v>46</v>
      </c>
      <c r="P562">
        <f>IFERROR(VLOOKUP(D562,Products!A:F,4,0),"")</f>
        <v>647</v>
      </c>
      <c r="Q562" t="b">
        <f>IFERROR(VLOOKUP(D562,Products!A:F,6,0),"")</f>
        <v>0</v>
      </c>
      <c r="R562">
        <f t="shared" si="24"/>
        <v>0.57987012987012987</v>
      </c>
      <c r="S562">
        <f t="shared" si="25"/>
        <v>1</v>
      </c>
      <c r="T562">
        <f>IF(AND(S562&gt;1,COUNTIF($A$2:A562,A562)=1),1,0)</f>
        <v>0</v>
      </c>
      <c r="U562">
        <f>COUNTIF(Customers!$A$2:$A$301,C562)</f>
        <v>1</v>
      </c>
      <c r="V562">
        <f t="shared" si="26"/>
        <v>0</v>
      </c>
    </row>
    <row r="563" spans="1:22" ht="14.25" customHeight="1" x14ac:dyDescent="0.35">
      <c r="A563" s="10" t="s">
        <v>975</v>
      </c>
      <c r="B563" s="11">
        <v>45649</v>
      </c>
      <c r="C563" s="10" t="s">
        <v>69</v>
      </c>
      <c r="D563" s="10" t="s">
        <v>164</v>
      </c>
      <c r="E563" s="10" t="s">
        <v>202</v>
      </c>
      <c r="F563" s="12">
        <v>4</v>
      </c>
      <c r="G563" s="12">
        <v>2760</v>
      </c>
      <c r="H563" s="12">
        <v>19.8</v>
      </c>
      <c r="I563" s="12">
        <v>8854.08</v>
      </c>
      <c r="J563" s="10" t="s">
        <v>51</v>
      </c>
      <c r="K563" s="10" t="s">
        <v>58</v>
      </c>
      <c r="L563" t="str">
        <f>IFERROR(VLOOKUP(D563,Products!A:F,3,0),"")</f>
        <v>Grocery</v>
      </c>
      <c r="M563" t="str">
        <f>IFERROR(VLOOKUP(E563,Sales_Reps!A:E,3,0),"")</f>
        <v>East</v>
      </c>
      <c r="N563" t="str">
        <f>IFERROR(VLOOKUP(C563,Customers!A:F,5,0),"")</f>
        <v>Retail</v>
      </c>
      <c r="O563">
        <f>IFERROR(VLOOKUP(C563,Customers!A:F,3,0),"")</f>
        <v>36</v>
      </c>
      <c r="P563">
        <f>IFERROR(VLOOKUP(D563,Products!A:F,4,0),"")</f>
        <v>1435</v>
      </c>
      <c r="Q563" t="b">
        <f>IFERROR(VLOOKUP(D563,Products!A:F,6,0),"")</f>
        <v>1</v>
      </c>
      <c r="R563">
        <f t="shared" si="24"/>
        <v>0.48007246376811596</v>
      </c>
      <c r="S563">
        <f t="shared" si="25"/>
        <v>1</v>
      </c>
      <c r="T563">
        <f>IF(AND(S563&gt;1,COUNTIF($A$2:A563,A563)=1),1,0)</f>
        <v>0</v>
      </c>
      <c r="U563">
        <f>COUNTIF(Customers!$A$2:$A$301,C563)</f>
        <v>1</v>
      </c>
      <c r="V563">
        <f t="shared" si="26"/>
        <v>0</v>
      </c>
    </row>
    <row r="564" spans="1:22" ht="14.25" customHeight="1" x14ac:dyDescent="0.35">
      <c r="A564" s="10" t="s">
        <v>976</v>
      </c>
      <c r="B564" s="11">
        <v>45332</v>
      </c>
      <c r="C564" s="10" t="s">
        <v>349</v>
      </c>
      <c r="D564" s="10" t="s">
        <v>95</v>
      </c>
      <c r="E564" s="10" t="s">
        <v>134</v>
      </c>
      <c r="F564" s="12">
        <v>3</v>
      </c>
      <c r="G564" s="12">
        <v>2270</v>
      </c>
      <c r="H564" s="12">
        <v>29.5</v>
      </c>
      <c r="I564" s="12">
        <v>4801.05</v>
      </c>
      <c r="J564" s="10" t="s">
        <v>108</v>
      </c>
      <c r="K564" s="10" t="s">
        <v>81</v>
      </c>
      <c r="L564" t="str">
        <f>IFERROR(VLOOKUP(D564,Products!A:F,3,0),"")</f>
        <v>Grocery</v>
      </c>
      <c r="M564" t="str">
        <f>IFERROR(VLOOKUP(E564,Sales_Reps!A:E,3,0),"")</f>
        <v>West</v>
      </c>
      <c r="N564" t="str">
        <f>IFERROR(VLOOKUP(C564,Customers!A:F,5,0),"")</f>
        <v>Retail</v>
      </c>
      <c r="O564">
        <f>IFERROR(VLOOKUP(C564,Customers!A:F,3,0),"")</f>
        <v>23</v>
      </c>
      <c r="P564">
        <f>IFERROR(VLOOKUP(D564,Products!A:F,4,0),"")</f>
        <v>1203</v>
      </c>
      <c r="Q564" t="b">
        <f>IFERROR(VLOOKUP(D564,Products!A:F,6,0),"")</f>
        <v>1</v>
      </c>
      <c r="R564">
        <f t="shared" si="24"/>
        <v>0.47004405286343615</v>
      </c>
      <c r="S564">
        <f t="shared" si="25"/>
        <v>1</v>
      </c>
      <c r="T564">
        <f>IF(AND(S564&gt;1,COUNTIF($A$2:A564,A564)=1),1,0)</f>
        <v>0</v>
      </c>
      <c r="U564">
        <f>COUNTIF(Customers!$A$2:$A$301,C564)</f>
        <v>1</v>
      </c>
      <c r="V564">
        <f t="shared" si="26"/>
        <v>4801.05</v>
      </c>
    </row>
    <row r="565" spans="1:22" ht="14.25" customHeight="1" x14ac:dyDescent="0.35">
      <c r="A565" s="10" t="s">
        <v>977</v>
      </c>
      <c r="B565" s="11">
        <v>45418</v>
      </c>
      <c r="C565" s="10" t="s">
        <v>531</v>
      </c>
      <c r="D565" s="10" t="s">
        <v>240</v>
      </c>
      <c r="E565" s="10" t="s">
        <v>152</v>
      </c>
      <c r="F565" s="12">
        <v>8</v>
      </c>
      <c r="G565" s="12">
        <v>3020</v>
      </c>
      <c r="H565" s="12">
        <v>1.2</v>
      </c>
      <c r="I565" s="12">
        <v>23870.080000000002</v>
      </c>
      <c r="J565" s="10" t="s">
        <v>51</v>
      </c>
      <c r="K565" s="10" t="s">
        <v>81</v>
      </c>
      <c r="L565" t="str">
        <f>IFERROR(VLOOKUP(D565,Products!A:F,3,0),"")</f>
        <v>Beauty</v>
      </c>
      <c r="M565" t="str">
        <f>IFERROR(VLOOKUP(E565,Sales_Reps!A:E,3,0),"")</f>
        <v>South</v>
      </c>
      <c r="N565" t="str">
        <f>IFERROR(VLOOKUP(C565,Customers!A:F,5,0),"")</f>
        <v>Corporate</v>
      </c>
      <c r="O565">
        <f>IFERROR(VLOOKUP(C565,Customers!A:F,3,0),"")</f>
        <v>41</v>
      </c>
      <c r="P565">
        <f>IFERROR(VLOOKUP(D565,Products!A:F,4,0),"")</f>
        <v>1626</v>
      </c>
      <c r="Q565" t="b">
        <f>IFERROR(VLOOKUP(D565,Products!A:F,6,0),"")</f>
        <v>1</v>
      </c>
      <c r="R565">
        <f t="shared" si="24"/>
        <v>0.46158940397350995</v>
      </c>
      <c r="S565">
        <f t="shared" si="25"/>
        <v>1</v>
      </c>
      <c r="T565">
        <f>IF(AND(S565&gt;1,COUNTIF($A$2:A565,A565)=1),1,0)</f>
        <v>0</v>
      </c>
      <c r="U565">
        <f>COUNTIF(Customers!$A$2:$A$301,C565)</f>
        <v>1</v>
      </c>
      <c r="V565">
        <f t="shared" si="26"/>
        <v>0</v>
      </c>
    </row>
    <row r="566" spans="1:22" ht="14.25" customHeight="1" x14ac:dyDescent="0.35">
      <c r="A566" s="10" t="s">
        <v>978</v>
      </c>
      <c r="B566" s="11">
        <v>45490</v>
      </c>
      <c r="C566" s="10" t="s">
        <v>523</v>
      </c>
      <c r="D566" s="10" t="s">
        <v>331</v>
      </c>
      <c r="E566" s="10" t="s">
        <v>267</v>
      </c>
      <c r="F566" s="12">
        <v>6</v>
      </c>
      <c r="G566" s="12">
        <v>2380</v>
      </c>
      <c r="H566" s="12">
        <v>20.399999999999999</v>
      </c>
      <c r="I566" s="12">
        <v>11366.88</v>
      </c>
      <c r="J566" s="10" t="s">
        <v>51</v>
      </c>
      <c r="K566" s="10" t="s">
        <v>52</v>
      </c>
      <c r="L566" t="str">
        <f>IFERROR(VLOOKUP(D566,Products!A:F,3,0),"")</f>
        <v>Grocery</v>
      </c>
      <c r="M566" t="str">
        <f>IFERROR(VLOOKUP(E566,Sales_Reps!A:E,3,0),"")</f>
        <v>East</v>
      </c>
      <c r="N566" t="str">
        <f>IFERROR(VLOOKUP(C566,Customers!A:F,5,0),"")</f>
        <v>Retail</v>
      </c>
      <c r="O566">
        <f>IFERROR(VLOOKUP(C566,Customers!A:F,3,0),"")</f>
        <v>62</v>
      </c>
      <c r="P566">
        <f>IFERROR(VLOOKUP(D566,Products!A:F,4,0),"")</f>
        <v>1182</v>
      </c>
      <c r="Q566" t="b">
        <f>IFERROR(VLOOKUP(D566,Products!A:F,6,0),"")</f>
        <v>1</v>
      </c>
      <c r="R566">
        <f t="shared" si="24"/>
        <v>0.50336134453781511</v>
      </c>
      <c r="S566">
        <f t="shared" si="25"/>
        <v>1</v>
      </c>
      <c r="T566">
        <f>IF(AND(S566&gt;1,COUNTIF($A$2:A566,A566)=1),1,0)</f>
        <v>0</v>
      </c>
      <c r="U566">
        <f>COUNTIF(Customers!$A$2:$A$301,C566)</f>
        <v>1</v>
      </c>
      <c r="V566">
        <f t="shared" si="26"/>
        <v>0</v>
      </c>
    </row>
    <row r="567" spans="1:22" ht="14.25" customHeight="1" x14ac:dyDescent="0.35">
      <c r="A567" s="10" t="s">
        <v>979</v>
      </c>
      <c r="B567" s="11">
        <v>45470</v>
      </c>
      <c r="C567" s="10" t="s">
        <v>980</v>
      </c>
      <c r="D567" s="10" t="s">
        <v>479</v>
      </c>
      <c r="E567" s="10" t="s">
        <v>92</v>
      </c>
      <c r="F567" s="12">
        <v>1</v>
      </c>
      <c r="G567" s="12">
        <v>6940</v>
      </c>
      <c r="H567" s="12">
        <v>15</v>
      </c>
      <c r="I567" s="12">
        <v>5899</v>
      </c>
      <c r="J567" s="10" t="s">
        <v>104</v>
      </c>
      <c r="K567" s="10" t="s">
        <v>81</v>
      </c>
      <c r="L567" t="str">
        <f>IFERROR(VLOOKUP(D567,Products!A:F,3,0),"")</f>
        <v>Sports</v>
      </c>
      <c r="M567" t="str">
        <f>IFERROR(VLOOKUP(E567,Sales_Reps!A:E,3,0),"")</f>
        <v>West</v>
      </c>
      <c r="N567" t="str">
        <f>IFERROR(VLOOKUP(C567,Customers!A:F,5,0),"")</f>
        <v>SMB</v>
      </c>
      <c r="O567">
        <f>IFERROR(VLOOKUP(C567,Customers!A:F,3,0),"")</f>
        <v>49</v>
      </c>
      <c r="P567">
        <f>IFERROR(VLOOKUP(D567,Products!A:F,4,0),"")</f>
        <v>2827</v>
      </c>
      <c r="Q567" t="b">
        <f>IFERROR(VLOOKUP(D567,Products!A:F,6,0),"")</f>
        <v>1</v>
      </c>
      <c r="R567">
        <f t="shared" si="24"/>
        <v>0.5926512968299712</v>
      </c>
      <c r="S567">
        <f t="shared" si="25"/>
        <v>1</v>
      </c>
      <c r="T567">
        <f>IF(AND(S567&gt;1,COUNTIF($A$2:A567,A567)=1),1,0)</f>
        <v>0</v>
      </c>
      <c r="U567">
        <f>COUNTIF(Customers!$A$2:$A$301,C567)</f>
        <v>1</v>
      </c>
      <c r="V567">
        <f t="shared" si="26"/>
        <v>0</v>
      </c>
    </row>
    <row r="568" spans="1:22" ht="14.25" customHeight="1" x14ac:dyDescent="0.35">
      <c r="A568" s="10" t="s">
        <v>981</v>
      </c>
      <c r="B568" s="11">
        <v>45654</v>
      </c>
      <c r="C568" s="10" t="s">
        <v>255</v>
      </c>
      <c r="D568" s="10" t="s">
        <v>243</v>
      </c>
      <c r="E568" s="10" t="s">
        <v>96</v>
      </c>
      <c r="F568" s="12">
        <v>1</v>
      </c>
      <c r="G568" s="12">
        <v>2660</v>
      </c>
      <c r="H568" s="12">
        <v>11.6</v>
      </c>
      <c r="I568" s="12">
        <v>2351.44</v>
      </c>
      <c r="J568" s="10" t="s">
        <v>51</v>
      </c>
      <c r="K568" s="10" t="s">
        <v>63</v>
      </c>
      <c r="L568" t="str">
        <f>IFERROR(VLOOKUP(D568,Products!A:F,3,0),"")</f>
        <v>Electronics</v>
      </c>
      <c r="M568" t="str">
        <f>IFERROR(VLOOKUP(E568,Sales_Reps!A:E,3,0),"")</f>
        <v>South</v>
      </c>
      <c r="N568" t="str">
        <f>IFERROR(VLOOKUP(C568,Customers!A:F,5,0),"")</f>
        <v>Retail</v>
      </c>
      <c r="O568">
        <f>IFERROR(VLOOKUP(C568,Customers!A:F,3,0),"")</f>
        <v>35</v>
      </c>
      <c r="P568">
        <f>IFERROR(VLOOKUP(D568,Products!A:F,4,0),"")</f>
        <v>1259</v>
      </c>
      <c r="Q568" t="b">
        <f>IFERROR(VLOOKUP(D568,Products!A:F,6,0),"")</f>
        <v>0</v>
      </c>
      <c r="R568">
        <f t="shared" si="24"/>
        <v>0.52669172932330832</v>
      </c>
      <c r="S568">
        <f t="shared" si="25"/>
        <v>1</v>
      </c>
      <c r="T568">
        <f>IF(AND(S568&gt;1,COUNTIF($A$2:A568,A568)=1),1,0)</f>
        <v>0</v>
      </c>
      <c r="U568">
        <f>COUNTIF(Customers!$A$2:$A$301,C568)</f>
        <v>1</v>
      </c>
      <c r="V568">
        <f t="shared" si="26"/>
        <v>0</v>
      </c>
    </row>
    <row r="569" spans="1:22" ht="14.25" customHeight="1" x14ac:dyDescent="0.35">
      <c r="A569" s="10" t="s">
        <v>982</v>
      </c>
      <c r="B569" s="11">
        <v>45548</v>
      </c>
      <c r="C569" s="10" t="s">
        <v>734</v>
      </c>
      <c r="D569" s="10" t="s">
        <v>91</v>
      </c>
      <c r="E569" s="10" t="s">
        <v>216</v>
      </c>
      <c r="F569" s="12">
        <v>4</v>
      </c>
      <c r="G569" s="12">
        <v>970</v>
      </c>
      <c r="H569" s="12">
        <v>11.6</v>
      </c>
      <c r="I569" s="12">
        <v>3429.92</v>
      </c>
      <c r="J569" s="10" t="s">
        <v>51</v>
      </c>
      <c r="K569" s="10" t="s">
        <v>52</v>
      </c>
      <c r="L569" t="str">
        <f>IFERROR(VLOOKUP(D569,Products!A:F,3,0),"")</f>
        <v>Grocery</v>
      </c>
      <c r="M569" t="str">
        <f>IFERROR(VLOOKUP(E569,Sales_Reps!A:E,3,0),"")</f>
        <v>South</v>
      </c>
      <c r="N569" t="str">
        <f>IFERROR(VLOOKUP(C569,Customers!A:F,5,0),"")</f>
        <v>Retail</v>
      </c>
      <c r="O569">
        <f>IFERROR(VLOOKUP(C569,Customers!A:F,3,0),"")</f>
        <v>35</v>
      </c>
      <c r="P569">
        <f>IFERROR(VLOOKUP(D569,Products!A:F,4,0),"")</f>
        <v>434</v>
      </c>
      <c r="Q569" t="b">
        <f>IFERROR(VLOOKUP(D569,Products!A:F,6,0),"")</f>
        <v>1</v>
      </c>
      <c r="R569">
        <f t="shared" si="24"/>
        <v>0.5525773195876289</v>
      </c>
      <c r="S569">
        <f t="shared" si="25"/>
        <v>1</v>
      </c>
      <c r="T569">
        <f>IF(AND(S569&gt;1,COUNTIF($A$2:A569,A569)=1),1,0)</f>
        <v>0</v>
      </c>
      <c r="U569">
        <f>COUNTIF(Customers!$A$2:$A$301,C569)</f>
        <v>1</v>
      </c>
      <c r="V569">
        <f t="shared" si="26"/>
        <v>0</v>
      </c>
    </row>
    <row r="570" spans="1:22" ht="14.25" customHeight="1" x14ac:dyDescent="0.35">
      <c r="A570" s="10" t="s">
        <v>983</v>
      </c>
      <c r="B570" s="11">
        <v>45632</v>
      </c>
      <c r="C570" s="10" t="s">
        <v>566</v>
      </c>
      <c r="D570" s="10" t="s">
        <v>209</v>
      </c>
      <c r="E570" s="10" t="s">
        <v>261</v>
      </c>
      <c r="F570" s="12">
        <v>7</v>
      </c>
      <c r="G570" s="12">
        <v>2270</v>
      </c>
      <c r="H570" s="12">
        <v>27.9</v>
      </c>
      <c r="I570" s="12">
        <v>11456.69</v>
      </c>
      <c r="J570" s="10" t="s">
        <v>51</v>
      </c>
      <c r="K570" s="10" t="s">
        <v>58</v>
      </c>
      <c r="L570" t="str">
        <f>IFERROR(VLOOKUP(D570,Products!A:F,3,0),"")</f>
        <v>Grocery</v>
      </c>
      <c r="M570" t="str">
        <f>IFERROR(VLOOKUP(E570,Sales_Reps!A:E,3,0),"")</f>
        <v>North</v>
      </c>
      <c r="N570" t="str">
        <f>IFERROR(VLOOKUP(C570,Customers!A:F,5,0),"")</f>
        <v>Retail</v>
      </c>
      <c r="O570">
        <f>IFERROR(VLOOKUP(C570,Customers!A:F,3,0),"")</f>
        <v>61</v>
      </c>
      <c r="P570">
        <f>IFERROR(VLOOKUP(D570,Products!A:F,4,0),"")</f>
        <v>1412</v>
      </c>
      <c r="Q570" t="b">
        <f>IFERROR(VLOOKUP(D570,Products!A:F,6,0),"")</f>
        <v>1</v>
      </c>
      <c r="R570">
        <f t="shared" si="24"/>
        <v>0.37797356828193834</v>
      </c>
      <c r="S570">
        <f t="shared" si="25"/>
        <v>1</v>
      </c>
      <c r="T570">
        <f>IF(AND(S570&gt;1,COUNTIF($A$2:A570,A570)=1),1,0)</f>
        <v>0</v>
      </c>
      <c r="U570">
        <f>COUNTIF(Customers!$A$2:$A$301,C570)</f>
        <v>1</v>
      </c>
      <c r="V570">
        <f t="shared" si="26"/>
        <v>0</v>
      </c>
    </row>
    <row r="571" spans="1:22" ht="14.25" customHeight="1" x14ac:dyDescent="0.35">
      <c r="A571" s="10" t="s">
        <v>984</v>
      </c>
      <c r="B571" s="11">
        <v>45304</v>
      </c>
      <c r="C571" s="10" t="s">
        <v>227</v>
      </c>
      <c r="D571" s="10" t="s">
        <v>146</v>
      </c>
      <c r="E571" s="10" t="s">
        <v>310</v>
      </c>
      <c r="F571" s="12">
        <v>8</v>
      </c>
      <c r="G571" s="12">
        <v>1010</v>
      </c>
      <c r="H571" s="12">
        <v>13.7</v>
      </c>
      <c r="I571" s="12">
        <v>6973.04</v>
      </c>
      <c r="J571" s="10" t="s">
        <v>104</v>
      </c>
      <c r="K571" s="10" t="s">
        <v>97</v>
      </c>
      <c r="L571" t="str">
        <f>IFERROR(VLOOKUP(D571,Products!A:F,3,0),"")</f>
        <v>Sports</v>
      </c>
      <c r="M571" t="str">
        <f>IFERROR(VLOOKUP(E571,Sales_Reps!A:E,3,0),"")</f>
        <v>South</v>
      </c>
      <c r="N571" t="str">
        <f>IFERROR(VLOOKUP(C571,Customers!A:F,5,0),"")</f>
        <v>Retail</v>
      </c>
      <c r="O571">
        <f>IFERROR(VLOOKUP(C571,Customers!A:F,3,0),"")</f>
        <v>53</v>
      </c>
      <c r="P571">
        <f>IFERROR(VLOOKUP(D571,Products!A:F,4,0),"")</f>
        <v>516</v>
      </c>
      <c r="Q571" t="b">
        <f>IFERROR(VLOOKUP(D571,Products!A:F,6,0),"")</f>
        <v>1</v>
      </c>
      <c r="R571">
        <f t="shared" si="24"/>
        <v>0.4891089108910891</v>
      </c>
      <c r="S571">
        <f t="shared" si="25"/>
        <v>1</v>
      </c>
      <c r="T571">
        <f>IF(AND(S571&gt;1,COUNTIF($A$2:A571,A571)=1),1,0)</f>
        <v>0</v>
      </c>
      <c r="U571">
        <f>COUNTIF(Customers!$A$2:$A$301,C571)</f>
        <v>1</v>
      </c>
      <c r="V571">
        <f t="shared" si="26"/>
        <v>0</v>
      </c>
    </row>
    <row r="572" spans="1:22" ht="14.25" customHeight="1" x14ac:dyDescent="0.35">
      <c r="A572" s="10" t="s">
        <v>985</v>
      </c>
      <c r="B572" s="11">
        <v>45330</v>
      </c>
      <c r="C572" s="10" t="s">
        <v>424</v>
      </c>
      <c r="D572" s="10" t="s">
        <v>331</v>
      </c>
      <c r="E572" s="10" t="s">
        <v>179</v>
      </c>
      <c r="F572" s="12">
        <v>8</v>
      </c>
      <c r="G572" s="12">
        <v>2380</v>
      </c>
      <c r="H572" s="12">
        <v>15.3</v>
      </c>
      <c r="I572" s="12">
        <v>16126.88</v>
      </c>
      <c r="J572" s="10" t="s">
        <v>104</v>
      </c>
      <c r="K572" s="10" t="s">
        <v>52</v>
      </c>
      <c r="L572" t="str">
        <f>IFERROR(VLOOKUP(D572,Products!A:F,3,0),"")</f>
        <v>Grocery</v>
      </c>
      <c r="M572" t="str">
        <f>IFERROR(VLOOKUP(E572,Sales_Reps!A:E,3,0),"")</f>
        <v>North</v>
      </c>
      <c r="N572" t="str">
        <f>IFERROR(VLOOKUP(C572,Customers!A:F,5,0),"")</f>
        <v>Corporate</v>
      </c>
      <c r="O572">
        <f>IFERROR(VLOOKUP(C572,Customers!A:F,3,0),"")</f>
        <v>37</v>
      </c>
      <c r="P572">
        <f>IFERROR(VLOOKUP(D572,Products!A:F,4,0),"")</f>
        <v>1182</v>
      </c>
      <c r="Q572" t="b">
        <f>IFERROR(VLOOKUP(D572,Products!A:F,6,0),"")</f>
        <v>1</v>
      </c>
      <c r="R572">
        <f t="shared" si="24"/>
        <v>0.50336134453781511</v>
      </c>
      <c r="S572">
        <f t="shared" si="25"/>
        <v>1</v>
      </c>
      <c r="T572">
        <f>IF(AND(S572&gt;1,COUNTIF($A$2:A572,A572)=1),1,0)</f>
        <v>0</v>
      </c>
      <c r="U572">
        <f>COUNTIF(Customers!$A$2:$A$301,C572)</f>
        <v>1</v>
      </c>
      <c r="V572">
        <f t="shared" si="26"/>
        <v>0</v>
      </c>
    </row>
    <row r="573" spans="1:22" ht="14.25" customHeight="1" x14ac:dyDescent="0.35">
      <c r="A573" s="10" t="s">
        <v>986</v>
      </c>
      <c r="B573" s="11">
        <v>45633</v>
      </c>
      <c r="C573" s="10" t="s">
        <v>947</v>
      </c>
      <c r="D573" s="10" t="s">
        <v>61</v>
      </c>
      <c r="E573" s="10" t="s">
        <v>267</v>
      </c>
      <c r="F573" s="12">
        <v>10</v>
      </c>
      <c r="G573" s="12">
        <v>470</v>
      </c>
      <c r="H573" s="12">
        <v>2.1</v>
      </c>
      <c r="I573" s="12">
        <v>4601.3</v>
      </c>
      <c r="J573" s="10" t="s">
        <v>51</v>
      </c>
      <c r="K573" s="10" t="s">
        <v>81</v>
      </c>
      <c r="L573" t="str">
        <f>IFERROR(VLOOKUP(D573,Products!A:F,3,0),"")</f>
        <v>Sports</v>
      </c>
      <c r="M573" t="str">
        <f>IFERROR(VLOOKUP(E573,Sales_Reps!A:E,3,0),"")</f>
        <v>East</v>
      </c>
      <c r="N573" t="str">
        <f>IFERROR(VLOOKUP(C573,Customers!A:F,5,0),"")</f>
        <v>SMB</v>
      </c>
      <c r="O573">
        <f>IFERROR(VLOOKUP(C573,Customers!A:F,3,0),"")</f>
        <v>36</v>
      </c>
      <c r="P573">
        <f>IFERROR(VLOOKUP(D573,Products!A:F,4,0),"")</f>
        <v>302</v>
      </c>
      <c r="Q573" t="b">
        <f>IFERROR(VLOOKUP(D573,Products!A:F,6,0),"")</f>
        <v>0</v>
      </c>
      <c r="R573">
        <f t="shared" si="24"/>
        <v>0.35744680851063831</v>
      </c>
      <c r="S573">
        <f t="shared" si="25"/>
        <v>1</v>
      </c>
      <c r="T573">
        <f>IF(AND(S573&gt;1,COUNTIF($A$2:A573,A573)=1),1,0)</f>
        <v>0</v>
      </c>
      <c r="U573">
        <f>COUNTIF(Customers!$A$2:$A$301,C573)</f>
        <v>1</v>
      </c>
      <c r="V573">
        <f t="shared" si="26"/>
        <v>0</v>
      </c>
    </row>
    <row r="574" spans="1:22" ht="14.25" customHeight="1" x14ac:dyDescent="0.35">
      <c r="A574" s="10" t="s">
        <v>987</v>
      </c>
      <c r="B574" s="11">
        <v>45480</v>
      </c>
      <c r="C574" s="10" t="s">
        <v>415</v>
      </c>
      <c r="D574" s="10" t="s">
        <v>155</v>
      </c>
      <c r="E574" s="10" t="s">
        <v>75</v>
      </c>
      <c r="F574" s="12">
        <v>5</v>
      </c>
      <c r="G574" s="12">
        <v>5100</v>
      </c>
      <c r="H574" s="12">
        <v>9.6999999999999993</v>
      </c>
      <c r="I574" s="12">
        <v>23026.5</v>
      </c>
      <c r="J574" s="10" t="s">
        <v>51</v>
      </c>
      <c r="K574" s="10" t="s">
        <v>63</v>
      </c>
      <c r="L574" t="str">
        <f>IFERROR(VLOOKUP(D574,Products!A:F,3,0),"")</f>
        <v>Beauty</v>
      </c>
      <c r="M574" t="str">
        <f>IFERROR(VLOOKUP(E574,Sales_Reps!A:E,3,0),"")</f>
        <v>West</v>
      </c>
      <c r="N574" t="str">
        <f>IFERROR(VLOOKUP(C574,Customers!A:F,5,0),"")</f>
        <v>SMB</v>
      </c>
      <c r="O574">
        <f>IFERROR(VLOOKUP(C574,Customers!A:F,3,0),"")</f>
        <v>34</v>
      </c>
      <c r="P574">
        <f>IFERROR(VLOOKUP(D574,Products!A:F,4,0),"")</f>
        <v>2237</v>
      </c>
      <c r="Q574" t="b">
        <f>IFERROR(VLOOKUP(D574,Products!A:F,6,0),"")</f>
        <v>1</v>
      </c>
      <c r="R574">
        <f t="shared" si="24"/>
        <v>0.56137254901960787</v>
      </c>
      <c r="S574">
        <f t="shared" si="25"/>
        <v>1</v>
      </c>
      <c r="T574">
        <f>IF(AND(S574&gt;1,COUNTIF($A$2:A574,A574)=1),1,0)</f>
        <v>0</v>
      </c>
      <c r="U574">
        <f>COUNTIF(Customers!$A$2:$A$301,C574)</f>
        <v>1</v>
      </c>
      <c r="V574">
        <f t="shared" si="26"/>
        <v>0</v>
      </c>
    </row>
    <row r="575" spans="1:22" ht="14.25" customHeight="1" x14ac:dyDescent="0.35">
      <c r="A575" s="10" t="s">
        <v>988</v>
      </c>
      <c r="B575" s="11">
        <v>45402</v>
      </c>
      <c r="C575" s="10" t="s">
        <v>130</v>
      </c>
      <c r="D575" s="10" t="s">
        <v>344</v>
      </c>
      <c r="E575" s="10" t="s">
        <v>165</v>
      </c>
      <c r="F575" s="12">
        <v>9</v>
      </c>
      <c r="G575" s="12">
        <v>960</v>
      </c>
      <c r="H575" s="12">
        <v>17.7</v>
      </c>
      <c r="I575" s="12">
        <v>7110.72</v>
      </c>
      <c r="J575" s="10" t="s">
        <v>51</v>
      </c>
      <c r="K575" s="10" t="s">
        <v>97</v>
      </c>
      <c r="L575" t="str">
        <f>IFERROR(VLOOKUP(D575,Products!A:F,3,0),"")</f>
        <v>Beauty</v>
      </c>
      <c r="M575" t="str">
        <f>IFERROR(VLOOKUP(E575,Sales_Reps!A:E,3,0),"")</f>
        <v>West</v>
      </c>
      <c r="N575" t="str">
        <f>IFERROR(VLOOKUP(C575,Customers!A:F,5,0),"")</f>
        <v>Retail</v>
      </c>
      <c r="O575">
        <f>IFERROR(VLOOKUP(C575,Customers!A:F,3,0),"")</f>
        <v>32</v>
      </c>
      <c r="P575">
        <f>IFERROR(VLOOKUP(D575,Products!A:F,4,0),"")</f>
        <v>675</v>
      </c>
      <c r="Q575" t="b">
        <f>IFERROR(VLOOKUP(D575,Products!A:F,6,0),"")</f>
        <v>1</v>
      </c>
      <c r="R575">
        <f t="shared" si="24"/>
        <v>0.296875</v>
      </c>
      <c r="S575">
        <f t="shared" si="25"/>
        <v>1</v>
      </c>
      <c r="T575">
        <f>IF(AND(S575&gt;1,COUNTIF($A$2:A575,A575)=1),1,0)</f>
        <v>0</v>
      </c>
      <c r="U575">
        <f>COUNTIF(Customers!$A$2:$A$301,C575)</f>
        <v>1</v>
      </c>
      <c r="V575">
        <f t="shared" si="26"/>
        <v>0</v>
      </c>
    </row>
    <row r="576" spans="1:22" ht="14.25" customHeight="1" x14ac:dyDescent="0.35">
      <c r="A576" s="10" t="s">
        <v>989</v>
      </c>
      <c r="B576" s="11">
        <v>45478</v>
      </c>
      <c r="C576" s="10" t="s">
        <v>170</v>
      </c>
      <c r="D576" s="10" t="s">
        <v>228</v>
      </c>
      <c r="E576" s="10" t="s">
        <v>50</v>
      </c>
      <c r="F576" s="12">
        <v>2</v>
      </c>
      <c r="G576" s="12">
        <v>4070</v>
      </c>
      <c r="H576" s="12">
        <v>2.1</v>
      </c>
      <c r="I576" s="12">
        <v>7969.06</v>
      </c>
      <c r="J576" s="10" t="s">
        <v>51</v>
      </c>
      <c r="K576" s="10" t="s">
        <v>97</v>
      </c>
      <c r="L576" t="str">
        <f>IFERROR(VLOOKUP(D576,Products!A:F,3,0),"")</f>
        <v>Grocery</v>
      </c>
      <c r="M576" t="str">
        <f>IFERROR(VLOOKUP(E576,Sales_Reps!A:E,3,0),"")</f>
        <v>North</v>
      </c>
      <c r="N576" t="str">
        <f>IFERROR(VLOOKUP(C576,Customers!A:F,5,0),"")</f>
        <v>SMB</v>
      </c>
      <c r="O576">
        <f>IFERROR(VLOOKUP(C576,Customers!A:F,3,0),"")</f>
        <v>40</v>
      </c>
      <c r="P576">
        <f>IFERROR(VLOOKUP(D576,Products!A:F,4,0),"")</f>
        <v>2027</v>
      </c>
      <c r="Q576" t="b">
        <f>IFERROR(VLOOKUP(D576,Products!A:F,6,0),"")</f>
        <v>1</v>
      </c>
      <c r="R576">
        <f t="shared" si="24"/>
        <v>0.50196560196560192</v>
      </c>
      <c r="S576">
        <f t="shared" si="25"/>
        <v>1</v>
      </c>
      <c r="T576">
        <f>IF(AND(S576&gt;1,COUNTIF($A$2:A576,A576)=1),1,0)</f>
        <v>0</v>
      </c>
      <c r="U576">
        <f>COUNTIF(Customers!$A$2:$A$301,C576)</f>
        <v>1</v>
      </c>
      <c r="V576">
        <f t="shared" si="26"/>
        <v>0</v>
      </c>
    </row>
    <row r="577" spans="1:22" ht="14.25" customHeight="1" x14ac:dyDescent="0.35">
      <c r="A577" s="10" t="s">
        <v>990</v>
      </c>
      <c r="B577" s="11">
        <v>45358</v>
      </c>
      <c r="C577" s="10" t="s">
        <v>991</v>
      </c>
      <c r="D577" s="10" t="s">
        <v>190</v>
      </c>
      <c r="E577" s="10" t="s">
        <v>122</v>
      </c>
      <c r="F577" s="12">
        <v>5</v>
      </c>
      <c r="G577" s="12">
        <v>3730</v>
      </c>
      <c r="H577" s="12">
        <v>16.5</v>
      </c>
      <c r="I577" s="12">
        <v>15572.75</v>
      </c>
      <c r="J577" s="10" t="s">
        <v>51</v>
      </c>
      <c r="K577" s="10" t="s">
        <v>76</v>
      </c>
      <c r="L577" t="str">
        <f>IFERROR(VLOOKUP(D577,Products!A:F,3,0),"")</f>
        <v>Home</v>
      </c>
      <c r="M577" t="str">
        <f>IFERROR(VLOOKUP(E577,Sales_Reps!A:E,3,0),"")</f>
        <v>East</v>
      </c>
      <c r="N577" t="str">
        <f>IFERROR(VLOOKUP(C577,Customers!A:F,5,0),"")</f>
        <v>SMB</v>
      </c>
      <c r="O577">
        <f>IFERROR(VLOOKUP(C577,Customers!A:F,3,0),"")</f>
        <v>47</v>
      </c>
      <c r="P577">
        <f>IFERROR(VLOOKUP(D577,Products!A:F,4,0),"")</f>
        <v>2135</v>
      </c>
      <c r="Q577" t="b">
        <f>IFERROR(VLOOKUP(D577,Products!A:F,6,0),"")</f>
        <v>1</v>
      </c>
      <c r="R577">
        <f t="shared" si="24"/>
        <v>0.42761394101876676</v>
      </c>
      <c r="S577">
        <f t="shared" si="25"/>
        <v>1</v>
      </c>
      <c r="T577">
        <f>IF(AND(S577&gt;1,COUNTIF($A$2:A577,A577)=1),1,0)</f>
        <v>0</v>
      </c>
      <c r="U577">
        <f>COUNTIF(Customers!$A$2:$A$301,C577)</f>
        <v>1</v>
      </c>
      <c r="V577">
        <f t="shared" si="26"/>
        <v>0</v>
      </c>
    </row>
    <row r="578" spans="1:22" ht="14.25" customHeight="1" x14ac:dyDescent="0.35">
      <c r="A578" s="10" t="s">
        <v>992</v>
      </c>
      <c r="B578" s="11">
        <v>45589</v>
      </c>
      <c r="C578" s="10" t="s">
        <v>65</v>
      </c>
      <c r="D578" s="10" t="s">
        <v>159</v>
      </c>
      <c r="E578" s="10" t="s">
        <v>249</v>
      </c>
      <c r="F578" s="12">
        <v>1</v>
      </c>
      <c r="G578" s="12">
        <v>2860</v>
      </c>
      <c r="H578" s="12">
        <v>10.4</v>
      </c>
      <c r="I578" s="12">
        <v>2562.56</v>
      </c>
      <c r="J578" s="10" t="s">
        <v>104</v>
      </c>
      <c r="K578" s="10" t="s">
        <v>63</v>
      </c>
      <c r="L578" t="str">
        <f>IFERROR(VLOOKUP(D578,Products!A:F,3,0),"")</f>
        <v>Sports</v>
      </c>
      <c r="M578" t="str">
        <f>IFERROR(VLOOKUP(E578,Sales_Reps!A:E,3,0),"")</f>
        <v>East</v>
      </c>
      <c r="N578" t="str">
        <f>IFERROR(VLOOKUP(C578,Customers!A:F,5,0),"")</f>
        <v>Corporate</v>
      </c>
      <c r="O578">
        <f>IFERROR(VLOOKUP(C578,Customers!A:F,3,0),"")</f>
        <v>46</v>
      </c>
      <c r="P578">
        <f>IFERROR(VLOOKUP(D578,Products!A:F,4,0),"")</f>
        <v>2028</v>
      </c>
      <c r="Q578" t="b">
        <f>IFERROR(VLOOKUP(D578,Products!A:F,6,0),"")</f>
        <v>1</v>
      </c>
      <c r="R578">
        <f t="shared" ref="R578:R641" si="27">IFERROR((G578-P578)/G578,"")</f>
        <v>0.29090909090909089</v>
      </c>
      <c r="S578">
        <f t="shared" ref="S578:S641" si="28">COUNTIF($A$2:$A$2001,A578)</f>
        <v>1</v>
      </c>
      <c r="T578">
        <f>IF(AND(S578&gt;1,COUNTIF($A$2:A578,A578)=1),1,0)</f>
        <v>0</v>
      </c>
      <c r="U578">
        <f>COUNTIF(Customers!$A$2:$A$301,C578)</f>
        <v>1</v>
      </c>
      <c r="V578">
        <f t="shared" ref="V578:V641" si="29">IF(AND(K578="Bengaluru",L578="Grocery"),I578,0)</f>
        <v>0</v>
      </c>
    </row>
    <row r="579" spans="1:22" ht="14.25" customHeight="1" x14ac:dyDescent="0.35">
      <c r="A579" s="10" t="s">
        <v>993</v>
      </c>
      <c r="B579" s="11">
        <v>45507</v>
      </c>
      <c r="C579" s="10" t="s">
        <v>766</v>
      </c>
      <c r="D579" s="10" t="s">
        <v>148</v>
      </c>
      <c r="E579" s="10" t="s">
        <v>267</v>
      </c>
      <c r="F579" s="12">
        <v>4</v>
      </c>
      <c r="G579" s="12">
        <v>4880</v>
      </c>
      <c r="H579" s="12">
        <v>27.5</v>
      </c>
      <c r="I579" s="12">
        <v>14152</v>
      </c>
      <c r="J579" s="10" t="s">
        <v>57</v>
      </c>
      <c r="K579" s="10" t="s">
        <v>58</v>
      </c>
      <c r="L579" t="str">
        <f>IFERROR(VLOOKUP(D579,Products!A:F,3,0),"")</f>
        <v>Beauty</v>
      </c>
      <c r="M579" t="str">
        <f>IFERROR(VLOOKUP(E579,Sales_Reps!A:E,3,0),"")</f>
        <v>East</v>
      </c>
      <c r="N579" t="str">
        <f>IFERROR(VLOOKUP(C579,Customers!A:F,5,0),"")</f>
        <v>SMB</v>
      </c>
      <c r="O579">
        <f>IFERROR(VLOOKUP(C579,Customers!A:F,3,0),"")</f>
        <v>39</v>
      </c>
      <c r="P579">
        <f>IFERROR(VLOOKUP(D579,Products!A:F,4,0),"")</f>
        <v>2768</v>
      </c>
      <c r="Q579" t="b">
        <f>IFERROR(VLOOKUP(D579,Products!A:F,6,0),"")</f>
        <v>1</v>
      </c>
      <c r="R579">
        <f t="shared" si="27"/>
        <v>0.43278688524590164</v>
      </c>
      <c r="S579">
        <f t="shared" si="28"/>
        <v>1</v>
      </c>
      <c r="T579">
        <f>IF(AND(S579&gt;1,COUNTIF($A$2:A579,A579)=1),1,0)</f>
        <v>0</v>
      </c>
      <c r="U579">
        <f>COUNTIF(Customers!$A$2:$A$301,C579)</f>
        <v>1</v>
      </c>
      <c r="V579">
        <f t="shared" si="29"/>
        <v>0</v>
      </c>
    </row>
    <row r="580" spans="1:22" ht="14.25" customHeight="1" x14ac:dyDescent="0.35">
      <c r="A580" s="10" t="s">
        <v>994</v>
      </c>
      <c r="B580" s="11">
        <v>45470</v>
      </c>
      <c r="C580" s="10" t="s">
        <v>787</v>
      </c>
      <c r="D580" s="10" t="s">
        <v>209</v>
      </c>
      <c r="E580" s="10" t="s">
        <v>249</v>
      </c>
      <c r="F580" s="12">
        <v>3</v>
      </c>
      <c r="G580" s="12">
        <v>2270</v>
      </c>
      <c r="H580" s="12">
        <v>6.7</v>
      </c>
      <c r="I580" s="12">
        <v>6353.73</v>
      </c>
      <c r="J580" s="10" t="s">
        <v>51</v>
      </c>
      <c r="K580" s="10" t="s">
        <v>58</v>
      </c>
      <c r="L580" t="str">
        <f>IFERROR(VLOOKUP(D580,Products!A:F,3,0),"")</f>
        <v>Grocery</v>
      </c>
      <c r="M580" t="str">
        <f>IFERROR(VLOOKUP(E580,Sales_Reps!A:E,3,0),"")</f>
        <v>East</v>
      </c>
      <c r="N580" t="str">
        <f>IFERROR(VLOOKUP(C580,Customers!A:F,5,0),"")</f>
        <v>Retail</v>
      </c>
      <c r="O580">
        <f>IFERROR(VLOOKUP(C580,Customers!A:F,3,0),"")</f>
        <v>32</v>
      </c>
      <c r="P580">
        <f>IFERROR(VLOOKUP(D580,Products!A:F,4,0),"")</f>
        <v>1412</v>
      </c>
      <c r="Q580" t="b">
        <f>IFERROR(VLOOKUP(D580,Products!A:F,6,0),"")</f>
        <v>1</v>
      </c>
      <c r="R580">
        <f t="shared" si="27"/>
        <v>0.37797356828193834</v>
      </c>
      <c r="S580">
        <f t="shared" si="28"/>
        <v>1</v>
      </c>
      <c r="T580">
        <f>IF(AND(S580&gt;1,COUNTIF($A$2:A580,A580)=1),1,0)</f>
        <v>0</v>
      </c>
      <c r="U580">
        <f>COUNTIF(Customers!$A$2:$A$301,C580)</f>
        <v>1</v>
      </c>
      <c r="V580">
        <f t="shared" si="29"/>
        <v>0</v>
      </c>
    </row>
    <row r="581" spans="1:22" ht="14.25" customHeight="1" x14ac:dyDescent="0.35">
      <c r="A581" s="10" t="s">
        <v>995</v>
      </c>
      <c r="B581" s="11">
        <v>45589</v>
      </c>
      <c r="C581" s="10" t="s">
        <v>521</v>
      </c>
      <c r="D581" s="10" t="s">
        <v>315</v>
      </c>
      <c r="E581" s="10" t="s">
        <v>50</v>
      </c>
      <c r="F581" s="12">
        <v>10</v>
      </c>
      <c r="G581" s="12">
        <v>4060</v>
      </c>
      <c r="H581" s="12">
        <v>3.6</v>
      </c>
      <c r="I581" s="12">
        <v>39138.400000000001</v>
      </c>
      <c r="J581" s="10" t="s">
        <v>57</v>
      </c>
      <c r="K581" s="10" t="s">
        <v>76</v>
      </c>
      <c r="L581" t="str">
        <f>IFERROR(VLOOKUP(D581,Products!A:F,3,0),"")</f>
        <v>Grocery</v>
      </c>
      <c r="M581" t="str">
        <f>IFERROR(VLOOKUP(E581,Sales_Reps!A:E,3,0),"")</f>
        <v>North</v>
      </c>
      <c r="N581" t="str">
        <f>IFERROR(VLOOKUP(C581,Customers!A:F,5,0),"")</f>
        <v>Retail</v>
      </c>
      <c r="O581">
        <f>IFERROR(VLOOKUP(C581,Customers!A:F,3,0),"")</f>
        <v>65</v>
      </c>
      <c r="P581">
        <f>IFERROR(VLOOKUP(D581,Products!A:F,4,0),"")</f>
        <v>2911</v>
      </c>
      <c r="Q581" t="b">
        <f>IFERROR(VLOOKUP(D581,Products!A:F,6,0),"")</f>
        <v>1</v>
      </c>
      <c r="R581">
        <f t="shared" si="27"/>
        <v>0.28300492610837441</v>
      </c>
      <c r="S581">
        <f t="shared" si="28"/>
        <v>1</v>
      </c>
      <c r="T581">
        <f>IF(AND(S581&gt;1,COUNTIF($A$2:A581,A581)=1),1,0)</f>
        <v>0</v>
      </c>
      <c r="U581">
        <f>COUNTIF(Customers!$A$2:$A$301,C581)</f>
        <v>1</v>
      </c>
      <c r="V581">
        <f t="shared" si="29"/>
        <v>0</v>
      </c>
    </row>
    <row r="582" spans="1:22" ht="14.25" customHeight="1" x14ac:dyDescent="0.35">
      <c r="A582" s="10" t="s">
        <v>996</v>
      </c>
      <c r="B582" s="11">
        <v>45433</v>
      </c>
      <c r="C582" s="10" t="s">
        <v>579</v>
      </c>
      <c r="D582" s="10" t="s">
        <v>99</v>
      </c>
      <c r="E582" s="10" t="s">
        <v>103</v>
      </c>
      <c r="F582" s="12">
        <v>8</v>
      </c>
      <c r="G582" s="12">
        <v>2640</v>
      </c>
      <c r="H582" s="12">
        <v>28.8</v>
      </c>
      <c r="I582" s="12">
        <v>15037.44</v>
      </c>
      <c r="J582" s="10" t="s">
        <v>51</v>
      </c>
      <c r="K582" s="10" t="s">
        <v>76</v>
      </c>
      <c r="L582" t="str">
        <f>IFERROR(VLOOKUP(D582,Products!A:F,3,0),"")</f>
        <v>Electronics</v>
      </c>
      <c r="M582" t="str">
        <f>IFERROR(VLOOKUP(E582,Sales_Reps!A:E,3,0),"")</f>
        <v>North</v>
      </c>
      <c r="N582" t="str">
        <f>IFERROR(VLOOKUP(C582,Customers!A:F,5,0),"")</f>
        <v>Retail</v>
      </c>
      <c r="O582">
        <f>IFERROR(VLOOKUP(C582,Customers!A:F,3,0),"")</f>
        <v>53</v>
      </c>
      <c r="P582">
        <f>IFERROR(VLOOKUP(D582,Products!A:F,4,0),"")</f>
        <v>1149</v>
      </c>
      <c r="Q582" t="b">
        <f>IFERROR(VLOOKUP(D582,Products!A:F,6,0),"")</f>
        <v>1</v>
      </c>
      <c r="R582">
        <f t="shared" si="27"/>
        <v>0.56477272727272732</v>
      </c>
      <c r="S582">
        <f t="shared" si="28"/>
        <v>1</v>
      </c>
      <c r="T582">
        <f>IF(AND(S582&gt;1,COUNTIF($A$2:A582,A582)=1),1,0)</f>
        <v>0</v>
      </c>
      <c r="U582">
        <f>COUNTIF(Customers!$A$2:$A$301,C582)</f>
        <v>1</v>
      </c>
      <c r="V582">
        <f t="shared" si="29"/>
        <v>0</v>
      </c>
    </row>
    <row r="583" spans="1:22" ht="14.25" customHeight="1" x14ac:dyDescent="0.35">
      <c r="A583" s="10" t="s">
        <v>997</v>
      </c>
      <c r="B583" s="11">
        <v>45477</v>
      </c>
      <c r="C583" s="10" t="s">
        <v>454</v>
      </c>
      <c r="D583" s="10" t="s">
        <v>190</v>
      </c>
      <c r="E583" s="10" t="s">
        <v>289</v>
      </c>
      <c r="F583" s="12">
        <v>6</v>
      </c>
      <c r="G583" s="12">
        <v>3730</v>
      </c>
      <c r="H583" s="12">
        <v>21.9</v>
      </c>
      <c r="I583" s="12">
        <v>17478.78</v>
      </c>
      <c r="J583" s="10" t="s">
        <v>51</v>
      </c>
      <c r="K583" s="10" t="s">
        <v>63</v>
      </c>
      <c r="L583" t="str">
        <f>IFERROR(VLOOKUP(D583,Products!A:F,3,0),"")</f>
        <v>Home</v>
      </c>
      <c r="M583" t="str">
        <f>IFERROR(VLOOKUP(E583,Sales_Reps!A:E,3,0),"")</f>
        <v>South</v>
      </c>
      <c r="N583" t="str">
        <f>IFERROR(VLOOKUP(C583,Customers!A:F,5,0),"")</f>
        <v>Retail</v>
      </c>
      <c r="O583">
        <f>IFERROR(VLOOKUP(C583,Customers!A:F,3,0),"")</f>
        <v>59</v>
      </c>
      <c r="P583">
        <f>IFERROR(VLOOKUP(D583,Products!A:F,4,0),"")</f>
        <v>2135</v>
      </c>
      <c r="Q583" t="b">
        <f>IFERROR(VLOOKUP(D583,Products!A:F,6,0),"")</f>
        <v>1</v>
      </c>
      <c r="R583">
        <f t="shared" si="27"/>
        <v>0.42761394101876676</v>
      </c>
      <c r="S583">
        <f t="shared" si="28"/>
        <v>1</v>
      </c>
      <c r="T583">
        <f>IF(AND(S583&gt;1,COUNTIF($A$2:A583,A583)=1),1,0)</f>
        <v>0</v>
      </c>
      <c r="U583">
        <f>COUNTIF(Customers!$A$2:$A$301,C583)</f>
        <v>1</v>
      </c>
      <c r="V583">
        <f t="shared" si="29"/>
        <v>0</v>
      </c>
    </row>
    <row r="584" spans="1:22" ht="14.25" customHeight="1" x14ac:dyDescent="0.35">
      <c r="A584" s="10" t="s">
        <v>998</v>
      </c>
      <c r="B584" s="11">
        <v>45443</v>
      </c>
      <c r="C584" s="10" t="s">
        <v>454</v>
      </c>
      <c r="D584" s="10" t="s">
        <v>328</v>
      </c>
      <c r="E584" s="10" t="s">
        <v>67</v>
      </c>
      <c r="F584" s="12">
        <v>9</v>
      </c>
      <c r="G584" s="12">
        <v>5330</v>
      </c>
      <c r="H584" s="12">
        <v>29.4</v>
      </c>
      <c r="I584" s="12">
        <v>33866.82</v>
      </c>
      <c r="J584" s="10" t="s">
        <v>104</v>
      </c>
      <c r="K584" s="10" t="s">
        <v>63</v>
      </c>
      <c r="L584" t="str">
        <f>IFERROR(VLOOKUP(D584,Products!A:F,3,0),"")</f>
        <v>Electronics</v>
      </c>
      <c r="M584" t="str">
        <f>IFERROR(VLOOKUP(E584,Sales_Reps!A:E,3,0),"")</f>
        <v>North</v>
      </c>
      <c r="N584" t="str">
        <f>IFERROR(VLOOKUP(C584,Customers!A:F,5,0),"")</f>
        <v>Retail</v>
      </c>
      <c r="O584">
        <f>IFERROR(VLOOKUP(C584,Customers!A:F,3,0),"")</f>
        <v>59</v>
      </c>
      <c r="P584">
        <f>IFERROR(VLOOKUP(D584,Products!A:F,4,0),"")</f>
        <v>2405</v>
      </c>
      <c r="Q584" t="b">
        <f>IFERROR(VLOOKUP(D584,Products!A:F,6,0),"")</f>
        <v>1</v>
      </c>
      <c r="R584">
        <f t="shared" si="27"/>
        <v>0.54878048780487809</v>
      </c>
      <c r="S584">
        <f t="shared" si="28"/>
        <v>1</v>
      </c>
      <c r="T584">
        <f>IF(AND(S584&gt;1,COUNTIF($A$2:A584,A584)=1),1,0)</f>
        <v>0</v>
      </c>
      <c r="U584">
        <f>COUNTIF(Customers!$A$2:$A$301,C584)</f>
        <v>1</v>
      </c>
      <c r="V584">
        <f t="shared" si="29"/>
        <v>0</v>
      </c>
    </row>
    <row r="585" spans="1:22" ht="14.25" customHeight="1" x14ac:dyDescent="0.35">
      <c r="A585" s="10" t="s">
        <v>999</v>
      </c>
      <c r="B585" s="11">
        <v>45322</v>
      </c>
      <c r="C585" s="10" t="s">
        <v>1000</v>
      </c>
      <c r="D585" s="10" t="s">
        <v>416</v>
      </c>
      <c r="E585" s="10" t="s">
        <v>307</v>
      </c>
      <c r="F585" s="12">
        <v>1</v>
      </c>
      <c r="G585" s="12">
        <v>3450</v>
      </c>
      <c r="H585" s="12">
        <v>23.3</v>
      </c>
      <c r="I585" s="12">
        <v>2646.15</v>
      </c>
      <c r="J585" s="10" t="s">
        <v>51</v>
      </c>
      <c r="K585" s="10" t="s">
        <v>76</v>
      </c>
      <c r="L585" t="str">
        <f>IFERROR(VLOOKUP(D585,Products!A:F,3,0),"")</f>
        <v>Apparel</v>
      </c>
      <c r="M585" t="str">
        <f>IFERROR(VLOOKUP(E585,Sales_Reps!A:E,3,0),"")</f>
        <v>West</v>
      </c>
      <c r="N585" t="str">
        <f>IFERROR(VLOOKUP(C585,Customers!A:F,5,0),"")</f>
        <v>Retail</v>
      </c>
      <c r="O585">
        <f>IFERROR(VLOOKUP(C585,Customers!A:F,3,0),"")</f>
        <v>33</v>
      </c>
      <c r="P585">
        <f>IFERROR(VLOOKUP(D585,Products!A:F,4,0),"")</f>
        <v>1748</v>
      </c>
      <c r="Q585" t="b">
        <f>IFERROR(VLOOKUP(D585,Products!A:F,6,0),"")</f>
        <v>1</v>
      </c>
      <c r="R585">
        <f t="shared" si="27"/>
        <v>0.49333333333333335</v>
      </c>
      <c r="S585">
        <f t="shared" si="28"/>
        <v>1</v>
      </c>
      <c r="T585">
        <f>IF(AND(S585&gt;1,COUNTIF($A$2:A585,A585)=1),1,0)</f>
        <v>0</v>
      </c>
      <c r="U585">
        <f>COUNTIF(Customers!$A$2:$A$301,C585)</f>
        <v>1</v>
      </c>
      <c r="V585">
        <f t="shared" si="29"/>
        <v>0</v>
      </c>
    </row>
    <row r="586" spans="1:22" ht="14.25" customHeight="1" x14ac:dyDescent="0.35">
      <c r="A586" s="10" t="s">
        <v>1001</v>
      </c>
      <c r="B586" s="11">
        <v>45544</v>
      </c>
      <c r="C586" s="10" t="s">
        <v>1002</v>
      </c>
      <c r="D586" s="10" t="s">
        <v>205</v>
      </c>
      <c r="E586" s="10" t="s">
        <v>202</v>
      </c>
      <c r="F586" s="12">
        <v>3</v>
      </c>
      <c r="G586" s="12">
        <v>6080</v>
      </c>
      <c r="H586" s="12">
        <v>14.5</v>
      </c>
      <c r="I586" s="12">
        <v>15595.2</v>
      </c>
      <c r="J586" s="10" t="s">
        <v>51</v>
      </c>
      <c r="K586" s="10" t="s">
        <v>81</v>
      </c>
      <c r="L586" t="str">
        <f>IFERROR(VLOOKUP(D586,Products!A:F,3,0),"")</f>
        <v>Beauty</v>
      </c>
      <c r="M586" t="str">
        <f>IFERROR(VLOOKUP(E586,Sales_Reps!A:E,3,0),"")</f>
        <v>East</v>
      </c>
      <c r="N586" t="str">
        <f>IFERROR(VLOOKUP(C586,Customers!A:F,5,0),"")</f>
        <v>Corporate</v>
      </c>
      <c r="O586">
        <f>IFERROR(VLOOKUP(C586,Customers!A:F,3,0),"")</f>
        <v>55</v>
      </c>
      <c r="P586">
        <f>IFERROR(VLOOKUP(D586,Products!A:F,4,0),"")</f>
        <v>2617</v>
      </c>
      <c r="Q586" t="b">
        <f>IFERROR(VLOOKUP(D586,Products!A:F,6,0),"")</f>
        <v>1</v>
      </c>
      <c r="R586">
        <f t="shared" si="27"/>
        <v>0.56957236842105263</v>
      </c>
      <c r="S586">
        <f t="shared" si="28"/>
        <v>1</v>
      </c>
      <c r="T586">
        <f>IF(AND(S586&gt;1,COUNTIF($A$2:A586,A586)=1),1,0)</f>
        <v>0</v>
      </c>
      <c r="U586">
        <f>COUNTIF(Customers!$A$2:$A$301,C586)</f>
        <v>1</v>
      </c>
      <c r="V586">
        <f t="shared" si="29"/>
        <v>0</v>
      </c>
    </row>
    <row r="587" spans="1:22" ht="14.25" customHeight="1" x14ac:dyDescent="0.35">
      <c r="A587" s="10" t="s">
        <v>1003</v>
      </c>
      <c r="B587" s="11">
        <v>45609</v>
      </c>
      <c r="C587" s="10" t="s">
        <v>274</v>
      </c>
      <c r="D587" s="10" t="s">
        <v>190</v>
      </c>
      <c r="E587" s="10" t="s">
        <v>261</v>
      </c>
      <c r="F587" s="12">
        <v>4</v>
      </c>
      <c r="G587" s="12">
        <v>3730</v>
      </c>
      <c r="H587" s="12">
        <v>3.4</v>
      </c>
      <c r="I587" s="12">
        <v>14412.72</v>
      </c>
      <c r="J587" s="10" t="s">
        <v>104</v>
      </c>
      <c r="K587" s="10" t="s">
        <v>81</v>
      </c>
      <c r="L587" t="str">
        <f>IFERROR(VLOOKUP(D587,Products!A:F,3,0),"")</f>
        <v>Home</v>
      </c>
      <c r="M587" t="str">
        <f>IFERROR(VLOOKUP(E587,Sales_Reps!A:E,3,0),"")</f>
        <v>North</v>
      </c>
      <c r="N587" t="str">
        <f>IFERROR(VLOOKUP(C587,Customers!A:F,5,0),"")</f>
        <v>Retail</v>
      </c>
      <c r="O587">
        <f>IFERROR(VLOOKUP(C587,Customers!A:F,3,0),"")</f>
        <v>42</v>
      </c>
      <c r="P587">
        <f>IFERROR(VLOOKUP(D587,Products!A:F,4,0),"")</f>
        <v>2135</v>
      </c>
      <c r="Q587" t="b">
        <f>IFERROR(VLOOKUP(D587,Products!A:F,6,0),"")</f>
        <v>1</v>
      </c>
      <c r="R587">
        <f t="shared" si="27"/>
        <v>0.42761394101876676</v>
      </c>
      <c r="S587">
        <f t="shared" si="28"/>
        <v>1</v>
      </c>
      <c r="T587">
        <f>IF(AND(S587&gt;1,COUNTIF($A$2:A587,A587)=1),1,0)</f>
        <v>0</v>
      </c>
      <c r="U587">
        <f>COUNTIF(Customers!$A$2:$A$301,C587)</f>
        <v>1</v>
      </c>
      <c r="V587">
        <f t="shared" si="29"/>
        <v>0</v>
      </c>
    </row>
    <row r="588" spans="1:22" ht="14.25" customHeight="1" x14ac:dyDescent="0.35">
      <c r="A588" s="10" t="s">
        <v>1004</v>
      </c>
      <c r="B588" s="11">
        <v>45491</v>
      </c>
      <c r="C588" s="10" t="s">
        <v>265</v>
      </c>
      <c r="D588" s="10" t="s">
        <v>243</v>
      </c>
      <c r="E588" s="10" t="s">
        <v>249</v>
      </c>
      <c r="F588" s="12">
        <v>10</v>
      </c>
      <c r="G588" s="12">
        <v>2660</v>
      </c>
      <c r="H588" s="12">
        <v>2.1</v>
      </c>
      <c r="I588" s="12">
        <v>26041.4</v>
      </c>
      <c r="J588" s="10" t="s">
        <v>51</v>
      </c>
      <c r="K588" s="10" t="s">
        <v>58</v>
      </c>
      <c r="L588" t="str">
        <f>IFERROR(VLOOKUP(D588,Products!A:F,3,0),"")</f>
        <v>Electronics</v>
      </c>
      <c r="M588" t="str">
        <f>IFERROR(VLOOKUP(E588,Sales_Reps!A:E,3,0),"")</f>
        <v>East</v>
      </c>
      <c r="N588" t="str">
        <f>IFERROR(VLOOKUP(C588,Customers!A:F,5,0),"")</f>
        <v>Retail</v>
      </c>
      <c r="O588">
        <f>IFERROR(VLOOKUP(C588,Customers!A:F,3,0),"")</f>
        <v>41</v>
      </c>
      <c r="P588">
        <f>IFERROR(VLOOKUP(D588,Products!A:F,4,0),"")</f>
        <v>1259</v>
      </c>
      <c r="Q588" t="b">
        <f>IFERROR(VLOOKUP(D588,Products!A:F,6,0),"")</f>
        <v>0</v>
      </c>
      <c r="R588">
        <f t="shared" si="27"/>
        <v>0.52669172932330832</v>
      </c>
      <c r="S588">
        <f t="shared" si="28"/>
        <v>1</v>
      </c>
      <c r="T588">
        <f>IF(AND(S588&gt;1,COUNTIF($A$2:A588,A588)=1),1,0)</f>
        <v>0</v>
      </c>
      <c r="U588">
        <f>COUNTIF(Customers!$A$2:$A$301,C588)</f>
        <v>1</v>
      </c>
      <c r="V588">
        <f t="shared" si="29"/>
        <v>0</v>
      </c>
    </row>
    <row r="589" spans="1:22" ht="14.25" customHeight="1" x14ac:dyDescent="0.35">
      <c r="A589" s="10" t="s">
        <v>1005</v>
      </c>
      <c r="B589" s="11">
        <v>45373</v>
      </c>
      <c r="C589" s="10" t="s">
        <v>139</v>
      </c>
      <c r="D589" s="10" t="s">
        <v>302</v>
      </c>
      <c r="E589" s="10" t="s">
        <v>122</v>
      </c>
      <c r="F589" s="12">
        <v>7</v>
      </c>
      <c r="G589" s="12">
        <v>2210</v>
      </c>
      <c r="H589" s="12">
        <v>17.100000000000001</v>
      </c>
      <c r="I589" s="12">
        <v>12824.63</v>
      </c>
      <c r="J589" s="10" t="s">
        <v>51</v>
      </c>
      <c r="K589" s="10" t="s">
        <v>97</v>
      </c>
      <c r="L589" t="str">
        <f>IFERROR(VLOOKUP(D589,Products!A:F,3,0),"")</f>
        <v>Grocery</v>
      </c>
      <c r="M589" t="str">
        <f>IFERROR(VLOOKUP(E589,Sales_Reps!A:E,3,0),"")</f>
        <v>East</v>
      </c>
      <c r="N589" t="str">
        <f>IFERROR(VLOOKUP(C589,Customers!A:F,5,0),"")</f>
        <v>SMB</v>
      </c>
      <c r="O589">
        <f>IFERROR(VLOOKUP(C589,Customers!A:F,3,0),"")</f>
        <v>40</v>
      </c>
      <c r="P589">
        <f>IFERROR(VLOOKUP(D589,Products!A:F,4,0),"")</f>
        <v>1010</v>
      </c>
      <c r="Q589" t="b">
        <f>IFERROR(VLOOKUP(D589,Products!A:F,6,0),"")</f>
        <v>1</v>
      </c>
      <c r="R589">
        <f t="shared" si="27"/>
        <v>0.54298642533936647</v>
      </c>
      <c r="S589">
        <f t="shared" si="28"/>
        <v>1</v>
      </c>
      <c r="T589">
        <f>IF(AND(S589&gt;1,COUNTIF($A$2:A589,A589)=1),1,0)</f>
        <v>0</v>
      </c>
      <c r="U589">
        <f>COUNTIF(Customers!$A$2:$A$301,C589)</f>
        <v>1</v>
      </c>
      <c r="V589">
        <f t="shared" si="29"/>
        <v>0</v>
      </c>
    </row>
    <row r="590" spans="1:22" ht="14.25" customHeight="1" x14ac:dyDescent="0.35">
      <c r="A590" s="10" t="s">
        <v>1006</v>
      </c>
      <c r="B590" s="11">
        <v>45607</v>
      </c>
      <c r="C590" s="10" t="s">
        <v>158</v>
      </c>
      <c r="D590" s="10" t="s">
        <v>425</v>
      </c>
      <c r="E590" s="10" t="s">
        <v>216</v>
      </c>
      <c r="F590" s="12">
        <v>6</v>
      </c>
      <c r="G590" s="12">
        <v>3780</v>
      </c>
      <c r="H590" s="12">
        <v>12.7</v>
      </c>
      <c r="I590" s="12">
        <v>19799.64</v>
      </c>
      <c r="J590" s="10" t="s">
        <v>51</v>
      </c>
      <c r="K590" s="10" t="s">
        <v>52</v>
      </c>
      <c r="L590" t="str">
        <f>IFERROR(VLOOKUP(D590,Products!A:F,3,0),"")</f>
        <v>Sports</v>
      </c>
      <c r="M590" t="str">
        <f>IFERROR(VLOOKUP(E590,Sales_Reps!A:E,3,0),"")</f>
        <v>South</v>
      </c>
      <c r="N590" t="str">
        <f>IFERROR(VLOOKUP(C590,Customers!A:F,5,0),"")</f>
        <v>SMB</v>
      </c>
      <c r="O590">
        <f>IFERROR(VLOOKUP(C590,Customers!A:F,3,0),"")</f>
        <v>44</v>
      </c>
      <c r="P590">
        <f>IFERROR(VLOOKUP(D590,Products!A:F,4,0),"")</f>
        <v>1860</v>
      </c>
      <c r="Q590" t="b">
        <f>IFERROR(VLOOKUP(D590,Products!A:F,6,0),"")</f>
        <v>1</v>
      </c>
      <c r="R590">
        <f t="shared" si="27"/>
        <v>0.50793650793650791</v>
      </c>
      <c r="S590">
        <f t="shared" si="28"/>
        <v>1</v>
      </c>
      <c r="T590">
        <f>IF(AND(S590&gt;1,COUNTIF($A$2:A590,A590)=1),1,0)</f>
        <v>0</v>
      </c>
      <c r="U590">
        <f>COUNTIF(Customers!$A$2:$A$301,C590)</f>
        <v>1</v>
      </c>
      <c r="V590">
        <f t="shared" si="29"/>
        <v>0</v>
      </c>
    </row>
    <row r="591" spans="1:22" ht="14.25" customHeight="1" x14ac:dyDescent="0.35">
      <c r="A591" s="10" t="s">
        <v>1007</v>
      </c>
      <c r="B591" s="11">
        <v>45412</v>
      </c>
      <c r="C591" s="10" t="s">
        <v>927</v>
      </c>
      <c r="D591" s="10" t="s">
        <v>88</v>
      </c>
      <c r="E591" s="10" t="s">
        <v>193</v>
      </c>
      <c r="F591" s="12">
        <v>4</v>
      </c>
      <c r="G591" s="12">
        <v>5490</v>
      </c>
      <c r="H591" s="12">
        <v>26.9</v>
      </c>
      <c r="I591" s="12">
        <v>16052.76</v>
      </c>
      <c r="J591" s="10" t="s">
        <v>51</v>
      </c>
      <c r="K591" s="10" t="s">
        <v>58</v>
      </c>
      <c r="L591" t="str">
        <f>IFERROR(VLOOKUP(D591,Products!A:F,3,0),"")</f>
        <v>Home</v>
      </c>
      <c r="M591" t="str">
        <f>IFERROR(VLOOKUP(E591,Sales_Reps!A:E,3,0),"")</f>
        <v>West</v>
      </c>
      <c r="N591" t="str">
        <f>IFERROR(VLOOKUP(C591,Customers!A:F,5,0),"")</f>
        <v>Retail</v>
      </c>
      <c r="O591">
        <f>IFERROR(VLOOKUP(C591,Customers!A:F,3,0),"")</f>
        <v>31</v>
      </c>
      <c r="P591">
        <f>IFERROR(VLOOKUP(D591,Products!A:F,4,0),"")</f>
        <v>2549</v>
      </c>
      <c r="Q591" t="b">
        <f>IFERROR(VLOOKUP(D591,Products!A:F,6,0),"")</f>
        <v>1</v>
      </c>
      <c r="R591">
        <f t="shared" si="27"/>
        <v>0.53570127504553733</v>
      </c>
      <c r="S591">
        <f t="shared" si="28"/>
        <v>1</v>
      </c>
      <c r="T591">
        <f>IF(AND(S591&gt;1,COUNTIF($A$2:A591,A591)=1),1,0)</f>
        <v>0</v>
      </c>
      <c r="U591">
        <f>COUNTIF(Customers!$A$2:$A$301,C591)</f>
        <v>1</v>
      </c>
      <c r="V591">
        <f t="shared" si="29"/>
        <v>0</v>
      </c>
    </row>
    <row r="592" spans="1:22" ht="14.25" customHeight="1" x14ac:dyDescent="0.35">
      <c r="A592" s="10" t="s">
        <v>1008</v>
      </c>
      <c r="B592" s="11">
        <v>45351</v>
      </c>
      <c r="C592" s="10" t="s">
        <v>766</v>
      </c>
      <c r="D592" s="10" t="s">
        <v>243</v>
      </c>
      <c r="E592" s="10" t="s">
        <v>216</v>
      </c>
      <c r="F592" s="12">
        <v>9</v>
      </c>
      <c r="G592" s="12">
        <v>2660</v>
      </c>
      <c r="H592" s="12">
        <v>21.9</v>
      </c>
      <c r="I592" s="12">
        <v>18697.14</v>
      </c>
      <c r="J592" s="10" t="s">
        <v>51</v>
      </c>
      <c r="K592" s="10" t="s">
        <v>58</v>
      </c>
      <c r="L592" t="str">
        <f>IFERROR(VLOOKUP(D592,Products!A:F,3,0),"")</f>
        <v>Electronics</v>
      </c>
      <c r="M592" t="str">
        <f>IFERROR(VLOOKUP(E592,Sales_Reps!A:E,3,0),"")</f>
        <v>South</v>
      </c>
      <c r="N592" t="str">
        <f>IFERROR(VLOOKUP(C592,Customers!A:F,5,0),"")</f>
        <v>SMB</v>
      </c>
      <c r="O592">
        <f>IFERROR(VLOOKUP(C592,Customers!A:F,3,0),"")</f>
        <v>39</v>
      </c>
      <c r="P592">
        <f>IFERROR(VLOOKUP(D592,Products!A:F,4,0),"")</f>
        <v>1259</v>
      </c>
      <c r="Q592" t="b">
        <f>IFERROR(VLOOKUP(D592,Products!A:F,6,0),"")</f>
        <v>0</v>
      </c>
      <c r="R592">
        <f t="shared" si="27"/>
        <v>0.52669172932330832</v>
      </c>
      <c r="S592">
        <f t="shared" si="28"/>
        <v>1</v>
      </c>
      <c r="T592">
        <f>IF(AND(S592&gt;1,COUNTIF($A$2:A592,A592)=1),1,0)</f>
        <v>0</v>
      </c>
      <c r="U592">
        <f>COUNTIF(Customers!$A$2:$A$301,C592)</f>
        <v>1</v>
      </c>
      <c r="V592">
        <f t="shared" si="29"/>
        <v>0</v>
      </c>
    </row>
    <row r="593" spans="1:22" ht="14.25" customHeight="1" x14ac:dyDescent="0.35">
      <c r="A593" s="10" t="s">
        <v>1009</v>
      </c>
      <c r="B593" s="11">
        <v>45572</v>
      </c>
      <c r="C593" s="10" t="s">
        <v>367</v>
      </c>
      <c r="D593" s="10" t="s">
        <v>479</v>
      </c>
      <c r="E593" s="10" t="s">
        <v>92</v>
      </c>
      <c r="F593" s="12">
        <v>9</v>
      </c>
      <c r="G593" s="12">
        <v>6940</v>
      </c>
      <c r="H593" s="12">
        <v>8</v>
      </c>
      <c r="I593" s="12">
        <v>57463.199999999997</v>
      </c>
      <c r="J593" s="10" t="s">
        <v>51</v>
      </c>
      <c r="K593" s="10" t="s">
        <v>81</v>
      </c>
      <c r="L593" t="str">
        <f>IFERROR(VLOOKUP(D593,Products!A:F,3,0),"")</f>
        <v>Sports</v>
      </c>
      <c r="M593" t="str">
        <f>IFERROR(VLOOKUP(E593,Sales_Reps!A:E,3,0),"")</f>
        <v>West</v>
      </c>
      <c r="N593" t="str">
        <f>IFERROR(VLOOKUP(C593,Customers!A:F,5,0),"")</f>
        <v>Retail</v>
      </c>
      <c r="O593">
        <f>IFERROR(VLOOKUP(C593,Customers!A:F,3,0),"")</f>
        <v>59</v>
      </c>
      <c r="P593">
        <f>IFERROR(VLOOKUP(D593,Products!A:F,4,0),"")</f>
        <v>2827</v>
      </c>
      <c r="Q593" t="b">
        <f>IFERROR(VLOOKUP(D593,Products!A:F,6,0),"")</f>
        <v>1</v>
      </c>
      <c r="R593">
        <f t="shared" si="27"/>
        <v>0.5926512968299712</v>
      </c>
      <c r="S593">
        <f t="shared" si="28"/>
        <v>1</v>
      </c>
      <c r="T593">
        <f>IF(AND(S593&gt;1,COUNTIF($A$2:A593,A593)=1),1,0)</f>
        <v>0</v>
      </c>
      <c r="U593">
        <f>COUNTIF(Customers!$A$2:$A$301,C593)</f>
        <v>1</v>
      </c>
      <c r="V593">
        <f t="shared" si="29"/>
        <v>0</v>
      </c>
    </row>
    <row r="594" spans="1:22" ht="14.25" customHeight="1" x14ac:dyDescent="0.35">
      <c r="A594" s="10" t="s">
        <v>697</v>
      </c>
      <c r="B594" s="11">
        <v>45402</v>
      </c>
      <c r="C594" s="10" t="s">
        <v>161</v>
      </c>
      <c r="D594" s="10" t="s">
        <v>212</v>
      </c>
      <c r="E594" s="10" t="s">
        <v>67</v>
      </c>
      <c r="F594" s="12">
        <v>1</v>
      </c>
      <c r="G594" s="12">
        <v>3870</v>
      </c>
      <c r="H594" s="12">
        <v>22.6</v>
      </c>
      <c r="I594" s="12">
        <v>2995.38</v>
      </c>
      <c r="J594" s="10" t="s">
        <v>51</v>
      </c>
      <c r="K594" s="10" t="s">
        <v>52</v>
      </c>
      <c r="L594" t="str">
        <f>IFERROR(VLOOKUP(D594,Products!A:F,3,0),"")</f>
        <v>Electronics</v>
      </c>
      <c r="M594" t="str">
        <f>IFERROR(VLOOKUP(E594,Sales_Reps!A:E,3,0),"")</f>
        <v>North</v>
      </c>
      <c r="N594" t="str">
        <f>IFERROR(VLOOKUP(C594,Customers!A:F,5,0),"")</f>
        <v>Corporate</v>
      </c>
      <c r="O594">
        <f>IFERROR(VLOOKUP(C594,Customers!A:F,3,0),"")</f>
        <v>47</v>
      </c>
      <c r="P594">
        <f>IFERROR(VLOOKUP(D594,Products!A:F,4,0),"")</f>
        <v>1559</v>
      </c>
      <c r="Q594" t="b">
        <f>IFERROR(VLOOKUP(D594,Products!A:F,6,0),"")</f>
        <v>1</v>
      </c>
      <c r="R594">
        <f t="shared" si="27"/>
        <v>0.59715762273901807</v>
      </c>
      <c r="S594">
        <f t="shared" si="28"/>
        <v>2</v>
      </c>
      <c r="T594">
        <f>IF(AND(S594&gt;1,COUNTIF($A$2:A594,A594)=1),1,0)</f>
        <v>0</v>
      </c>
      <c r="U594">
        <f>COUNTIF(Customers!$A$2:$A$301,C594)</f>
        <v>1</v>
      </c>
      <c r="V594">
        <f t="shared" si="29"/>
        <v>0</v>
      </c>
    </row>
    <row r="595" spans="1:22" ht="14.25" customHeight="1" x14ac:dyDescent="0.35">
      <c r="A595" s="10" t="s">
        <v>1010</v>
      </c>
      <c r="B595" s="11">
        <v>45503</v>
      </c>
      <c r="C595" s="10" t="s">
        <v>1011</v>
      </c>
      <c r="D595" s="10" t="s">
        <v>466</v>
      </c>
      <c r="E595" s="10" t="s">
        <v>71</v>
      </c>
      <c r="F595" s="12">
        <v>3</v>
      </c>
      <c r="G595" s="12">
        <v>1090</v>
      </c>
      <c r="H595" s="12">
        <v>28.1</v>
      </c>
      <c r="I595" s="12">
        <v>2351.13</v>
      </c>
      <c r="J595" s="10" t="s">
        <v>51</v>
      </c>
      <c r="K595" s="10" t="s">
        <v>97</v>
      </c>
      <c r="L595" t="str">
        <f>IFERROR(VLOOKUP(D595,Products!A:F,3,0),"")</f>
        <v>Home</v>
      </c>
      <c r="M595" t="str">
        <f>IFERROR(VLOOKUP(E595,Sales_Reps!A:E,3,0),"")</f>
        <v>North</v>
      </c>
      <c r="N595" t="str">
        <f>IFERROR(VLOOKUP(C595,Customers!A:F,5,0),"")</f>
        <v>Retail</v>
      </c>
      <c r="O595">
        <f>IFERROR(VLOOKUP(C595,Customers!A:F,3,0),"")</f>
        <v>41</v>
      </c>
      <c r="P595">
        <f>IFERROR(VLOOKUP(D595,Products!A:F,4,0),"")</f>
        <v>464</v>
      </c>
      <c r="Q595" t="b">
        <f>IFERROR(VLOOKUP(D595,Products!A:F,6,0),"")</f>
        <v>1</v>
      </c>
      <c r="R595">
        <f t="shared" si="27"/>
        <v>0.57431192660550456</v>
      </c>
      <c r="S595">
        <f t="shared" si="28"/>
        <v>1</v>
      </c>
      <c r="T595">
        <f>IF(AND(S595&gt;1,COUNTIF($A$2:A595,A595)=1),1,0)</f>
        <v>0</v>
      </c>
      <c r="U595">
        <f>COUNTIF(Customers!$A$2:$A$301,C595)</f>
        <v>1</v>
      </c>
      <c r="V595">
        <f t="shared" si="29"/>
        <v>0</v>
      </c>
    </row>
    <row r="596" spans="1:22" ht="14.25" customHeight="1" x14ac:dyDescent="0.35">
      <c r="A596" s="10" t="s">
        <v>1012</v>
      </c>
      <c r="B596" s="11">
        <v>45524</v>
      </c>
      <c r="C596" s="10" t="s">
        <v>429</v>
      </c>
      <c r="D596" s="10" t="s">
        <v>102</v>
      </c>
      <c r="E596" s="10" t="s">
        <v>179</v>
      </c>
      <c r="F596" s="12">
        <v>2</v>
      </c>
      <c r="G596" s="12">
        <v>2600</v>
      </c>
      <c r="H596" s="12">
        <v>5.6</v>
      </c>
      <c r="I596" s="12">
        <v>4908.8</v>
      </c>
      <c r="J596" s="10" t="s">
        <v>51</v>
      </c>
      <c r="K596" s="10" t="s">
        <v>76</v>
      </c>
      <c r="L596" t="str">
        <f>IFERROR(VLOOKUP(D596,Products!A:F,3,0),"")</f>
        <v>Electronics</v>
      </c>
      <c r="M596" t="str">
        <f>IFERROR(VLOOKUP(E596,Sales_Reps!A:E,3,0),"")</f>
        <v>North</v>
      </c>
      <c r="N596" t="str">
        <f>IFERROR(VLOOKUP(C596,Customers!A:F,5,0),"")</f>
        <v>Retail</v>
      </c>
      <c r="O596">
        <f>IFERROR(VLOOKUP(C596,Customers!A:F,3,0),"")</f>
        <v>61</v>
      </c>
      <c r="P596">
        <f>IFERROR(VLOOKUP(D596,Products!A:F,4,0),"")</f>
        <v>1052</v>
      </c>
      <c r="Q596" t="b">
        <f>IFERROR(VLOOKUP(D596,Products!A:F,6,0),"")</f>
        <v>1</v>
      </c>
      <c r="R596">
        <f t="shared" si="27"/>
        <v>0.5953846153846154</v>
      </c>
      <c r="S596">
        <f t="shared" si="28"/>
        <v>1</v>
      </c>
      <c r="T596">
        <f>IF(AND(S596&gt;1,COUNTIF($A$2:A596,A596)=1),1,0)</f>
        <v>0</v>
      </c>
      <c r="U596">
        <f>COUNTIF(Customers!$A$2:$A$301,C596)</f>
        <v>1</v>
      </c>
      <c r="V596">
        <f t="shared" si="29"/>
        <v>0</v>
      </c>
    </row>
    <row r="597" spans="1:22" ht="14.25" customHeight="1" x14ac:dyDescent="0.35">
      <c r="A597" s="10" t="s">
        <v>1013</v>
      </c>
      <c r="B597" s="11">
        <v>45425</v>
      </c>
      <c r="C597" s="10" t="s">
        <v>820</v>
      </c>
      <c r="D597" s="10" t="s">
        <v>79</v>
      </c>
      <c r="E597" s="10" t="s">
        <v>156</v>
      </c>
      <c r="F597" s="12">
        <v>4</v>
      </c>
      <c r="G597" s="12">
        <v>960</v>
      </c>
      <c r="H597" s="12">
        <v>21.7</v>
      </c>
      <c r="I597" s="12">
        <v>3006.72</v>
      </c>
      <c r="J597" s="10" t="s">
        <v>51</v>
      </c>
      <c r="K597" s="10" t="s">
        <v>52</v>
      </c>
      <c r="L597" t="str">
        <f>IFERROR(VLOOKUP(D597,Products!A:F,3,0),"")</f>
        <v>Sports</v>
      </c>
      <c r="M597" t="str">
        <f>IFERROR(VLOOKUP(E597,Sales_Reps!A:E,3,0),"")</f>
        <v>East</v>
      </c>
      <c r="N597" t="str">
        <f>IFERROR(VLOOKUP(C597,Customers!A:F,5,0),"")</f>
        <v>SMB</v>
      </c>
      <c r="O597">
        <f>IFERROR(VLOOKUP(C597,Customers!A:F,3,0),"")</f>
        <v>59</v>
      </c>
      <c r="P597">
        <f>IFERROR(VLOOKUP(D597,Products!A:F,4,0),"")</f>
        <v>705</v>
      </c>
      <c r="Q597" t="b">
        <f>IFERROR(VLOOKUP(D597,Products!A:F,6,0),"")</f>
        <v>1</v>
      </c>
      <c r="R597">
        <f t="shared" si="27"/>
        <v>0.265625</v>
      </c>
      <c r="S597">
        <f t="shared" si="28"/>
        <v>1</v>
      </c>
      <c r="T597">
        <f>IF(AND(S597&gt;1,COUNTIF($A$2:A597,A597)=1),1,0)</f>
        <v>0</v>
      </c>
      <c r="U597">
        <f>COUNTIF(Customers!$A$2:$A$301,C597)</f>
        <v>1</v>
      </c>
      <c r="V597">
        <f t="shared" si="29"/>
        <v>0</v>
      </c>
    </row>
    <row r="598" spans="1:22" ht="14.25" customHeight="1" x14ac:dyDescent="0.35">
      <c r="A598" s="10" t="s">
        <v>1014</v>
      </c>
      <c r="B598" s="11">
        <v>45533</v>
      </c>
      <c r="C598" s="10" t="s">
        <v>1015</v>
      </c>
      <c r="D598" s="10" t="s">
        <v>74</v>
      </c>
      <c r="E598" s="10" t="s">
        <v>165</v>
      </c>
      <c r="F598" s="12">
        <v>6</v>
      </c>
      <c r="G598" s="12">
        <v>370</v>
      </c>
      <c r="H598" s="12">
        <v>22.5</v>
      </c>
      <c r="I598" s="12">
        <v>1720.5</v>
      </c>
      <c r="J598" s="10" t="s">
        <v>51</v>
      </c>
      <c r="K598" s="10" t="s">
        <v>76</v>
      </c>
      <c r="L598" t="str">
        <f>IFERROR(VLOOKUP(D598,Products!A:F,3,0),"")</f>
        <v>Home</v>
      </c>
      <c r="M598" t="str">
        <f>IFERROR(VLOOKUP(E598,Sales_Reps!A:E,3,0),"")</f>
        <v>West</v>
      </c>
      <c r="N598" t="str">
        <f>IFERROR(VLOOKUP(C598,Customers!A:F,5,0),"")</f>
        <v>Retail</v>
      </c>
      <c r="O598">
        <f>IFERROR(VLOOKUP(C598,Customers!A:F,3,0),"")</f>
        <v>54</v>
      </c>
      <c r="P598">
        <f>IFERROR(VLOOKUP(D598,Products!A:F,4,0),"")</f>
        <v>288</v>
      </c>
      <c r="Q598" t="b">
        <f>IFERROR(VLOOKUP(D598,Products!A:F,6,0),"")</f>
        <v>1</v>
      </c>
      <c r="R598">
        <f t="shared" si="27"/>
        <v>0.22162162162162163</v>
      </c>
      <c r="S598">
        <f t="shared" si="28"/>
        <v>1</v>
      </c>
      <c r="T598">
        <f>IF(AND(S598&gt;1,COUNTIF($A$2:A598,A598)=1),1,0)</f>
        <v>0</v>
      </c>
      <c r="U598">
        <f>COUNTIF(Customers!$A$2:$A$301,C598)</f>
        <v>1</v>
      </c>
      <c r="V598">
        <f t="shared" si="29"/>
        <v>0</v>
      </c>
    </row>
    <row r="599" spans="1:22" ht="14.25" customHeight="1" x14ac:dyDescent="0.35">
      <c r="A599" s="10" t="s">
        <v>1016</v>
      </c>
      <c r="B599" s="11">
        <v>45649</v>
      </c>
      <c r="C599" s="10" t="s">
        <v>214</v>
      </c>
      <c r="D599" s="10" t="s">
        <v>407</v>
      </c>
      <c r="E599" s="10" t="s">
        <v>67</v>
      </c>
      <c r="F599" s="12">
        <v>5</v>
      </c>
      <c r="G599" s="12">
        <v>5080</v>
      </c>
      <c r="H599" s="12">
        <v>23.8</v>
      </c>
      <c r="I599" s="12">
        <v>19354.8</v>
      </c>
      <c r="J599" s="10" t="s">
        <v>51</v>
      </c>
      <c r="K599" s="10" t="s">
        <v>81</v>
      </c>
      <c r="L599" t="str">
        <f>IFERROR(VLOOKUP(D599,Products!A:F,3,0),"")</f>
        <v>Home</v>
      </c>
      <c r="M599" t="str">
        <f>IFERROR(VLOOKUP(E599,Sales_Reps!A:E,3,0),"")</f>
        <v>North</v>
      </c>
      <c r="N599" t="str">
        <f>IFERROR(VLOOKUP(C599,Customers!A:F,5,0),"")</f>
        <v>SMB</v>
      </c>
      <c r="O599">
        <f>IFERROR(VLOOKUP(C599,Customers!A:F,3,0),"")</f>
        <v>34</v>
      </c>
      <c r="P599">
        <f>IFERROR(VLOOKUP(D599,Products!A:F,4,0),"")</f>
        <v>2459</v>
      </c>
      <c r="Q599" t="b">
        <f>IFERROR(VLOOKUP(D599,Products!A:F,6,0),"")</f>
        <v>1</v>
      </c>
      <c r="R599">
        <f t="shared" si="27"/>
        <v>0.51594488188976373</v>
      </c>
      <c r="S599">
        <f t="shared" si="28"/>
        <v>1</v>
      </c>
      <c r="T599">
        <f>IF(AND(S599&gt;1,COUNTIF($A$2:A599,A599)=1),1,0)</f>
        <v>0</v>
      </c>
      <c r="U599">
        <f>COUNTIF(Customers!$A$2:$A$301,C599)</f>
        <v>1</v>
      </c>
      <c r="V599">
        <f t="shared" si="29"/>
        <v>0</v>
      </c>
    </row>
    <row r="600" spans="1:22" ht="14.25" customHeight="1" x14ac:dyDescent="0.35">
      <c r="A600" s="10" t="s">
        <v>1017</v>
      </c>
      <c r="B600" s="11">
        <v>45375</v>
      </c>
      <c r="C600" s="10" t="s">
        <v>523</v>
      </c>
      <c r="D600" s="10" t="s">
        <v>223</v>
      </c>
      <c r="E600" s="10" t="s">
        <v>112</v>
      </c>
      <c r="F600" s="12">
        <v>5</v>
      </c>
      <c r="G600" s="12">
        <v>1540</v>
      </c>
      <c r="H600" s="12">
        <v>6.1</v>
      </c>
      <c r="I600" s="12">
        <v>7230.3</v>
      </c>
      <c r="J600" s="10" t="s">
        <v>51</v>
      </c>
      <c r="K600" s="10" t="s">
        <v>52</v>
      </c>
      <c r="L600" t="str">
        <f>IFERROR(VLOOKUP(D600,Products!A:F,3,0),"")</f>
        <v>Beauty</v>
      </c>
      <c r="M600" t="str">
        <f>IFERROR(VLOOKUP(E600,Sales_Reps!A:E,3,0),"")</f>
        <v>North</v>
      </c>
      <c r="N600" t="str">
        <f>IFERROR(VLOOKUP(C600,Customers!A:F,5,0),"")</f>
        <v>Retail</v>
      </c>
      <c r="O600">
        <f>IFERROR(VLOOKUP(C600,Customers!A:F,3,0),"")</f>
        <v>62</v>
      </c>
      <c r="P600">
        <f>IFERROR(VLOOKUP(D600,Products!A:F,4,0),"")</f>
        <v>647</v>
      </c>
      <c r="Q600" t="b">
        <f>IFERROR(VLOOKUP(D600,Products!A:F,6,0),"")</f>
        <v>0</v>
      </c>
      <c r="R600">
        <f t="shared" si="27"/>
        <v>0.57987012987012987</v>
      </c>
      <c r="S600">
        <f t="shared" si="28"/>
        <v>1</v>
      </c>
      <c r="T600">
        <f>IF(AND(S600&gt;1,COUNTIF($A$2:A600,A600)=1),1,0)</f>
        <v>0</v>
      </c>
      <c r="U600">
        <f>COUNTIF(Customers!$A$2:$A$301,C600)</f>
        <v>1</v>
      </c>
      <c r="V600">
        <f t="shared" si="29"/>
        <v>0</v>
      </c>
    </row>
    <row r="601" spans="1:22" ht="14.25" customHeight="1" x14ac:dyDescent="0.35">
      <c r="A601" s="10" t="s">
        <v>1018</v>
      </c>
      <c r="B601" s="11">
        <v>45342</v>
      </c>
      <c r="C601" s="10" t="s">
        <v>1019</v>
      </c>
      <c r="D601" s="10" t="s">
        <v>95</v>
      </c>
      <c r="E601" s="10" t="s">
        <v>152</v>
      </c>
      <c r="F601" s="12">
        <v>7</v>
      </c>
      <c r="G601" s="12">
        <v>2270</v>
      </c>
      <c r="H601" s="12">
        <v>0.4</v>
      </c>
      <c r="I601" s="12">
        <v>15826.44</v>
      </c>
      <c r="J601" s="10" t="s">
        <v>51</v>
      </c>
      <c r="K601" s="10" t="s">
        <v>76</v>
      </c>
      <c r="L601" t="str">
        <f>IFERROR(VLOOKUP(D601,Products!A:F,3,0),"")</f>
        <v>Grocery</v>
      </c>
      <c r="M601" t="str">
        <f>IFERROR(VLOOKUP(E601,Sales_Reps!A:E,3,0),"")</f>
        <v>South</v>
      </c>
      <c r="N601" t="str">
        <f>IFERROR(VLOOKUP(C601,Customers!A:F,5,0),"")</f>
        <v>Retail</v>
      </c>
      <c r="O601">
        <f>IFERROR(VLOOKUP(C601,Customers!A:F,3,0),"")</f>
        <v>37</v>
      </c>
      <c r="P601">
        <f>IFERROR(VLOOKUP(D601,Products!A:F,4,0),"")</f>
        <v>1203</v>
      </c>
      <c r="Q601" t="b">
        <f>IFERROR(VLOOKUP(D601,Products!A:F,6,0),"")</f>
        <v>1</v>
      </c>
      <c r="R601">
        <f t="shared" si="27"/>
        <v>0.47004405286343615</v>
      </c>
      <c r="S601">
        <f t="shared" si="28"/>
        <v>2</v>
      </c>
      <c r="T601">
        <f>IF(AND(S601&gt;1,COUNTIF($A$2:A601,A601)=1),1,0)</f>
        <v>1</v>
      </c>
      <c r="U601">
        <f>COUNTIF(Customers!$A$2:$A$301,C601)</f>
        <v>1</v>
      </c>
      <c r="V601">
        <f t="shared" si="29"/>
        <v>0</v>
      </c>
    </row>
    <row r="602" spans="1:22" ht="14.25" customHeight="1" x14ac:dyDescent="0.35">
      <c r="A602" s="10" t="s">
        <v>1020</v>
      </c>
      <c r="B602" s="11">
        <v>45441</v>
      </c>
      <c r="C602" s="10" t="s">
        <v>792</v>
      </c>
      <c r="D602" s="10" t="s">
        <v>79</v>
      </c>
      <c r="E602" s="10" t="s">
        <v>152</v>
      </c>
      <c r="F602" s="12">
        <v>2</v>
      </c>
      <c r="G602" s="12">
        <v>960</v>
      </c>
      <c r="H602" s="12">
        <v>3.7</v>
      </c>
      <c r="I602" s="12">
        <v>1848.96</v>
      </c>
      <c r="J602" s="10" t="s">
        <v>51</v>
      </c>
      <c r="K602" s="10" t="s">
        <v>97</v>
      </c>
      <c r="L602" t="str">
        <f>IFERROR(VLOOKUP(D602,Products!A:F,3,0),"")</f>
        <v>Sports</v>
      </c>
      <c r="M602" t="str">
        <f>IFERROR(VLOOKUP(E602,Sales_Reps!A:E,3,0),"")</f>
        <v>South</v>
      </c>
      <c r="N602" t="str">
        <f>IFERROR(VLOOKUP(C602,Customers!A:F,5,0),"")</f>
        <v>Retail</v>
      </c>
      <c r="O602">
        <f>IFERROR(VLOOKUP(C602,Customers!A:F,3,0),"")</f>
        <v>52</v>
      </c>
      <c r="P602">
        <f>IFERROR(VLOOKUP(D602,Products!A:F,4,0),"")</f>
        <v>705</v>
      </c>
      <c r="Q602" t="b">
        <f>IFERROR(VLOOKUP(D602,Products!A:F,6,0),"")</f>
        <v>1</v>
      </c>
      <c r="R602">
        <f t="shared" si="27"/>
        <v>0.265625</v>
      </c>
      <c r="S602">
        <f t="shared" si="28"/>
        <v>1</v>
      </c>
      <c r="T602">
        <f>IF(AND(S602&gt;1,COUNTIF($A$2:A602,A602)=1),1,0)</f>
        <v>0</v>
      </c>
      <c r="U602">
        <f>COUNTIF(Customers!$A$2:$A$301,C602)</f>
        <v>1</v>
      </c>
      <c r="V602">
        <f t="shared" si="29"/>
        <v>0</v>
      </c>
    </row>
    <row r="603" spans="1:22" ht="14.25" customHeight="1" x14ac:dyDescent="0.35">
      <c r="A603" s="10" t="s">
        <v>1021</v>
      </c>
      <c r="B603" s="11">
        <v>45410</v>
      </c>
      <c r="C603" s="10" t="s">
        <v>371</v>
      </c>
      <c r="D603" s="10" t="s">
        <v>84</v>
      </c>
      <c r="E603" s="10" t="s">
        <v>307</v>
      </c>
      <c r="F603" s="12">
        <v>6</v>
      </c>
      <c r="G603" s="12">
        <v>1430</v>
      </c>
      <c r="H603" s="12">
        <v>2</v>
      </c>
      <c r="I603" s="12">
        <v>8408.4</v>
      </c>
      <c r="J603" s="10" t="s">
        <v>57</v>
      </c>
      <c r="K603" s="10" t="s">
        <v>52</v>
      </c>
      <c r="L603" t="str">
        <f>IFERROR(VLOOKUP(D603,Products!A:F,3,0),"")</f>
        <v>Electronics</v>
      </c>
      <c r="M603" t="str">
        <f>IFERROR(VLOOKUP(E603,Sales_Reps!A:E,3,0),"")</f>
        <v>West</v>
      </c>
      <c r="N603" t="str">
        <f>IFERROR(VLOOKUP(C603,Customers!A:F,5,0),"")</f>
        <v>SMB</v>
      </c>
      <c r="O603">
        <f>IFERROR(VLOOKUP(C603,Customers!A:F,3,0),"")</f>
        <v>53</v>
      </c>
      <c r="P603">
        <f>IFERROR(VLOOKUP(D603,Products!A:F,4,0),"")</f>
        <v>861</v>
      </c>
      <c r="Q603" t="b">
        <f>IFERROR(VLOOKUP(D603,Products!A:F,6,0),"")</f>
        <v>1</v>
      </c>
      <c r="R603">
        <f t="shared" si="27"/>
        <v>0.39790209790209791</v>
      </c>
      <c r="S603">
        <f t="shared" si="28"/>
        <v>1</v>
      </c>
      <c r="T603">
        <f>IF(AND(S603&gt;1,COUNTIF($A$2:A603,A603)=1),1,0)</f>
        <v>0</v>
      </c>
      <c r="U603">
        <f>COUNTIF(Customers!$A$2:$A$301,C603)</f>
        <v>1</v>
      </c>
      <c r="V603">
        <f t="shared" si="29"/>
        <v>0</v>
      </c>
    </row>
    <row r="604" spans="1:22" ht="14.25" customHeight="1" x14ac:dyDescent="0.35">
      <c r="A604" s="10" t="s">
        <v>1022</v>
      </c>
      <c r="B604" s="11">
        <v>45588</v>
      </c>
      <c r="C604" s="10" t="s">
        <v>263</v>
      </c>
      <c r="D604" s="10" t="s">
        <v>121</v>
      </c>
      <c r="E604" s="10" t="s">
        <v>67</v>
      </c>
      <c r="F604" s="12">
        <v>10</v>
      </c>
      <c r="G604" s="12">
        <v>3450</v>
      </c>
      <c r="H604" s="12">
        <v>19.100000000000001</v>
      </c>
      <c r="I604" s="12">
        <v>27910.5</v>
      </c>
      <c r="J604" s="10" t="s">
        <v>51</v>
      </c>
      <c r="K604" s="10" t="s">
        <v>97</v>
      </c>
      <c r="L604" t="str">
        <f>IFERROR(VLOOKUP(D604,Products!A:F,3,0),"")</f>
        <v>Beauty</v>
      </c>
      <c r="M604" t="str">
        <f>IFERROR(VLOOKUP(E604,Sales_Reps!A:E,3,0),"")</f>
        <v>North</v>
      </c>
      <c r="N604" t="str">
        <f>IFERROR(VLOOKUP(C604,Customers!A:F,5,0),"")</f>
        <v>Retail</v>
      </c>
      <c r="O604">
        <f>IFERROR(VLOOKUP(C604,Customers!A:F,3,0),"")</f>
        <v>29</v>
      </c>
      <c r="P604">
        <f>IFERROR(VLOOKUP(D604,Products!A:F,4,0),"")</f>
        <v>2420</v>
      </c>
      <c r="Q604" t="b">
        <f>IFERROR(VLOOKUP(D604,Products!A:F,6,0),"")</f>
        <v>1</v>
      </c>
      <c r="R604">
        <f t="shared" si="27"/>
        <v>0.29855072463768118</v>
      </c>
      <c r="S604">
        <f t="shared" si="28"/>
        <v>1</v>
      </c>
      <c r="T604">
        <f>IF(AND(S604&gt;1,COUNTIF($A$2:A604,A604)=1),1,0)</f>
        <v>0</v>
      </c>
      <c r="U604">
        <f>COUNTIF(Customers!$A$2:$A$301,C604)</f>
        <v>1</v>
      </c>
      <c r="V604">
        <f t="shared" si="29"/>
        <v>0</v>
      </c>
    </row>
    <row r="605" spans="1:22" ht="14.25" customHeight="1" x14ac:dyDescent="0.35">
      <c r="A605" s="10" t="s">
        <v>1023</v>
      </c>
      <c r="B605" s="11">
        <v>45412</v>
      </c>
      <c r="C605" s="10" t="s">
        <v>404</v>
      </c>
      <c r="D605" s="10" t="s">
        <v>231</v>
      </c>
      <c r="E605" s="10" t="s">
        <v>165</v>
      </c>
      <c r="F605" s="12">
        <v>8</v>
      </c>
      <c r="G605" s="12">
        <v>1220</v>
      </c>
      <c r="H605" s="12">
        <v>16.899999999999999</v>
      </c>
      <c r="I605" s="12">
        <v>8110.56</v>
      </c>
      <c r="J605" s="10" t="s">
        <v>51</v>
      </c>
      <c r="K605" s="10" t="s">
        <v>52</v>
      </c>
      <c r="L605" t="str">
        <f>IFERROR(VLOOKUP(D605,Products!A:F,3,0),"")</f>
        <v>Electronics</v>
      </c>
      <c r="M605" t="str">
        <f>IFERROR(VLOOKUP(E605,Sales_Reps!A:E,3,0),"")</f>
        <v>West</v>
      </c>
      <c r="N605" t="str">
        <f>IFERROR(VLOOKUP(C605,Customers!A:F,5,0),"")</f>
        <v>SMB</v>
      </c>
      <c r="O605">
        <f>IFERROR(VLOOKUP(C605,Customers!A:F,3,0),"")</f>
        <v>30</v>
      </c>
      <c r="P605">
        <f>IFERROR(VLOOKUP(D605,Products!A:F,4,0),"")</f>
        <v>517</v>
      </c>
      <c r="Q605" t="b">
        <f>IFERROR(VLOOKUP(D605,Products!A:F,6,0),"")</f>
        <v>1</v>
      </c>
      <c r="R605">
        <f t="shared" si="27"/>
        <v>0.57622950819672136</v>
      </c>
      <c r="S605">
        <f t="shared" si="28"/>
        <v>1</v>
      </c>
      <c r="T605">
        <f>IF(AND(S605&gt;1,COUNTIF($A$2:A605,A605)=1),1,0)</f>
        <v>0</v>
      </c>
      <c r="U605">
        <f>COUNTIF(Customers!$A$2:$A$301,C605)</f>
        <v>1</v>
      </c>
      <c r="V605">
        <f t="shared" si="29"/>
        <v>0</v>
      </c>
    </row>
    <row r="606" spans="1:22" ht="14.25" customHeight="1" x14ac:dyDescent="0.35">
      <c r="A606" s="10" t="s">
        <v>1024</v>
      </c>
      <c r="B606" s="11">
        <v>45439</v>
      </c>
      <c r="C606" s="10" t="s">
        <v>932</v>
      </c>
      <c r="D606" s="10" t="s">
        <v>164</v>
      </c>
      <c r="E606" s="10" t="s">
        <v>156</v>
      </c>
      <c r="F606" s="12">
        <v>9</v>
      </c>
      <c r="G606" s="12">
        <v>2760</v>
      </c>
      <c r="H606" s="12">
        <v>16.899999999999999</v>
      </c>
      <c r="I606" s="12">
        <v>20642.04</v>
      </c>
      <c r="J606" s="10" t="s">
        <v>51</v>
      </c>
      <c r="K606" s="10" t="s">
        <v>63</v>
      </c>
      <c r="L606" t="str">
        <f>IFERROR(VLOOKUP(D606,Products!A:F,3,0),"")</f>
        <v>Grocery</v>
      </c>
      <c r="M606" t="str">
        <f>IFERROR(VLOOKUP(E606,Sales_Reps!A:E,3,0),"")</f>
        <v>East</v>
      </c>
      <c r="N606" t="str">
        <f>IFERROR(VLOOKUP(C606,Customers!A:F,5,0),"")</f>
        <v>Retail</v>
      </c>
      <c r="O606">
        <f>IFERROR(VLOOKUP(C606,Customers!A:F,3,0),"")</f>
        <v>47</v>
      </c>
      <c r="P606">
        <f>IFERROR(VLOOKUP(D606,Products!A:F,4,0),"")</f>
        <v>1435</v>
      </c>
      <c r="Q606" t="b">
        <f>IFERROR(VLOOKUP(D606,Products!A:F,6,0),"")</f>
        <v>1</v>
      </c>
      <c r="R606">
        <f t="shared" si="27"/>
        <v>0.48007246376811596</v>
      </c>
      <c r="S606">
        <f t="shared" si="28"/>
        <v>1</v>
      </c>
      <c r="T606">
        <f>IF(AND(S606&gt;1,COUNTIF($A$2:A606,A606)=1),1,0)</f>
        <v>0</v>
      </c>
      <c r="U606">
        <f>COUNTIF(Customers!$A$2:$A$301,C606)</f>
        <v>1</v>
      </c>
      <c r="V606">
        <f t="shared" si="29"/>
        <v>0</v>
      </c>
    </row>
    <row r="607" spans="1:22" ht="14.25" customHeight="1" x14ac:dyDescent="0.35">
      <c r="A607" s="10" t="s">
        <v>1025</v>
      </c>
      <c r="B607" s="11">
        <v>45593</v>
      </c>
      <c r="C607" s="10" t="s">
        <v>1026</v>
      </c>
      <c r="D607" s="10" t="s">
        <v>143</v>
      </c>
      <c r="E607" s="10" t="s">
        <v>202</v>
      </c>
      <c r="F607" s="12">
        <v>6</v>
      </c>
      <c r="G607" s="12">
        <v>3350</v>
      </c>
      <c r="H607" s="12">
        <v>11.8</v>
      </c>
      <c r="I607" s="12">
        <v>17728.2</v>
      </c>
      <c r="J607" s="10" t="s">
        <v>57</v>
      </c>
      <c r="K607" s="10" t="s">
        <v>76</v>
      </c>
      <c r="L607" t="str">
        <f>IFERROR(VLOOKUP(D607,Products!A:F,3,0),"")</f>
        <v>Beauty</v>
      </c>
      <c r="M607" t="str">
        <f>IFERROR(VLOOKUP(E607,Sales_Reps!A:E,3,0),"")</f>
        <v>East</v>
      </c>
      <c r="N607" t="str">
        <f>IFERROR(VLOOKUP(C607,Customers!A:F,5,0),"")</f>
        <v>SMB</v>
      </c>
      <c r="O607">
        <f>IFERROR(VLOOKUP(C607,Customers!A:F,3,0),"")</f>
        <v>54</v>
      </c>
      <c r="P607">
        <f>IFERROR(VLOOKUP(D607,Products!A:F,4,0),"")</f>
        <v>1728</v>
      </c>
      <c r="Q607" t="b">
        <f>IFERROR(VLOOKUP(D607,Products!A:F,6,0),"")</f>
        <v>1</v>
      </c>
      <c r="R607">
        <f t="shared" si="27"/>
        <v>0.48417910447761192</v>
      </c>
      <c r="S607">
        <f t="shared" si="28"/>
        <v>1</v>
      </c>
      <c r="T607">
        <f>IF(AND(S607&gt;1,COUNTIF($A$2:A607,A607)=1),1,0)</f>
        <v>0</v>
      </c>
      <c r="U607">
        <f>COUNTIF(Customers!$A$2:$A$301,C607)</f>
        <v>1</v>
      </c>
      <c r="V607">
        <f t="shared" si="29"/>
        <v>0</v>
      </c>
    </row>
    <row r="608" spans="1:22" ht="14.25" customHeight="1" x14ac:dyDescent="0.35">
      <c r="A608" s="10" t="s">
        <v>1027</v>
      </c>
      <c r="B608" s="11">
        <v>45570</v>
      </c>
      <c r="C608" s="10" t="s">
        <v>214</v>
      </c>
      <c r="D608" s="10" t="s">
        <v>155</v>
      </c>
      <c r="E608" s="10" t="s">
        <v>216</v>
      </c>
      <c r="F608" s="12">
        <v>6</v>
      </c>
      <c r="G608" s="12">
        <v>5100</v>
      </c>
      <c r="H608" s="12">
        <v>13.2</v>
      </c>
      <c r="I608" s="12">
        <v>26560.799999999999</v>
      </c>
      <c r="J608" s="10" t="s">
        <v>51</v>
      </c>
      <c r="K608" s="10" t="s">
        <v>81</v>
      </c>
      <c r="L608" t="str">
        <f>IFERROR(VLOOKUP(D608,Products!A:F,3,0),"")</f>
        <v>Beauty</v>
      </c>
      <c r="M608" t="str">
        <f>IFERROR(VLOOKUP(E608,Sales_Reps!A:E,3,0),"")</f>
        <v>South</v>
      </c>
      <c r="N608" t="str">
        <f>IFERROR(VLOOKUP(C608,Customers!A:F,5,0),"")</f>
        <v>SMB</v>
      </c>
      <c r="O608">
        <f>IFERROR(VLOOKUP(C608,Customers!A:F,3,0),"")</f>
        <v>34</v>
      </c>
      <c r="P608">
        <f>IFERROR(VLOOKUP(D608,Products!A:F,4,0),"")</f>
        <v>2237</v>
      </c>
      <c r="Q608" t="b">
        <f>IFERROR(VLOOKUP(D608,Products!A:F,6,0),"")</f>
        <v>1</v>
      </c>
      <c r="R608">
        <f t="shared" si="27"/>
        <v>0.56137254901960787</v>
      </c>
      <c r="S608">
        <f t="shared" si="28"/>
        <v>1</v>
      </c>
      <c r="T608">
        <f>IF(AND(S608&gt;1,COUNTIF($A$2:A608,A608)=1),1,0)</f>
        <v>0</v>
      </c>
      <c r="U608">
        <f>COUNTIF(Customers!$A$2:$A$301,C608)</f>
        <v>1</v>
      </c>
      <c r="V608">
        <f t="shared" si="29"/>
        <v>0</v>
      </c>
    </row>
    <row r="609" spans="1:22" ht="14.25" customHeight="1" x14ac:dyDescent="0.35">
      <c r="A609" s="10" t="s">
        <v>1028</v>
      </c>
      <c r="B609" s="11">
        <v>45474</v>
      </c>
      <c r="C609" s="10" t="s">
        <v>1029</v>
      </c>
      <c r="D609" s="10" t="s">
        <v>99</v>
      </c>
      <c r="E609" s="10" t="s">
        <v>307</v>
      </c>
      <c r="F609" s="12">
        <v>6</v>
      </c>
      <c r="G609" s="12">
        <v>2640</v>
      </c>
      <c r="H609" s="12">
        <v>26.2</v>
      </c>
      <c r="I609" s="12">
        <v>11689.92</v>
      </c>
      <c r="J609" s="10" t="s">
        <v>51</v>
      </c>
      <c r="K609" s="10" t="s">
        <v>58</v>
      </c>
      <c r="L609" t="str">
        <f>IFERROR(VLOOKUP(D609,Products!A:F,3,0),"")</f>
        <v>Electronics</v>
      </c>
      <c r="M609" t="str">
        <f>IFERROR(VLOOKUP(E609,Sales_Reps!A:E,3,0),"")</f>
        <v>West</v>
      </c>
      <c r="N609" t="str">
        <f>IFERROR(VLOOKUP(C609,Customers!A:F,5,0),"")</f>
        <v>Retail</v>
      </c>
      <c r="O609">
        <f>IFERROR(VLOOKUP(C609,Customers!A:F,3,0),"")</f>
        <v>49</v>
      </c>
      <c r="P609">
        <f>IFERROR(VLOOKUP(D609,Products!A:F,4,0),"")</f>
        <v>1149</v>
      </c>
      <c r="Q609" t="b">
        <f>IFERROR(VLOOKUP(D609,Products!A:F,6,0),"")</f>
        <v>1</v>
      </c>
      <c r="R609">
        <f t="shared" si="27"/>
        <v>0.56477272727272732</v>
      </c>
      <c r="S609">
        <f t="shared" si="28"/>
        <v>1</v>
      </c>
      <c r="T609">
        <f>IF(AND(S609&gt;1,COUNTIF($A$2:A609,A609)=1),1,0)</f>
        <v>0</v>
      </c>
      <c r="U609">
        <f>COUNTIF(Customers!$A$2:$A$301,C609)</f>
        <v>1</v>
      </c>
      <c r="V609">
        <f t="shared" si="29"/>
        <v>0</v>
      </c>
    </row>
    <row r="610" spans="1:22" ht="14.25" customHeight="1" x14ac:dyDescent="0.35">
      <c r="A610" s="10" t="s">
        <v>1030</v>
      </c>
      <c r="B610" s="11">
        <v>45524</v>
      </c>
      <c r="C610" s="10" t="s">
        <v>561</v>
      </c>
      <c r="D610" s="10" t="s">
        <v>66</v>
      </c>
      <c r="E610" s="10" t="s">
        <v>310</v>
      </c>
      <c r="F610" s="12">
        <v>1</v>
      </c>
      <c r="G610" s="12">
        <v>3660</v>
      </c>
      <c r="H610" s="12">
        <v>19.7</v>
      </c>
      <c r="I610" s="12">
        <v>2938.98</v>
      </c>
      <c r="J610" s="10" t="s">
        <v>51</v>
      </c>
      <c r="K610" s="10" t="s">
        <v>76</v>
      </c>
      <c r="L610" t="str">
        <f>IFERROR(VLOOKUP(D610,Products!A:F,3,0),"")</f>
        <v>Grocery</v>
      </c>
      <c r="M610" t="str">
        <f>IFERROR(VLOOKUP(E610,Sales_Reps!A:E,3,0),"")</f>
        <v>South</v>
      </c>
      <c r="N610" t="str">
        <f>IFERROR(VLOOKUP(C610,Customers!A:F,5,0),"")</f>
        <v>Retail</v>
      </c>
      <c r="O610">
        <f>IFERROR(VLOOKUP(C610,Customers!A:F,3,0),"")</f>
        <v>39</v>
      </c>
      <c r="P610">
        <f>IFERROR(VLOOKUP(D610,Products!A:F,4,0),"")</f>
        <v>2214</v>
      </c>
      <c r="Q610" t="b">
        <f>IFERROR(VLOOKUP(D610,Products!A:F,6,0),"")</f>
        <v>0</v>
      </c>
      <c r="R610">
        <f t="shared" si="27"/>
        <v>0.39508196721311473</v>
      </c>
      <c r="S610">
        <f t="shared" si="28"/>
        <v>1</v>
      </c>
      <c r="T610">
        <f>IF(AND(S610&gt;1,COUNTIF($A$2:A610,A610)=1),1,0)</f>
        <v>0</v>
      </c>
      <c r="U610">
        <f>COUNTIF(Customers!$A$2:$A$301,C610)</f>
        <v>1</v>
      </c>
      <c r="V610">
        <f t="shared" si="29"/>
        <v>0</v>
      </c>
    </row>
    <row r="611" spans="1:22" ht="14.25" customHeight="1" x14ac:dyDescent="0.35">
      <c r="A611" s="10" t="s">
        <v>1031</v>
      </c>
      <c r="B611" s="11">
        <v>45468</v>
      </c>
      <c r="C611" s="10" t="s">
        <v>577</v>
      </c>
      <c r="D611" s="10" t="s">
        <v>74</v>
      </c>
      <c r="E611" s="10" t="s">
        <v>307</v>
      </c>
      <c r="F611" s="12">
        <v>5</v>
      </c>
      <c r="G611" s="12">
        <v>370</v>
      </c>
      <c r="H611" s="12">
        <v>21.7</v>
      </c>
      <c r="I611" s="12">
        <v>1448.55</v>
      </c>
      <c r="J611" s="10" t="s">
        <v>51</v>
      </c>
      <c r="K611" s="10" t="s">
        <v>76</v>
      </c>
      <c r="L611" t="str">
        <f>IFERROR(VLOOKUP(D611,Products!A:F,3,0),"")</f>
        <v>Home</v>
      </c>
      <c r="M611" t="str">
        <f>IFERROR(VLOOKUP(E611,Sales_Reps!A:E,3,0),"")</f>
        <v>West</v>
      </c>
      <c r="N611" t="str">
        <f>IFERROR(VLOOKUP(C611,Customers!A:F,5,0),"")</f>
        <v>Retail</v>
      </c>
      <c r="O611">
        <f>IFERROR(VLOOKUP(C611,Customers!A:F,3,0),"")</f>
        <v>44</v>
      </c>
      <c r="P611">
        <f>IFERROR(VLOOKUP(D611,Products!A:F,4,0),"")</f>
        <v>288</v>
      </c>
      <c r="Q611" t="b">
        <f>IFERROR(VLOOKUP(D611,Products!A:F,6,0),"")</f>
        <v>1</v>
      </c>
      <c r="R611">
        <f t="shared" si="27"/>
        <v>0.22162162162162163</v>
      </c>
      <c r="S611">
        <f t="shared" si="28"/>
        <v>1</v>
      </c>
      <c r="T611">
        <f>IF(AND(S611&gt;1,COUNTIF($A$2:A611,A611)=1),1,0)</f>
        <v>0</v>
      </c>
      <c r="U611">
        <f>COUNTIF(Customers!$A$2:$A$301,C611)</f>
        <v>1</v>
      </c>
      <c r="V611">
        <f t="shared" si="29"/>
        <v>0</v>
      </c>
    </row>
    <row r="612" spans="1:22" ht="14.25" customHeight="1" x14ac:dyDescent="0.35">
      <c r="A612" s="10" t="s">
        <v>1032</v>
      </c>
      <c r="B612" s="11">
        <v>45336</v>
      </c>
      <c r="C612" s="10" t="s">
        <v>358</v>
      </c>
      <c r="D612" s="10" t="s">
        <v>256</v>
      </c>
      <c r="E612" s="10" t="s">
        <v>75</v>
      </c>
      <c r="F612" s="12">
        <v>5</v>
      </c>
      <c r="G612" s="12">
        <v>620</v>
      </c>
      <c r="H612" s="12">
        <v>10.199999999999999</v>
      </c>
      <c r="I612" s="12">
        <v>2783.8</v>
      </c>
      <c r="J612" s="10" t="s">
        <v>51</v>
      </c>
      <c r="K612" s="10" t="s">
        <v>81</v>
      </c>
      <c r="L612" t="str">
        <f>IFERROR(VLOOKUP(D612,Products!A:F,3,0),"")</f>
        <v>Apparel</v>
      </c>
      <c r="M612" t="str">
        <f>IFERROR(VLOOKUP(E612,Sales_Reps!A:E,3,0),"")</f>
        <v>West</v>
      </c>
      <c r="N612" t="str">
        <f>IFERROR(VLOOKUP(C612,Customers!A:F,5,0),"")</f>
        <v>SMB</v>
      </c>
      <c r="O612">
        <f>IFERROR(VLOOKUP(C612,Customers!A:F,3,0),"")</f>
        <v>28</v>
      </c>
      <c r="P612">
        <f>IFERROR(VLOOKUP(D612,Products!A:F,4,0),"")</f>
        <v>396</v>
      </c>
      <c r="Q612" t="b">
        <f>IFERROR(VLOOKUP(D612,Products!A:F,6,0),"")</f>
        <v>1</v>
      </c>
      <c r="R612">
        <f t="shared" si="27"/>
        <v>0.36129032258064514</v>
      </c>
      <c r="S612">
        <f t="shared" si="28"/>
        <v>1</v>
      </c>
      <c r="T612">
        <f>IF(AND(S612&gt;1,COUNTIF($A$2:A612,A612)=1),1,0)</f>
        <v>0</v>
      </c>
      <c r="U612">
        <f>COUNTIF(Customers!$A$2:$A$301,C612)</f>
        <v>1</v>
      </c>
      <c r="V612">
        <f t="shared" si="29"/>
        <v>0</v>
      </c>
    </row>
    <row r="613" spans="1:22" ht="14.25" customHeight="1" x14ac:dyDescent="0.35">
      <c r="A613" s="10" t="s">
        <v>1033</v>
      </c>
      <c r="B613" s="11">
        <v>45392</v>
      </c>
      <c r="C613" s="10" t="s">
        <v>661</v>
      </c>
      <c r="D613" s="10" t="s">
        <v>61</v>
      </c>
      <c r="E613" s="10" t="s">
        <v>267</v>
      </c>
      <c r="F613" s="12">
        <v>8</v>
      </c>
      <c r="G613" s="12">
        <v>470</v>
      </c>
      <c r="H613" s="12">
        <v>2.4</v>
      </c>
      <c r="I613" s="12">
        <v>3669.76</v>
      </c>
      <c r="J613" s="10" t="s">
        <v>51</v>
      </c>
      <c r="K613" s="10" t="s">
        <v>97</v>
      </c>
      <c r="L613" t="str">
        <f>IFERROR(VLOOKUP(D613,Products!A:F,3,0),"")</f>
        <v>Sports</v>
      </c>
      <c r="M613" t="str">
        <f>IFERROR(VLOOKUP(E613,Sales_Reps!A:E,3,0),"")</f>
        <v>East</v>
      </c>
      <c r="N613" t="str">
        <f>IFERROR(VLOOKUP(C613,Customers!A:F,5,0),"")</f>
        <v>Retail</v>
      </c>
      <c r="O613">
        <f>IFERROR(VLOOKUP(C613,Customers!A:F,3,0),"")</f>
        <v>65</v>
      </c>
      <c r="P613">
        <f>IFERROR(VLOOKUP(D613,Products!A:F,4,0),"")</f>
        <v>302</v>
      </c>
      <c r="Q613" t="b">
        <f>IFERROR(VLOOKUP(D613,Products!A:F,6,0),"")</f>
        <v>0</v>
      </c>
      <c r="R613">
        <f t="shared" si="27"/>
        <v>0.35744680851063831</v>
      </c>
      <c r="S613">
        <f t="shared" si="28"/>
        <v>1</v>
      </c>
      <c r="T613">
        <f>IF(AND(S613&gt;1,COUNTIF($A$2:A613,A613)=1),1,0)</f>
        <v>0</v>
      </c>
      <c r="U613">
        <f>COUNTIF(Customers!$A$2:$A$301,C613)</f>
        <v>1</v>
      </c>
      <c r="V613">
        <f t="shared" si="29"/>
        <v>0</v>
      </c>
    </row>
    <row r="614" spans="1:22" ht="14.25" customHeight="1" x14ac:dyDescent="0.35">
      <c r="A614" s="10" t="s">
        <v>1034</v>
      </c>
      <c r="B614" s="11">
        <v>45610</v>
      </c>
      <c r="C614" s="10" t="s">
        <v>590</v>
      </c>
      <c r="D614" s="10" t="s">
        <v>350</v>
      </c>
      <c r="E614" s="10" t="s">
        <v>56</v>
      </c>
      <c r="F614" s="12">
        <v>3</v>
      </c>
      <c r="G614" s="12">
        <v>2290</v>
      </c>
      <c r="H614" s="12">
        <v>20.8</v>
      </c>
      <c r="I614" s="12">
        <v>5441.04</v>
      </c>
      <c r="J614" s="10" t="s">
        <v>51</v>
      </c>
      <c r="K614" s="10" t="s">
        <v>63</v>
      </c>
      <c r="L614" t="str">
        <f>IFERROR(VLOOKUP(D614,Products!A:F,3,0),"")</f>
        <v>Beauty</v>
      </c>
      <c r="M614" t="str">
        <f>IFERROR(VLOOKUP(E614,Sales_Reps!A:E,3,0),"")</f>
        <v>North</v>
      </c>
      <c r="N614" t="str">
        <f>IFERROR(VLOOKUP(C614,Customers!A:F,5,0),"")</f>
        <v>Retail</v>
      </c>
      <c r="O614">
        <f>IFERROR(VLOOKUP(C614,Customers!A:F,3,0),"")</f>
        <v>40</v>
      </c>
      <c r="P614">
        <f>IFERROR(VLOOKUP(D614,Products!A:F,4,0),"")</f>
        <v>1219</v>
      </c>
      <c r="Q614" t="b">
        <f>IFERROR(VLOOKUP(D614,Products!A:F,6,0),"")</f>
        <v>1</v>
      </c>
      <c r="R614">
        <f t="shared" si="27"/>
        <v>0.46768558951965067</v>
      </c>
      <c r="S614">
        <f t="shared" si="28"/>
        <v>2</v>
      </c>
      <c r="T614">
        <f>IF(AND(S614&gt;1,COUNTIF($A$2:A614,A614)=1),1,0)</f>
        <v>1</v>
      </c>
      <c r="U614">
        <f>COUNTIF(Customers!$A$2:$A$301,C614)</f>
        <v>1</v>
      </c>
      <c r="V614">
        <f t="shared" si="29"/>
        <v>0</v>
      </c>
    </row>
    <row r="615" spans="1:22" ht="14.25" customHeight="1" x14ac:dyDescent="0.35">
      <c r="A615" s="10" t="s">
        <v>1035</v>
      </c>
      <c r="B615" s="11">
        <v>45297</v>
      </c>
      <c r="C615" s="10" t="s">
        <v>1036</v>
      </c>
      <c r="D615" s="10" t="s">
        <v>79</v>
      </c>
      <c r="E615" s="10" t="s">
        <v>80</v>
      </c>
      <c r="F615" s="12">
        <v>4</v>
      </c>
      <c r="G615" s="12">
        <v>960</v>
      </c>
      <c r="H615" s="12">
        <v>28.8</v>
      </c>
      <c r="I615" s="12">
        <v>2734.08</v>
      </c>
      <c r="J615" s="10" t="s">
        <v>57</v>
      </c>
      <c r="K615" s="10" t="s">
        <v>76</v>
      </c>
      <c r="L615" t="str">
        <f>IFERROR(VLOOKUP(D615,Products!A:F,3,0),"")</f>
        <v>Sports</v>
      </c>
      <c r="M615" t="str">
        <f>IFERROR(VLOOKUP(E615,Sales_Reps!A:E,3,0),"")</f>
        <v>West</v>
      </c>
      <c r="N615" t="str">
        <f>IFERROR(VLOOKUP(C615,Customers!A:F,5,0),"")</f>
        <v>SMB</v>
      </c>
      <c r="O615">
        <f>IFERROR(VLOOKUP(C615,Customers!A:F,3,0),"")</f>
        <v>53</v>
      </c>
      <c r="P615">
        <f>IFERROR(VLOOKUP(D615,Products!A:F,4,0),"")</f>
        <v>705</v>
      </c>
      <c r="Q615" t="b">
        <f>IFERROR(VLOOKUP(D615,Products!A:F,6,0),"")</f>
        <v>1</v>
      </c>
      <c r="R615">
        <f t="shared" si="27"/>
        <v>0.265625</v>
      </c>
      <c r="S615">
        <f t="shared" si="28"/>
        <v>1</v>
      </c>
      <c r="T615">
        <f>IF(AND(S615&gt;1,COUNTIF($A$2:A615,A615)=1),1,0)</f>
        <v>0</v>
      </c>
      <c r="U615">
        <f>COUNTIF(Customers!$A$2:$A$301,C615)</f>
        <v>1</v>
      </c>
      <c r="V615">
        <f t="shared" si="29"/>
        <v>0</v>
      </c>
    </row>
    <row r="616" spans="1:22" ht="14.25" customHeight="1" x14ac:dyDescent="0.35">
      <c r="A616" s="10" t="s">
        <v>1037</v>
      </c>
      <c r="B616" s="11">
        <v>45558</v>
      </c>
      <c r="C616" s="10" t="s">
        <v>406</v>
      </c>
      <c r="D616" s="10" t="s">
        <v>66</v>
      </c>
      <c r="E616" s="10" t="s">
        <v>96</v>
      </c>
      <c r="F616" s="12">
        <v>5</v>
      </c>
      <c r="G616" s="12">
        <v>3660</v>
      </c>
      <c r="H616" s="12">
        <v>11.9</v>
      </c>
      <c r="I616" s="12">
        <v>16122.3</v>
      </c>
      <c r="J616" s="10" t="s">
        <v>57</v>
      </c>
      <c r="K616" s="10" t="s">
        <v>52</v>
      </c>
      <c r="L616" t="str">
        <f>IFERROR(VLOOKUP(D616,Products!A:F,3,0),"")</f>
        <v>Grocery</v>
      </c>
      <c r="M616" t="str">
        <f>IFERROR(VLOOKUP(E616,Sales_Reps!A:E,3,0),"")</f>
        <v>South</v>
      </c>
      <c r="N616" t="str">
        <f>IFERROR(VLOOKUP(C616,Customers!A:F,5,0),"")</f>
        <v>Retail</v>
      </c>
      <c r="O616">
        <f>IFERROR(VLOOKUP(C616,Customers!A:F,3,0),"")</f>
        <v>65</v>
      </c>
      <c r="P616">
        <f>IFERROR(VLOOKUP(D616,Products!A:F,4,0),"")</f>
        <v>2214</v>
      </c>
      <c r="Q616" t="b">
        <f>IFERROR(VLOOKUP(D616,Products!A:F,6,0),"")</f>
        <v>0</v>
      </c>
      <c r="R616">
        <f t="shared" si="27"/>
        <v>0.39508196721311473</v>
      </c>
      <c r="S616">
        <f t="shared" si="28"/>
        <v>1</v>
      </c>
      <c r="T616">
        <f>IF(AND(S616&gt;1,COUNTIF($A$2:A616,A616)=1),1,0)</f>
        <v>0</v>
      </c>
      <c r="U616">
        <f>COUNTIF(Customers!$A$2:$A$301,C616)</f>
        <v>1</v>
      </c>
      <c r="V616">
        <f t="shared" si="29"/>
        <v>0</v>
      </c>
    </row>
    <row r="617" spans="1:22" ht="14.25" customHeight="1" x14ac:dyDescent="0.35">
      <c r="A617" s="10" t="s">
        <v>1038</v>
      </c>
      <c r="B617" s="11">
        <v>45487</v>
      </c>
      <c r="C617" s="10" t="s">
        <v>297</v>
      </c>
      <c r="D617" s="10" t="s">
        <v>151</v>
      </c>
      <c r="E617" s="10" t="s">
        <v>85</v>
      </c>
      <c r="F617" s="12">
        <v>5</v>
      </c>
      <c r="G617" s="12">
        <v>3570</v>
      </c>
      <c r="H617" s="12">
        <v>12.4</v>
      </c>
      <c r="I617" s="12">
        <v>15636.6</v>
      </c>
      <c r="J617" s="10" t="s">
        <v>51</v>
      </c>
      <c r="K617" s="10" t="s">
        <v>97</v>
      </c>
      <c r="L617" t="str">
        <f>IFERROR(VLOOKUP(D617,Products!A:F,3,0),"")</f>
        <v>Electronics</v>
      </c>
      <c r="M617" t="str">
        <f>IFERROR(VLOOKUP(E617,Sales_Reps!A:E,3,0),"")</f>
        <v>East</v>
      </c>
      <c r="N617" t="str">
        <f>IFERROR(VLOOKUP(C617,Customers!A:F,5,0),"")</f>
        <v>SMB</v>
      </c>
      <c r="O617">
        <f>IFERROR(VLOOKUP(C617,Customers!A:F,3,0),"")</f>
        <v>65</v>
      </c>
      <c r="P617">
        <f>IFERROR(VLOOKUP(D617,Products!A:F,4,0),"")</f>
        <v>1665</v>
      </c>
      <c r="Q617" t="b">
        <f>IFERROR(VLOOKUP(D617,Products!A:F,6,0),"")</f>
        <v>1</v>
      </c>
      <c r="R617">
        <f t="shared" si="27"/>
        <v>0.53361344537815125</v>
      </c>
      <c r="S617">
        <f t="shared" si="28"/>
        <v>1</v>
      </c>
      <c r="T617">
        <f>IF(AND(S617&gt;1,COUNTIF($A$2:A617,A617)=1),1,0)</f>
        <v>0</v>
      </c>
      <c r="U617">
        <f>COUNTIF(Customers!$A$2:$A$301,C617)</f>
        <v>1</v>
      </c>
      <c r="V617">
        <f t="shared" si="29"/>
        <v>0</v>
      </c>
    </row>
    <row r="618" spans="1:22" ht="14.25" customHeight="1" x14ac:dyDescent="0.35">
      <c r="A618" s="10" t="s">
        <v>1039</v>
      </c>
      <c r="B618" s="11">
        <v>45307</v>
      </c>
      <c r="C618" s="10" t="s">
        <v>73</v>
      </c>
      <c r="D618" s="10" t="s">
        <v>259</v>
      </c>
      <c r="E618" s="10" t="s">
        <v>202</v>
      </c>
      <c r="F618" s="12">
        <v>9</v>
      </c>
      <c r="G618" s="12">
        <v>2030</v>
      </c>
      <c r="H618" s="12">
        <v>23.4</v>
      </c>
      <c r="I618" s="12">
        <v>13994.82</v>
      </c>
      <c r="J618" s="10" t="s">
        <v>51</v>
      </c>
      <c r="K618" s="10" t="s">
        <v>76</v>
      </c>
      <c r="L618" t="str">
        <f>IFERROR(VLOOKUP(D618,Products!A:F,3,0),"")</f>
        <v>Home</v>
      </c>
      <c r="M618" t="str">
        <f>IFERROR(VLOOKUP(E618,Sales_Reps!A:E,3,0),"")</f>
        <v>East</v>
      </c>
      <c r="N618" t="str">
        <f>IFERROR(VLOOKUP(C618,Customers!A:F,5,0),"")</f>
        <v>Retail</v>
      </c>
      <c r="O618">
        <f>IFERROR(VLOOKUP(C618,Customers!A:F,3,0),"")</f>
        <v>36</v>
      </c>
      <c r="P618">
        <f>IFERROR(VLOOKUP(D618,Products!A:F,4,0),"")</f>
        <v>1143</v>
      </c>
      <c r="Q618" t="b">
        <f>IFERROR(VLOOKUP(D618,Products!A:F,6,0),"")</f>
        <v>1</v>
      </c>
      <c r="R618">
        <f t="shared" si="27"/>
        <v>0.43694581280788175</v>
      </c>
      <c r="S618">
        <f t="shared" si="28"/>
        <v>1</v>
      </c>
      <c r="T618">
        <f>IF(AND(S618&gt;1,COUNTIF($A$2:A618,A618)=1),1,0)</f>
        <v>0</v>
      </c>
      <c r="U618">
        <f>COUNTIF(Customers!$A$2:$A$301,C618)</f>
        <v>1</v>
      </c>
      <c r="V618">
        <f t="shared" si="29"/>
        <v>0</v>
      </c>
    </row>
    <row r="619" spans="1:22" ht="14.25" customHeight="1" x14ac:dyDescent="0.35">
      <c r="A619" s="10" t="s">
        <v>1040</v>
      </c>
      <c r="B619" s="11">
        <v>45328</v>
      </c>
      <c r="C619" s="10" t="s">
        <v>158</v>
      </c>
      <c r="D619" s="10" t="s">
        <v>137</v>
      </c>
      <c r="E619" s="10" t="s">
        <v>80</v>
      </c>
      <c r="F619" s="12">
        <v>7</v>
      </c>
      <c r="G619" s="12">
        <v>2720</v>
      </c>
      <c r="H619" s="12">
        <v>11.2</v>
      </c>
      <c r="I619" s="12">
        <v>16907.52</v>
      </c>
      <c r="J619" s="10" t="s">
        <v>108</v>
      </c>
      <c r="K619" s="10" t="s">
        <v>52</v>
      </c>
      <c r="L619" t="str">
        <f>IFERROR(VLOOKUP(D619,Products!A:F,3,0),"")</f>
        <v>Apparel</v>
      </c>
      <c r="M619" t="str">
        <f>IFERROR(VLOOKUP(E619,Sales_Reps!A:E,3,0),"")</f>
        <v>West</v>
      </c>
      <c r="N619" t="str">
        <f>IFERROR(VLOOKUP(C619,Customers!A:F,5,0),"")</f>
        <v>SMB</v>
      </c>
      <c r="O619">
        <f>IFERROR(VLOOKUP(C619,Customers!A:F,3,0),"")</f>
        <v>44</v>
      </c>
      <c r="P619">
        <f>IFERROR(VLOOKUP(D619,Products!A:F,4,0),"")</f>
        <v>1962</v>
      </c>
      <c r="Q619" t="b">
        <f>IFERROR(VLOOKUP(D619,Products!A:F,6,0),"")</f>
        <v>1</v>
      </c>
      <c r="R619">
        <f t="shared" si="27"/>
        <v>0.2786764705882353</v>
      </c>
      <c r="S619">
        <f t="shared" si="28"/>
        <v>1</v>
      </c>
      <c r="T619">
        <f>IF(AND(S619&gt;1,COUNTIF($A$2:A619,A619)=1),1,0)</f>
        <v>0</v>
      </c>
      <c r="U619">
        <f>COUNTIF(Customers!$A$2:$A$301,C619)</f>
        <v>1</v>
      </c>
      <c r="V619">
        <f t="shared" si="29"/>
        <v>0</v>
      </c>
    </row>
    <row r="620" spans="1:22" ht="14.25" customHeight="1" x14ac:dyDescent="0.35">
      <c r="A620" s="10" t="s">
        <v>1041</v>
      </c>
      <c r="B620" s="11">
        <v>45627</v>
      </c>
      <c r="C620" s="10" t="s">
        <v>693</v>
      </c>
      <c r="D620" s="10" t="s">
        <v>151</v>
      </c>
      <c r="E620" s="10" t="s">
        <v>71</v>
      </c>
      <c r="F620" s="12">
        <v>2</v>
      </c>
      <c r="G620" s="12">
        <v>3570</v>
      </c>
      <c r="H620" s="12">
        <v>6.1</v>
      </c>
      <c r="I620" s="12">
        <v>6704.46</v>
      </c>
      <c r="J620" s="10" t="s">
        <v>104</v>
      </c>
      <c r="K620" s="10" t="s">
        <v>76</v>
      </c>
      <c r="L620" t="str">
        <f>IFERROR(VLOOKUP(D620,Products!A:F,3,0),"")</f>
        <v>Electronics</v>
      </c>
      <c r="M620" t="str">
        <f>IFERROR(VLOOKUP(E620,Sales_Reps!A:E,3,0),"")</f>
        <v>North</v>
      </c>
      <c r="N620" t="str">
        <f>IFERROR(VLOOKUP(C620,Customers!A:F,5,0),"")</f>
        <v>Retail</v>
      </c>
      <c r="O620">
        <f>IFERROR(VLOOKUP(C620,Customers!A:F,3,0),"")</f>
        <v>56</v>
      </c>
      <c r="P620">
        <f>IFERROR(VLOOKUP(D620,Products!A:F,4,0),"")</f>
        <v>1665</v>
      </c>
      <c r="Q620" t="b">
        <f>IFERROR(VLOOKUP(D620,Products!A:F,6,0),"")</f>
        <v>1</v>
      </c>
      <c r="R620">
        <f t="shared" si="27"/>
        <v>0.53361344537815125</v>
      </c>
      <c r="S620">
        <f t="shared" si="28"/>
        <v>1</v>
      </c>
      <c r="T620">
        <f>IF(AND(S620&gt;1,COUNTIF($A$2:A620,A620)=1),1,0)</f>
        <v>0</v>
      </c>
      <c r="U620">
        <f>COUNTIF(Customers!$A$2:$A$301,C620)</f>
        <v>1</v>
      </c>
      <c r="V620">
        <f t="shared" si="29"/>
        <v>0</v>
      </c>
    </row>
    <row r="621" spans="1:22" ht="14.25" customHeight="1" x14ac:dyDescent="0.35">
      <c r="A621" s="10" t="s">
        <v>1042</v>
      </c>
      <c r="B621" s="11">
        <v>45574</v>
      </c>
      <c r="C621" s="10" t="s">
        <v>780</v>
      </c>
      <c r="D621" s="10" t="s">
        <v>115</v>
      </c>
      <c r="E621" s="10" t="s">
        <v>179</v>
      </c>
      <c r="F621" s="12">
        <v>5</v>
      </c>
      <c r="G621" s="12">
        <v>2400</v>
      </c>
      <c r="H621" s="12">
        <v>16.100000000000001</v>
      </c>
      <c r="I621" s="12">
        <v>10068</v>
      </c>
      <c r="J621" s="10" t="s">
        <v>51</v>
      </c>
      <c r="K621" s="10" t="s">
        <v>52</v>
      </c>
      <c r="L621" t="str">
        <f>IFERROR(VLOOKUP(D621,Products!A:F,3,0),"")</f>
        <v>Sports</v>
      </c>
      <c r="M621" t="str">
        <f>IFERROR(VLOOKUP(E621,Sales_Reps!A:E,3,0),"")</f>
        <v>North</v>
      </c>
      <c r="N621" t="str">
        <f>IFERROR(VLOOKUP(C621,Customers!A:F,5,0),"")</f>
        <v>Retail</v>
      </c>
      <c r="O621">
        <f>IFERROR(VLOOKUP(C621,Customers!A:F,3,0),"")</f>
        <v>36</v>
      </c>
      <c r="P621">
        <f>IFERROR(VLOOKUP(D621,Products!A:F,4,0),"")</f>
        <v>974</v>
      </c>
      <c r="Q621" t="b">
        <f>IFERROR(VLOOKUP(D621,Products!A:F,6,0),"")</f>
        <v>1</v>
      </c>
      <c r="R621">
        <f t="shared" si="27"/>
        <v>0.59416666666666662</v>
      </c>
      <c r="S621">
        <f t="shared" si="28"/>
        <v>1</v>
      </c>
      <c r="T621">
        <f>IF(AND(S621&gt;1,COUNTIF($A$2:A621,A621)=1),1,0)</f>
        <v>0</v>
      </c>
      <c r="U621">
        <f>COUNTIF(Customers!$A$2:$A$301,C621)</f>
        <v>1</v>
      </c>
      <c r="V621">
        <f t="shared" si="29"/>
        <v>0</v>
      </c>
    </row>
    <row r="622" spans="1:22" ht="14.25" customHeight="1" x14ac:dyDescent="0.35">
      <c r="A622" s="10" t="s">
        <v>1043</v>
      </c>
      <c r="B622" s="11">
        <v>45592</v>
      </c>
      <c r="C622" s="10" t="s">
        <v>1036</v>
      </c>
      <c r="D622" s="10" t="s">
        <v>95</v>
      </c>
      <c r="E622" s="10" t="s">
        <v>261</v>
      </c>
      <c r="F622" s="12">
        <v>4</v>
      </c>
      <c r="G622" s="12">
        <v>2270</v>
      </c>
      <c r="H622" s="12">
        <v>27.5</v>
      </c>
      <c r="I622" s="12">
        <v>6583</v>
      </c>
      <c r="J622" s="10" t="s">
        <v>57</v>
      </c>
      <c r="K622" s="10" t="s">
        <v>76</v>
      </c>
      <c r="L622" t="str">
        <f>IFERROR(VLOOKUP(D622,Products!A:F,3,0),"")</f>
        <v>Grocery</v>
      </c>
      <c r="M622" t="str">
        <f>IFERROR(VLOOKUP(E622,Sales_Reps!A:E,3,0),"")</f>
        <v>North</v>
      </c>
      <c r="N622" t="str">
        <f>IFERROR(VLOOKUP(C622,Customers!A:F,5,0),"")</f>
        <v>SMB</v>
      </c>
      <c r="O622">
        <f>IFERROR(VLOOKUP(C622,Customers!A:F,3,0),"")</f>
        <v>53</v>
      </c>
      <c r="P622">
        <f>IFERROR(VLOOKUP(D622,Products!A:F,4,0),"")</f>
        <v>1203</v>
      </c>
      <c r="Q622" t="b">
        <f>IFERROR(VLOOKUP(D622,Products!A:F,6,0),"")</f>
        <v>1</v>
      </c>
      <c r="R622">
        <f t="shared" si="27"/>
        <v>0.47004405286343615</v>
      </c>
      <c r="S622">
        <f t="shared" si="28"/>
        <v>1</v>
      </c>
      <c r="T622">
        <f>IF(AND(S622&gt;1,COUNTIF($A$2:A622,A622)=1),1,0)</f>
        <v>0</v>
      </c>
      <c r="U622">
        <f>COUNTIF(Customers!$A$2:$A$301,C622)</f>
        <v>1</v>
      </c>
      <c r="V622">
        <f t="shared" si="29"/>
        <v>0</v>
      </c>
    </row>
    <row r="623" spans="1:22" ht="14.25" customHeight="1" x14ac:dyDescent="0.35">
      <c r="A623" s="10" t="s">
        <v>1044</v>
      </c>
      <c r="B623" s="11">
        <v>45509</v>
      </c>
      <c r="C623" s="10" t="s">
        <v>65</v>
      </c>
      <c r="D623" s="10" t="s">
        <v>91</v>
      </c>
      <c r="E623" s="10" t="s">
        <v>289</v>
      </c>
      <c r="F623" s="12">
        <v>1</v>
      </c>
      <c r="G623" s="12">
        <v>970</v>
      </c>
      <c r="H623" s="12">
        <v>12.7</v>
      </c>
      <c r="I623" s="12">
        <v>846.81</v>
      </c>
      <c r="J623" s="10" t="s">
        <v>51</v>
      </c>
      <c r="K623" s="10" t="s">
        <v>63</v>
      </c>
      <c r="L623" t="str">
        <f>IFERROR(VLOOKUP(D623,Products!A:F,3,0),"")</f>
        <v>Grocery</v>
      </c>
      <c r="M623" t="str">
        <f>IFERROR(VLOOKUP(E623,Sales_Reps!A:E,3,0),"")</f>
        <v>South</v>
      </c>
      <c r="N623" t="str">
        <f>IFERROR(VLOOKUP(C623,Customers!A:F,5,0),"")</f>
        <v>Corporate</v>
      </c>
      <c r="O623">
        <f>IFERROR(VLOOKUP(C623,Customers!A:F,3,0),"")</f>
        <v>46</v>
      </c>
      <c r="P623">
        <f>IFERROR(VLOOKUP(D623,Products!A:F,4,0),"")</f>
        <v>434</v>
      </c>
      <c r="Q623" t="b">
        <f>IFERROR(VLOOKUP(D623,Products!A:F,6,0),"")</f>
        <v>1</v>
      </c>
      <c r="R623">
        <f t="shared" si="27"/>
        <v>0.5525773195876289</v>
      </c>
      <c r="S623">
        <f t="shared" si="28"/>
        <v>1</v>
      </c>
      <c r="T623">
        <f>IF(AND(S623&gt;1,COUNTIF($A$2:A623,A623)=1),1,0)</f>
        <v>0</v>
      </c>
      <c r="U623">
        <f>COUNTIF(Customers!$A$2:$A$301,C623)</f>
        <v>1</v>
      </c>
      <c r="V623">
        <f t="shared" si="29"/>
        <v>0</v>
      </c>
    </row>
    <row r="624" spans="1:22" ht="14.25" customHeight="1" x14ac:dyDescent="0.35">
      <c r="A624" s="10" t="s">
        <v>1045</v>
      </c>
      <c r="B624" s="11">
        <v>45307</v>
      </c>
      <c r="C624" s="10" t="s">
        <v>433</v>
      </c>
      <c r="D624" s="10" t="s">
        <v>479</v>
      </c>
      <c r="E624" s="10" t="s">
        <v>267</v>
      </c>
      <c r="F624" s="12">
        <v>5</v>
      </c>
      <c r="G624" s="12">
        <v>6940</v>
      </c>
      <c r="H624" s="12">
        <v>16.2</v>
      </c>
      <c r="I624" s="12">
        <v>29078.6</v>
      </c>
      <c r="J624" s="10" t="s">
        <v>51</v>
      </c>
      <c r="K624" s="10" t="s">
        <v>81</v>
      </c>
      <c r="L624" t="str">
        <f>IFERROR(VLOOKUP(D624,Products!A:F,3,0),"")</f>
        <v>Sports</v>
      </c>
      <c r="M624" t="str">
        <f>IFERROR(VLOOKUP(E624,Sales_Reps!A:E,3,0),"")</f>
        <v>East</v>
      </c>
      <c r="N624" t="str">
        <f>IFERROR(VLOOKUP(C624,Customers!A:F,5,0),"")</f>
        <v>SMB</v>
      </c>
      <c r="O624">
        <f>IFERROR(VLOOKUP(C624,Customers!A:F,3,0),"")</f>
        <v>43</v>
      </c>
      <c r="P624">
        <f>IFERROR(VLOOKUP(D624,Products!A:F,4,0),"")</f>
        <v>2827</v>
      </c>
      <c r="Q624" t="b">
        <f>IFERROR(VLOOKUP(D624,Products!A:F,6,0),"")</f>
        <v>1</v>
      </c>
      <c r="R624">
        <f t="shared" si="27"/>
        <v>0.5926512968299712</v>
      </c>
      <c r="S624">
        <f t="shared" si="28"/>
        <v>1</v>
      </c>
      <c r="T624">
        <f>IF(AND(S624&gt;1,COUNTIF($A$2:A624,A624)=1),1,0)</f>
        <v>0</v>
      </c>
      <c r="U624">
        <f>COUNTIF(Customers!$A$2:$A$301,C624)</f>
        <v>1</v>
      </c>
      <c r="V624">
        <f t="shared" si="29"/>
        <v>0</v>
      </c>
    </row>
    <row r="625" spans="1:22" ht="14.25" customHeight="1" x14ac:dyDescent="0.35">
      <c r="A625" s="10" t="s">
        <v>1046</v>
      </c>
      <c r="B625" s="11">
        <v>45586</v>
      </c>
      <c r="C625" s="10" t="s">
        <v>163</v>
      </c>
      <c r="D625" s="10" t="s">
        <v>479</v>
      </c>
      <c r="E625" s="10" t="s">
        <v>168</v>
      </c>
      <c r="F625" s="12">
        <v>4</v>
      </c>
      <c r="G625" s="12">
        <v>6940</v>
      </c>
      <c r="H625" s="12">
        <v>15.1</v>
      </c>
      <c r="I625" s="12">
        <v>23568.240000000002</v>
      </c>
      <c r="J625" s="10" t="s">
        <v>51</v>
      </c>
      <c r="K625" s="10" t="s">
        <v>97</v>
      </c>
      <c r="L625" t="str">
        <f>IFERROR(VLOOKUP(D625,Products!A:F,3,0),"")</f>
        <v>Sports</v>
      </c>
      <c r="M625" t="str">
        <f>IFERROR(VLOOKUP(E625,Sales_Reps!A:E,3,0),"")</f>
        <v>South</v>
      </c>
      <c r="N625" t="str">
        <f>IFERROR(VLOOKUP(C625,Customers!A:F,5,0),"")</f>
        <v>Retail</v>
      </c>
      <c r="O625">
        <f>IFERROR(VLOOKUP(C625,Customers!A:F,3,0),"")</f>
        <v>53</v>
      </c>
      <c r="P625">
        <f>IFERROR(VLOOKUP(D625,Products!A:F,4,0),"")</f>
        <v>2827</v>
      </c>
      <c r="Q625" t="b">
        <f>IFERROR(VLOOKUP(D625,Products!A:F,6,0),"")</f>
        <v>1</v>
      </c>
      <c r="R625">
        <f t="shared" si="27"/>
        <v>0.5926512968299712</v>
      </c>
      <c r="S625">
        <f t="shared" si="28"/>
        <v>1</v>
      </c>
      <c r="T625">
        <f>IF(AND(S625&gt;1,COUNTIF($A$2:A625,A625)=1),1,0)</f>
        <v>0</v>
      </c>
      <c r="U625">
        <f>COUNTIF(Customers!$A$2:$A$301,C625)</f>
        <v>1</v>
      </c>
      <c r="V625">
        <f t="shared" si="29"/>
        <v>0</v>
      </c>
    </row>
    <row r="626" spans="1:22" ht="14.25" customHeight="1" x14ac:dyDescent="0.35">
      <c r="A626" s="10" t="s">
        <v>1047</v>
      </c>
      <c r="B626" s="11">
        <v>45587</v>
      </c>
      <c r="C626" s="10" t="s">
        <v>304</v>
      </c>
      <c r="D626" s="10" t="s">
        <v>146</v>
      </c>
      <c r="E626" s="10" t="s">
        <v>67</v>
      </c>
      <c r="F626" s="12">
        <v>1</v>
      </c>
      <c r="G626" s="12">
        <v>1010</v>
      </c>
      <c r="H626" s="12">
        <v>1.7</v>
      </c>
      <c r="I626" s="12">
        <v>992.83</v>
      </c>
      <c r="J626" s="10" t="s">
        <v>51</v>
      </c>
      <c r="K626" s="10" t="s">
        <v>52</v>
      </c>
      <c r="L626" t="str">
        <f>IFERROR(VLOOKUP(D626,Products!A:F,3,0),"")</f>
        <v>Sports</v>
      </c>
      <c r="M626" t="str">
        <f>IFERROR(VLOOKUP(E626,Sales_Reps!A:E,3,0),"")</f>
        <v>North</v>
      </c>
      <c r="N626" t="str">
        <f>IFERROR(VLOOKUP(C626,Customers!A:F,5,0),"")</f>
        <v>Retail</v>
      </c>
      <c r="O626">
        <f>IFERROR(VLOOKUP(C626,Customers!A:F,3,0),"")</f>
        <v>25</v>
      </c>
      <c r="P626">
        <f>IFERROR(VLOOKUP(D626,Products!A:F,4,0),"")</f>
        <v>516</v>
      </c>
      <c r="Q626" t="b">
        <f>IFERROR(VLOOKUP(D626,Products!A:F,6,0),"")</f>
        <v>1</v>
      </c>
      <c r="R626">
        <f t="shared" si="27"/>
        <v>0.4891089108910891</v>
      </c>
      <c r="S626">
        <f t="shared" si="28"/>
        <v>1</v>
      </c>
      <c r="T626">
        <f>IF(AND(S626&gt;1,COUNTIF($A$2:A626,A626)=1),1,0)</f>
        <v>0</v>
      </c>
      <c r="U626">
        <f>COUNTIF(Customers!$A$2:$A$301,C626)</f>
        <v>1</v>
      </c>
      <c r="V626">
        <f t="shared" si="29"/>
        <v>0</v>
      </c>
    </row>
    <row r="627" spans="1:22" ht="14.25" customHeight="1" x14ac:dyDescent="0.35">
      <c r="A627" s="10" t="s">
        <v>1048</v>
      </c>
      <c r="B627" s="11">
        <v>45609</v>
      </c>
      <c r="C627" s="10" t="s">
        <v>255</v>
      </c>
      <c r="D627" s="10" t="s">
        <v>212</v>
      </c>
      <c r="E627" s="10" t="s">
        <v>50</v>
      </c>
      <c r="F627" s="12">
        <v>6</v>
      </c>
      <c r="G627" s="12">
        <v>3870</v>
      </c>
      <c r="H627" s="12">
        <v>12.2</v>
      </c>
      <c r="I627" s="12">
        <v>20387.16</v>
      </c>
      <c r="J627" s="10" t="s">
        <v>51</v>
      </c>
      <c r="K627" s="10" t="s">
        <v>63</v>
      </c>
      <c r="L627" t="str">
        <f>IFERROR(VLOOKUP(D627,Products!A:F,3,0),"")</f>
        <v>Electronics</v>
      </c>
      <c r="M627" t="str">
        <f>IFERROR(VLOOKUP(E627,Sales_Reps!A:E,3,0),"")</f>
        <v>North</v>
      </c>
      <c r="N627" t="str">
        <f>IFERROR(VLOOKUP(C627,Customers!A:F,5,0),"")</f>
        <v>Retail</v>
      </c>
      <c r="O627">
        <f>IFERROR(VLOOKUP(C627,Customers!A:F,3,0),"")</f>
        <v>35</v>
      </c>
      <c r="P627">
        <f>IFERROR(VLOOKUP(D627,Products!A:F,4,0),"")</f>
        <v>1559</v>
      </c>
      <c r="Q627" t="b">
        <f>IFERROR(VLOOKUP(D627,Products!A:F,6,0),"")</f>
        <v>1</v>
      </c>
      <c r="R627">
        <f t="shared" si="27"/>
        <v>0.59715762273901807</v>
      </c>
      <c r="S627">
        <f t="shared" si="28"/>
        <v>1</v>
      </c>
      <c r="T627">
        <f>IF(AND(S627&gt;1,COUNTIF($A$2:A627,A627)=1),1,0)</f>
        <v>0</v>
      </c>
      <c r="U627">
        <f>COUNTIF(Customers!$A$2:$A$301,C627)</f>
        <v>1</v>
      </c>
      <c r="V627">
        <f t="shared" si="29"/>
        <v>0</v>
      </c>
    </row>
    <row r="628" spans="1:22" ht="14.25" customHeight="1" x14ac:dyDescent="0.35">
      <c r="A628" s="10" t="s">
        <v>1049</v>
      </c>
      <c r="B628" s="11">
        <v>45316</v>
      </c>
      <c r="C628" s="10" t="s">
        <v>501</v>
      </c>
      <c r="D628" s="10" t="s">
        <v>155</v>
      </c>
      <c r="E628" s="10" t="s">
        <v>237</v>
      </c>
      <c r="F628" s="12">
        <v>9</v>
      </c>
      <c r="G628" s="12">
        <v>5100</v>
      </c>
      <c r="H628" s="12">
        <v>26.4</v>
      </c>
      <c r="I628" s="12">
        <v>33782.400000000001</v>
      </c>
      <c r="J628" s="10" t="s">
        <v>51</v>
      </c>
      <c r="K628" s="10" t="s">
        <v>97</v>
      </c>
      <c r="L628" t="str">
        <f>IFERROR(VLOOKUP(D628,Products!A:F,3,0),"")</f>
        <v>Beauty</v>
      </c>
      <c r="M628" t="str">
        <f>IFERROR(VLOOKUP(E628,Sales_Reps!A:E,3,0),"")</f>
        <v>South</v>
      </c>
      <c r="N628" t="str">
        <f>IFERROR(VLOOKUP(C628,Customers!A:F,5,0),"")</f>
        <v>SMB</v>
      </c>
      <c r="O628">
        <f>IFERROR(VLOOKUP(C628,Customers!A:F,3,0),"")</f>
        <v>48</v>
      </c>
      <c r="P628">
        <f>IFERROR(VLOOKUP(D628,Products!A:F,4,0),"")</f>
        <v>2237</v>
      </c>
      <c r="Q628" t="b">
        <f>IFERROR(VLOOKUP(D628,Products!A:F,6,0),"")</f>
        <v>1</v>
      </c>
      <c r="R628">
        <f t="shared" si="27"/>
        <v>0.56137254901960787</v>
      </c>
      <c r="S628">
        <f t="shared" si="28"/>
        <v>1</v>
      </c>
      <c r="T628">
        <f>IF(AND(S628&gt;1,COUNTIF($A$2:A628,A628)=1),1,0)</f>
        <v>0</v>
      </c>
      <c r="U628">
        <f>COUNTIF(Customers!$A$2:$A$301,C628)</f>
        <v>1</v>
      </c>
      <c r="V628">
        <f t="shared" si="29"/>
        <v>0</v>
      </c>
    </row>
    <row r="629" spans="1:22" ht="14.25" customHeight="1" x14ac:dyDescent="0.35">
      <c r="A629" s="10" t="s">
        <v>1050</v>
      </c>
      <c r="B629" s="11">
        <v>45451</v>
      </c>
      <c r="C629" s="10" t="s">
        <v>912</v>
      </c>
      <c r="D629" s="10" t="s">
        <v>70</v>
      </c>
      <c r="E629" s="10" t="s">
        <v>71</v>
      </c>
      <c r="F629" s="12">
        <v>2</v>
      </c>
      <c r="G629" s="12">
        <v>3160</v>
      </c>
      <c r="H629" s="12">
        <v>13.4</v>
      </c>
      <c r="I629" s="12">
        <v>5473.12</v>
      </c>
      <c r="J629" s="10" t="s">
        <v>108</v>
      </c>
      <c r="K629" s="10" t="s">
        <v>52</v>
      </c>
      <c r="L629" t="str">
        <f>IFERROR(VLOOKUP(D629,Products!A:F,3,0),"")</f>
        <v>Apparel</v>
      </c>
      <c r="M629" t="str">
        <f>IFERROR(VLOOKUP(E629,Sales_Reps!A:E,3,0),"")</f>
        <v>North</v>
      </c>
      <c r="N629" t="str">
        <f>IFERROR(VLOOKUP(C629,Customers!A:F,5,0),"")</f>
        <v>Retail</v>
      </c>
      <c r="O629">
        <f>IFERROR(VLOOKUP(C629,Customers!A:F,3,0),"")</f>
        <v>65</v>
      </c>
      <c r="P629">
        <f>IFERROR(VLOOKUP(D629,Products!A:F,4,0),"")</f>
        <v>1886</v>
      </c>
      <c r="Q629" t="b">
        <f>IFERROR(VLOOKUP(D629,Products!A:F,6,0),"")</f>
        <v>1</v>
      </c>
      <c r="R629">
        <f t="shared" si="27"/>
        <v>0.4031645569620253</v>
      </c>
      <c r="S629">
        <f t="shared" si="28"/>
        <v>1</v>
      </c>
      <c r="T629">
        <f>IF(AND(S629&gt;1,COUNTIF($A$2:A629,A629)=1),1,0)</f>
        <v>0</v>
      </c>
      <c r="U629">
        <f>COUNTIF(Customers!$A$2:$A$301,C629)</f>
        <v>1</v>
      </c>
      <c r="V629">
        <f t="shared" si="29"/>
        <v>0</v>
      </c>
    </row>
    <row r="630" spans="1:22" ht="14.25" customHeight="1" x14ac:dyDescent="0.35">
      <c r="A630" s="10" t="s">
        <v>1051</v>
      </c>
      <c r="B630" s="11">
        <v>45554</v>
      </c>
      <c r="C630" s="10" t="s">
        <v>991</v>
      </c>
      <c r="D630" s="10" t="s">
        <v>302</v>
      </c>
      <c r="E630" s="10" t="s">
        <v>237</v>
      </c>
      <c r="F630" s="12">
        <v>8</v>
      </c>
      <c r="G630" s="12">
        <v>2210</v>
      </c>
      <c r="H630" s="12">
        <v>26</v>
      </c>
      <c r="I630" s="12">
        <v>13083.2</v>
      </c>
      <c r="J630" s="10" t="s">
        <v>51</v>
      </c>
      <c r="K630" s="10" t="s">
        <v>76</v>
      </c>
      <c r="L630" t="str">
        <f>IFERROR(VLOOKUP(D630,Products!A:F,3,0),"")</f>
        <v>Grocery</v>
      </c>
      <c r="M630" t="str">
        <f>IFERROR(VLOOKUP(E630,Sales_Reps!A:E,3,0),"")</f>
        <v>South</v>
      </c>
      <c r="N630" t="str">
        <f>IFERROR(VLOOKUP(C630,Customers!A:F,5,0),"")</f>
        <v>SMB</v>
      </c>
      <c r="O630">
        <f>IFERROR(VLOOKUP(C630,Customers!A:F,3,0),"")</f>
        <v>47</v>
      </c>
      <c r="P630">
        <f>IFERROR(VLOOKUP(D630,Products!A:F,4,0),"")</f>
        <v>1010</v>
      </c>
      <c r="Q630" t="b">
        <f>IFERROR(VLOOKUP(D630,Products!A:F,6,0),"")</f>
        <v>1</v>
      </c>
      <c r="R630">
        <f t="shared" si="27"/>
        <v>0.54298642533936647</v>
      </c>
      <c r="S630">
        <f t="shared" si="28"/>
        <v>1</v>
      </c>
      <c r="T630">
        <f>IF(AND(S630&gt;1,COUNTIF($A$2:A630,A630)=1),1,0)</f>
        <v>0</v>
      </c>
      <c r="U630">
        <f>COUNTIF(Customers!$A$2:$A$301,C630)</f>
        <v>1</v>
      </c>
      <c r="V630">
        <f t="shared" si="29"/>
        <v>0</v>
      </c>
    </row>
    <row r="631" spans="1:22" ht="14.25" customHeight="1" x14ac:dyDescent="0.35">
      <c r="A631" s="10" t="s">
        <v>1052</v>
      </c>
      <c r="B631" s="11">
        <v>45567</v>
      </c>
      <c r="C631" s="10" t="s">
        <v>363</v>
      </c>
      <c r="D631" s="10" t="s">
        <v>623</v>
      </c>
      <c r="E631" s="10" t="s">
        <v>165</v>
      </c>
      <c r="F631" s="12">
        <v>5</v>
      </c>
      <c r="G631" s="12">
        <v>3560</v>
      </c>
      <c r="H631" s="12">
        <v>15</v>
      </c>
      <c r="I631" s="12">
        <v>15130</v>
      </c>
      <c r="J631" s="10" t="s">
        <v>51</v>
      </c>
      <c r="K631" s="10" t="s">
        <v>63</v>
      </c>
      <c r="L631" t="str">
        <f>IFERROR(VLOOKUP(D631,Products!A:F,3,0),"")</f>
        <v>Apparel</v>
      </c>
      <c r="M631" t="str">
        <f>IFERROR(VLOOKUP(E631,Sales_Reps!A:E,3,0),"")</f>
        <v>West</v>
      </c>
      <c r="N631" t="str">
        <f>IFERROR(VLOOKUP(C631,Customers!A:F,5,0),"")</f>
        <v>SMB</v>
      </c>
      <c r="O631">
        <f>IFERROR(VLOOKUP(C631,Customers!A:F,3,0),"")</f>
        <v>53</v>
      </c>
      <c r="P631">
        <f>IFERROR(VLOOKUP(D631,Products!A:F,4,0),"")</f>
        <v>2629</v>
      </c>
      <c r="Q631" t="b">
        <f>IFERROR(VLOOKUP(D631,Products!A:F,6,0),"")</f>
        <v>1</v>
      </c>
      <c r="R631">
        <f t="shared" si="27"/>
        <v>0.26151685393258428</v>
      </c>
      <c r="S631">
        <f t="shared" si="28"/>
        <v>1</v>
      </c>
      <c r="T631">
        <f>IF(AND(S631&gt;1,COUNTIF($A$2:A631,A631)=1),1,0)</f>
        <v>0</v>
      </c>
      <c r="U631">
        <f>COUNTIF(Customers!$A$2:$A$301,C631)</f>
        <v>1</v>
      </c>
      <c r="V631">
        <f t="shared" si="29"/>
        <v>0</v>
      </c>
    </row>
    <row r="632" spans="1:22" ht="14.25" customHeight="1" x14ac:dyDescent="0.35">
      <c r="A632" s="10" t="s">
        <v>1053</v>
      </c>
      <c r="B632" s="11">
        <v>45633</v>
      </c>
      <c r="C632" s="10" t="s">
        <v>964</v>
      </c>
      <c r="D632" s="10" t="s">
        <v>256</v>
      </c>
      <c r="E632" s="10" t="s">
        <v>96</v>
      </c>
      <c r="F632" s="12">
        <v>10</v>
      </c>
      <c r="G632" s="12">
        <v>620</v>
      </c>
      <c r="H632" s="12">
        <v>15.8</v>
      </c>
      <c r="I632" s="12">
        <v>5220.3999999999996</v>
      </c>
      <c r="J632" s="10" t="s">
        <v>108</v>
      </c>
      <c r="K632" s="10" t="s">
        <v>81</v>
      </c>
      <c r="L632" t="str">
        <f>IFERROR(VLOOKUP(D632,Products!A:F,3,0),"")</f>
        <v>Apparel</v>
      </c>
      <c r="M632" t="str">
        <f>IFERROR(VLOOKUP(E632,Sales_Reps!A:E,3,0),"")</f>
        <v>South</v>
      </c>
      <c r="N632" t="str">
        <f>IFERROR(VLOOKUP(C632,Customers!A:F,5,0),"")</f>
        <v>Retail</v>
      </c>
      <c r="O632">
        <f>IFERROR(VLOOKUP(C632,Customers!A:F,3,0),"")</f>
        <v>27</v>
      </c>
      <c r="P632">
        <f>IFERROR(VLOOKUP(D632,Products!A:F,4,0),"")</f>
        <v>396</v>
      </c>
      <c r="Q632" t="b">
        <f>IFERROR(VLOOKUP(D632,Products!A:F,6,0),"")</f>
        <v>1</v>
      </c>
      <c r="R632">
        <f t="shared" si="27"/>
        <v>0.36129032258064514</v>
      </c>
      <c r="S632">
        <f t="shared" si="28"/>
        <v>1</v>
      </c>
      <c r="T632">
        <f>IF(AND(S632&gt;1,COUNTIF($A$2:A632,A632)=1),1,0)</f>
        <v>0</v>
      </c>
      <c r="U632">
        <f>COUNTIF(Customers!$A$2:$A$301,C632)</f>
        <v>1</v>
      </c>
      <c r="V632">
        <f t="shared" si="29"/>
        <v>0</v>
      </c>
    </row>
    <row r="633" spans="1:22" ht="14.25" customHeight="1" x14ac:dyDescent="0.35">
      <c r="A633" s="10" t="s">
        <v>1054</v>
      </c>
      <c r="B633" s="11">
        <v>45588</v>
      </c>
      <c r="C633" s="10" t="s">
        <v>521</v>
      </c>
      <c r="D633" s="10" t="s">
        <v>164</v>
      </c>
      <c r="E633" s="10" t="s">
        <v>261</v>
      </c>
      <c r="F633" s="12">
        <v>3</v>
      </c>
      <c r="G633" s="12">
        <v>2760</v>
      </c>
      <c r="H633" s="12">
        <v>1.9</v>
      </c>
      <c r="I633" s="12">
        <v>8122.68</v>
      </c>
      <c r="J633" s="10" t="s">
        <v>104</v>
      </c>
      <c r="K633" s="10" t="s">
        <v>76</v>
      </c>
      <c r="L633" t="str">
        <f>IFERROR(VLOOKUP(D633,Products!A:F,3,0),"")</f>
        <v>Grocery</v>
      </c>
      <c r="M633" t="str">
        <f>IFERROR(VLOOKUP(E633,Sales_Reps!A:E,3,0),"")</f>
        <v>North</v>
      </c>
      <c r="N633" t="str">
        <f>IFERROR(VLOOKUP(C633,Customers!A:F,5,0),"")</f>
        <v>Retail</v>
      </c>
      <c r="O633">
        <f>IFERROR(VLOOKUP(C633,Customers!A:F,3,0),"")</f>
        <v>65</v>
      </c>
      <c r="P633">
        <f>IFERROR(VLOOKUP(D633,Products!A:F,4,0),"")</f>
        <v>1435</v>
      </c>
      <c r="Q633" t="b">
        <f>IFERROR(VLOOKUP(D633,Products!A:F,6,0),"")</f>
        <v>1</v>
      </c>
      <c r="R633">
        <f t="shared" si="27"/>
        <v>0.48007246376811596</v>
      </c>
      <c r="S633">
        <f t="shared" si="28"/>
        <v>1</v>
      </c>
      <c r="T633">
        <f>IF(AND(S633&gt;1,COUNTIF($A$2:A633,A633)=1),1,0)</f>
        <v>0</v>
      </c>
      <c r="U633">
        <f>COUNTIF(Customers!$A$2:$A$301,C633)</f>
        <v>1</v>
      </c>
      <c r="V633">
        <f t="shared" si="29"/>
        <v>0</v>
      </c>
    </row>
    <row r="634" spans="1:22" ht="14.25" customHeight="1" x14ac:dyDescent="0.35">
      <c r="A634" s="10" t="s">
        <v>1055</v>
      </c>
      <c r="B634" s="11">
        <v>45634</v>
      </c>
      <c r="C634" s="10" t="s">
        <v>183</v>
      </c>
      <c r="D634" s="10" t="s">
        <v>146</v>
      </c>
      <c r="E634" s="10" t="s">
        <v>56</v>
      </c>
      <c r="F634" s="12">
        <v>10</v>
      </c>
      <c r="G634" s="12">
        <v>1010</v>
      </c>
      <c r="H634" s="12">
        <v>28.9</v>
      </c>
      <c r="I634" s="12">
        <v>7181.1</v>
      </c>
      <c r="J634" s="10" t="s">
        <v>51</v>
      </c>
      <c r="K634" s="10" t="s">
        <v>63</v>
      </c>
      <c r="L634" t="str">
        <f>IFERROR(VLOOKUP(D634,Products!A:F,3,0),"")</f>
        <v>Sports</v>
      </c>
      <c r="M634" t="str">
        <f>IFERROR(VLOOKUP(E634,Sales_Reps!A:E,3,0),"")</f>
        <v>North</v>
      </c>
      <c r="N634" t="str">
        <f>IFERROR(VLOOKUP(C634,Customers!A:F,5,0),"")</f>
        <v>SMB</v>
      </c>
      <c r="O634">
        <f>IFERROR(VLOOKUP(C634,Customers!A:F,3,0),"")</f>
        <v>50</v>
      </c>
      <c r="P634">
        <f>IFERROR(VLOOKUP(D634,Products!A:F,4,0),"")</f>
        <v>516</v>
      </c>
      <c r="Q634" t="b">
        <f>IFERROR(VLOOKUP(D634,Products!A:F,6,0),"")</f>
        <v>1</v>
      </c>
      <c r="R634">
        <f t="shared" si="27"/>
        <v>0.4891089108910891</v>
      </c>
      <c r="S634">
        <f t="shared" si="28"/>
        <v>1</v>
      </c>
      <c r="T634">
        <f>IF(AND(S634&gt;1,COUNTIF($A$2:A634,A634)=1),1,0)</f>
        <v>0</v>
      </c>
      <c r="U634">
        <f>COUNTIF(Customers!$A$2:$A$301,C634)</f>
        <v>1</v>
      </c>
      <c r="V634">
        <f t="shared" si="29"/>
        <v>0</v>
      </c>
    </row>
    <row r="635" spans="1:22" ht="14.25" customHeight="1" x14ac:dyDescent="0.35">
      <c r="A635" s="10" t="s">
        <v>1056</v>
      </c>
      <c r="B635" s="11">
        <v>45352</v>
      </c>
      <c r="C635" s="10" t="s">
        <v>170</v>
      </c>
      <c r="D635" s="10" t="s">
        <v>201</v>
      </c>
      <c r="E635" s="10" t="s">
        <v>261</v>
      </c>
      <c r="F635" s="12">
        <v>1</v>
      </c>
      <c r="G635" s="12">
        <v>3640</v>
      </c>
      <c r="H635" s="12">
        <v>9.6999999999999993</v>
      </c>
      <c r="I635" s="12">
        <v>3286.92</v>
      </c>
      <c r="J635" s="10" t="s">
        <v>51</v>
      </c>
      <c r="K635" s="10" t="s">
        <v>97</v>
      </c>
      <c r="L635" t="str">
        <f>IFERROR(VLOOKUP(D635,Products!A:F,3,0),"")</f>
        <v>Apparel</v>
      </c>
      <c r="M635" t="str">
        <f>IFERROR(VLOOKUP(E635,Sales_Reps!A:E,3,0),"")</f>
        <v>North</v>
      </c>
      <c r="N635" t="str">
        <f>IFERROR(VLOOKUP(C635,Customers!A:F,5,0),"")</f>
        <v>SMB</v>
      </c>
      <c r="O635">
        <f>IFERROR(VLOOKUP(C635,Customers!A:F,3,0),"")</f>
        <v>40</v>
      </c>
      <c r="P635">
        <f>IFERROR(VLOOKUP(D635,Products!A:F,4,0),"")</f>
        <v>2611</v>
      </c>
      <c r="Q635" t="b">
        <f>IFERROR(VLOOKUP(D635,Products!A:F,6,0),"")</f>
        <v>1</v>
      </c>
      <c r="R635">
        <f t="shared" si="27"/>
        <v>0.28269230769230769</v>
      </c>
      <c r="S635">
        <f t="shared" si="28"/>
        <v>1</v>
      </c>
      <c r="T635">
        <f>IF(AND(S635&gt;1,COUNTIF($A$2:A635,A635)=1),1,0)</f>
        <v>0</v>
      </c>
      <c r="U635">
        <f>COUNTIF(Customers!$A$2:$A$301,C635)</f>
        <v>1</v>
      </c>
      <c r="V635">
        <f t="shared" si="29"/>
        <v>0</v>
      </c>
    </row>
    <row r="636" spans="1:22" ht="14.25" customHeight="1" x14ac:dyDescent="0.35">
      <c r="A636" s="10" t="s">
        <v>1057</v>
      </c>
      <c r="B636" s="11">
        <v>45489</v>
      </c>
      <c r="C636" s="10" t="s">
        <v>150</v>
      </c>
      <c r="D636" s="10" t="s">
        <v>55</v>
      </c>
      <c r="E636" s="10" t="s">
        <v>96</v>
      </c>
      <c r="F636" s="12">
        <v>1</v>
      </c>
      <c r="G636" s="12">
        <v>820</v>
      </c>
      <c r="H636" s="12">
        <v>15</v>
      </c>
      <c r="I636" s="12">
        <v>697</v>
      </c>
      <c r="J636" s="10" t="s">
        <v>51</v>
      </c>
      <c r="K636" s="10" t="s">
        <v>58</v>
      </c>
      <c r="L636" t="str">
        <f>IFERROR(VLOOKUP(D636,Products!A:F,3,0),"")</f>
        <v>Apparel</v>
      </c>
      <c r="M636" t="str">
        <f>IFERROR(VLOOKUP(E636,Sales_Reps!A:E,3,0),"")</f>
        <v>South</v>
      </c>
      <c r="N636" t="str">
        <f>IFERROR(VLOOKUP(C636,Customers!A:F,5,0),"")</f>
        <v>SMB</v>
      </c>
      <c r="O636">
        <f>IFERROR(VLOOKUP(C636,Customers!A:F,3,0),"")</f>
        <v>52</v>
      </c>
      <c r="P636">
        <f>IFERROR(VLOOKUP(D636,Products!A:F,4,0),"")</f>
        <v>391</v>
      </c>
      <c r="Q636" t="b">
        <f>IFERROR(VLOOKUP(D636,Products!A:F,6,0),"")</f>
        <v>1</v>
      </c>
      <c r="R636">
        <f t="shared" si="27"/>
        <v>0.52317073170731709</v>
      </c>
      <c r="S636">
        <f t="shared" si="28"/>
        <v>1</v>
      </c>
      <c r="T636">
        <f>IF(AND(S636&gt;1,COUNTIF($A$2:A636,A636)=1),1,0)</f>
        <v>0</v>
      </c>
      <c r="U636">
        <f>COUNTIF(Customers!$A$2:$A$301,C636)</f>
        <v>1</v>
      </c>
      <c r="V636">
        <f t="shared" si="29"/>
        <v>0</v>
      </c>
    </row>
    <row r="637" spans="1:22" ht="14.25" customHeight="1" x14ac:dyDescent="0.35">
      <c r="A637" s="10" t="s">
        <v>1058</v>
      </c>
      <c r="B637" s="11">
        <v>45342</v>
      </c>
      <c r="C637" s="10" t="s">
        <v>127</v>
      </c>
      <c r="D637" s="10" t="s">
        <v>201</v>
      </c>
      <c r="E637" s="10" t="s">
        <v>237</v>
      </c>
      <c r="F637" s="12">
        <v>4</v>
      </c>
      <c r="G637" s="12">
        <v>3640</v>
      </c>
      <c r="H637" s="12">
        <v>17</v>
      </c>
      <c r="I637" s="12">
        <v>12084.8</v>
      </c>
      <c r="J637" s="10" t="s">
        <v>51</v>
      </c>
      <c r="K637" s="10" t="s">
        <v>58</v>
      </c>
      <c r="L637" t="str">
        <f>IFERROR(VLOOKUP(D637,Products!A:F,3,0),"")</f>
        <v>Apparel</v>
      </c>
      <c r="M637" t="str">
        <f>IFERROR(VLOOKUP(E637,Sales_Reps!A:E,3,0),"")</f>
        <v>South</v>
      </c>
      <c r="N637" t="str">
        <f>IFERROR(VLOOKUP(C637,Customers!A:F,5,0),"")</f>
        <v>Retail</v>
      </c>
      <c r="O637">
        <f>IFERROR(VLOOKUP(C637,Customers!A:F,3,0),"")</f>
        <v>49</v>
      </c>
      <c r="P637">
        <f>IFERROR(VLOOKUP(D637,Products!A:F,4,0),"")</f>
        <v>2611</v>
      </c>
      <c r="Q637" t="b">
        <f>IFERROR(VLOOKUP(D637,Products!A:F,6,0),"")</f>
        <v>1</v>
      </c>
      <c r="R637">
        <f t="shared" si="27"/>
        <v>0.28269230769230769</v>
      </c>
      <c r="S637">
        <f t="shared" si="28"/>
        <v>1</v>
      </c>
      <c r="T637">
        <f>IF(AND(S637&gt;1,COUNTIF($A$2:A637,A637)=1),1,0)</f>
        <v>0</v>
      </c>
      <c r="U637">
        <f>COUNTIF(Customers!$A$2:$A$301,C637)</f>
        <v>1</v>
      </c>
      <c r="V637">
        <f t="shared" si="29"/>
        <v>0</v>
      </c>
    </row>
    <row r="638" spans="1:22" ht="14.25" customHeight="1" x14ac:dyDescent="0.35">
      <c r="A638" s="10" t="s">
        <v>1059</v>
      </c>
      <c r="B638" s="11">
        <v>45425</v>
      </c>
      <c r="C638" s="10" t="s">
        <v>1060</v>
      </c>
      <c r="D638" s="10" t="s">
        <v>331</v>
      </c>
      <c r="E638" s="10" t="s">
        <v>261</v>
      </c>
      <c r="F638" s="12">
        <v>7</v>
      </c>
      <c r="G638" s="12">
        <v>2380</v>
      </c>
      <c r="H638" s="12">
        <v>25.5</v>
      </c>
      <c r="I638" s="12">
        <v>12411.7</v>
      </c>
      <c r="J638" s="10" t="s">
        <v>51</v>
      </c>
      <c r="K638" s="10" t="s">
        <v>52</v>
      </c>
      <c r="L638" t="str">
        <f>IFERROR(VLOOKUP(D638,Products!A:F,3,0),"")</f>
        <v>Grocery</v>
      </c>
      <c r="M638" t="str">
        <f>IFERROR(VLOOKUP(E638,Sales_Reps!A:E,3,0),"")</f>
        <v>North</v>
      </c>
      <c r="N638" t="str">
        <f>IFERROR(VLOOKUP(C638,Customers!A:F,5,0),"")</f>
        <v>Corporate</v>
      </c>
      <c r="O638">
        <f>IFERROR(VLOOKUP(C638,Customers!A:F,3,0),"")</f>
        <v>42</v>
      </c>
      <c r="P638">
        <f>IFERROR(VLOOKUP(D638,Products!A:F,4,0),"")</f>
        <v>1182</v>
      </c>
      <c r="Q638" t="b">
        <f>IFERROR(VLOOKUP(D638,Products!A:F,6,0),"")</f>
        <v>1</v>
      </c>
      <c r="R638">
        <f t="shared" si="27"/>
        <v>0.50336134453781511</v>
      </c>
      <c r="S638">
        <f t="shared" si="28"/>
        <v>1</v>
      </c>
      <c r="T638">
        <f>IF(AND(S638&gt;1,COUNTIF($A$2:A638,A638)=1),1,0)</f>
        <v>0</v>
      </c>
      <c r="U638">
        <f>COUNTIF(Customers!$A$2:$A$301,C638)</f>
        <v>1</v>
      </c>
      <c r="V638">
        <f t="shared" si="29"/>
        <v>0</v>
      </c>
    </row>
    <row r="639" spans="1:22" ht="14.25" customHeight="1" x14ac:dyDescent="0.35">
      <c r="A639" s="10" t="s">
        <v>1061</v>
      </c>
      <c r="B639" s="11">
        <v>45598</v>
      </c>
      <c r="C639" s="10" t="s">
        <v>771</v>
      </c>
      <c r="D639" s="10" t="s">
        <v>167</v>
      </c>
      <c r="E639" s="10" t="s">
        <v>71</v>
      </c>
      <c r="F639" s="12">
        <v>1</v>
      </c>
      <c r="G639" s="12">
        <v>660</v>
      </c>
      <c r="H639" s="12">
        <v>2.5</v>
      </c>
      <c r="I639" s="12">
        <v>643.5</v>
      </c>
      <c r="J639" s="10" t="s">
        <v>51</v>
      </c>
      <c r="K639" s="10" t="s">
        <v>52</v>
      </c>
      <c r="L639" t="str">
        <f>IFERROR(VLOOKUP(D639,Products!A:F,3,0),"")</f>
        <v>Home</v>
      </c>
      <c r="M639" t="str">
        <f>IFERROR(VLOOKUP(E639,Sales_Reps!A:E,3,0),"")</f>
        <v>North</v>
      </c>
      <c r="N639" t="str">
        <f>IFERROR(VLOOKUP(C639,Customers!A:F,5,0),"")</f>
        <v>Retail</v>
      </c>
      <c r="O639">
        <f>IFERROR(VLOOKUP(C639,Customers!A:F,3,0),"")</f>
        <v>36</v>
      </c>
      <c r="P639">
        <f>IFERROR(VLOOKUP(D639,Products!A:F,4,0),"")</f>
        <v>329</v>
      </c>
      <c r="Q639" t="b">
        <f>IFERROR(VLOOKUP(D639,Products!A:F,6,0),"")</f>
        <v>1</v>
      </c>
      <c r="R639">
        <f t="shared" si="27"/>
        <v>0.50151515151515147</v>
      </c>
      <c r="S639">
        <f t="shared" si="28"/>
        <v>1</v>
      </c>
      <c r="T639">
        <f>IF(AND(S639&gt;1,COUNTIF($A$2:A639,A639)=1),1,0)</f>
        <v>0</v>
      </c>
      <c r="U639">
        <f>COUNTIF(Customers!$A$2:$A$301,C639)</f>
        <v>1</v>
      </c>
      <c r="V639">
        <f t="shared" si="29"/>
        <v>0</v>
      </c>
    </row>
    <row r="640" spans="1:22" ht="14.25" customHeight="1" x14ac:dyDescent="0.35">
      <c r="A640" s="10" t="s">
        <v>1062</v>
      </c>
      <c r="B640" s="11">
        <v>45353</v>
      </c>
      <c r="C640" s="10" t="s">
        <v>734</v>
      </c>
      <c r="D640" s="10" t="s">
        <v>212</v>
      </c>
      <c r="E640" s="10" t="s">
        <v>156</v>
      </c>
      <c r="F640" s="12">
        <v>7</v>
      </c>
      <c r="G640" s="12">
        <v>3870</v>
      </c>
      <c r="H640" s="12">
        <v>20.3</v>
      </c>
      <c r="I640" s="12">
        <v>21590.73</v>
      </c>
      <c r="J640" s="10" t="s">
        <v>57</v>
      </c>
      <c r="K640" s="10" t="s">
        <v>52</v>
      </c>
      <c r="L640" t="str">
        <f>IFERROR(VLOOKUP(D640,Products!A:F,3,0),"")</f>
        <v>Electronics</v>
      </c>
      <c r="M640" t="str">
        <f>IFERROR(VLOOKUP(E640,Sales_Reps!A:E,3,0),"")</f>
        <v>East</v>
      </c>
      <c r="N640" t="str">
        <f>IFERROR(VLOOKUP(C640,Customers!A:F,5,0),"")</f>
        <v>Retail</v>
      </c>
      <c r="O640">
        <f>IFERROR(VLOOKUP(C640,Customers!A:F,3,0),"")</f>
        <v>35</v>
      </c>
      <c r="P640">
        <f>IFERROR(VLOOKUP(D640,Products!A:F,4,0),"")</f>
        <v>1559</v>
      </c>
      <c r="Q640" t="b">
        <f>IFERROR(VLOOKUP(D640,Products!A:F,6,0),"")</f>
        <v>1</v>
      </c>
      <c r="R640">
        <f t="shared" si="27"/>
        <v>0.59715762273901807</v>
      </c>
      <c r="S640">
        <f t="shared" si="28"/>
        <v>1</v>
      </c>
      <c r="T640">
        <f>IF(AND(S640&gt;1,COUNTIF($A$2:A640,A640)=1),1,0)</f>
        <v>0</v>
      </c>
      <c r="U640">
        <f>COUNTIF(Customers!$A$2:$A$301,C640)</f>
        <v>1</v>
      </c>
      <c r="V640">
        <f t="shared" si="29"/>
        <v>0</v>
      </c>
    </row>
    <row r="641" spans="1:22" ht="14.25" customHeight="1" x14ac:dyDescent="0.35">
      <c r="A641" s="10" t="s">
        <v>1063</v>
      </c>
      <c r="B641" s="11">
        <v>45542</v>
      </c>
      <c r="C641" s="10" t="s">
        <v>218</v>
      </c>
      <c r="D641" s="10" t="s">
        <v>74</v>
      </c>
      <c r="E641" s="10" t="s">
        <v>310</v>
      </c>
      <c r="F641" s="12">
        <v>10</v>
      </c>
      <c r="G641" s="12">
        <v>370</v>
      </c>
      <c r="H641" s="12">
        <v>1.3</v>
      </c>
      <c r="I641" s="12">
        <v>3651.9</v>
      </c>
      <c r="J641" s="10" t="s">
        <v>108</v>
      </c>
      <c r="K641" s="10" t="s">
        <v>58</v>
      </c>
      <c r="L641" t="str">
        <f>IFERROR(VLOOKUP(D641,Products!A:F,3,0),"")</f>
        <v>Home</v>
      </c>
      <c r="M641" t="str">
        <f>IFERROR(VLOOKUP(E641,Sales_Reps!A:E,3,0),"")</f>
        <v>South</v>
      </c>
      <c r="N641" t="str">
        <f>IFERROR(VLOOKUP(C641,Customers!A:F,5,0),"")</f>
        <v>Retail</v>
      </c>
      <c r="O641">
        <f>IFERROR(VLOOKUP(C641,Customers!A:F,3,0),"")</f>
        <v>24</v>
      </c>
      <c r="P641">
        <f>IFERROR(VLOOKUP(D641,Products!A:F,4,0),"")</f>
        <v>288</v>
      </c>
      <c r="Q641" t="b">
        <f>IFERROR(VLOOKUP(D641,Products!A:F,6,0),"")</f>
        <v>1</v>
      </c>
      <c r="R641">
        <f t="shared" si="27"/>
        <v>0.22162162162162163</v>
      </c>
      <c r="S641">
        <f t="shared" si="28"/>
        <v>1</v>
      </c>
      <c r="T641">
        <f>IF(AND(S641&gt;1,COUNTIF($A$2:A641,A641)=1),1,0)</f>
        <v>0</v>
      </c>
      <c r="U641">
        <f>COUNTIF(Customers!$A$2:$A$301,C641)</f>
        <v>1</v>
      </c>
      <c r="V641">
        <f t="shared" si="29"/>
        <v>0</v>
      </c>
    </row>
    <row r="642" spans="1:22" ht="14.25" customHeight="1" x14ac:dyDescent="0.35">
      <c r="A642" s="10" t="s">
        <v>1064</v>
      </c>
      <c r="B642" s="11">
        <v>45365</v>
      </c>
      <c r="C642" s="10" t="s">
        <v>170</v>
      </c>
      <c r="D642" s="10" t="s">
        <v>49</v>
      </c>
      <c r="E642" s="10" t="s">
        <v>267</v>
      </c>
      <c r="F642" s="12">
        <v>1</v>
      </c>
      <c r="G642" s="12">
        <v>3620</v>
      </c>
      <c r="H642" s="12">
        <v>1.4</v>
      </c>
      <c r="I642" s="12">
        <v>3569.32</v>
      </c>
      <c r="J642" s="10" t="s">
        <v>51</v>
      </c>
      <c r="K642" s="10" t="s">
        <v>97</v>
      </c>
      <c r="L642" t="str">
        <f>IFERROR(VLOOKUP(D642,Products!A:F,3,0),"")</f>
        <v>Apparel</v>
      </c>
      <c r="M642" t="str">
        <f>IFERROR(VLOOKUP(E642,Sales_Reps!A:E,3,0),"")</f>
        <v>East</v>
      </c>
      <c r="N642" t="str">
        <f>IFERROR(VLOOKUP(C642,Customers!A:F,5,0),"")</f>
        <v>SMB</v>
      </c>
      <c r="O642">
        <f>IFERROR(VLOOKUP(C642,Customers!A:F,3,0),"")</f>
        <v>40</v>
      </c>
      <c r="P642">
        <f>IFERROR(VLOOKUP(D642,Products!A:F,4,0),"")</f>
        <v>2509</v>
      </c>
      <c r="Q642" t="b">
        <f>IFERROR(VLOOKUP(D642,Products!A:F,6,0),"")</f>
        <v>1</v>
      </c>
      <c r="R642">
        <f t="shared" ref="R642:R705" si="30">IFERROR((G642-P642)/G642,"")</f>
        <v>0.3069060773480663</v>
      </c>
      <c r="S642">
        <f t="shared" ref="S642:S705" si="31">COUNTIF($A$2:$A$2001,A642)</f>
        <v>1</v>
      </c>
      <c r="T642">
        <f>IF(AND(S642&gt;1,COUNTIF($A$2:A642,A642)=1),1,0)</f>
        <v>0</v>
      </c>
      <c r="U642">
        <f>COUNTIF(Customers!$A$2:$A$301,C642)</f>
        <v>1</v>
      </c>
      <c r="V642">
        <f t="shared" ref="V642:V705" si="32">IF(AND(K642="Bengaluru",L642="Grocery"),I642,0)</f>
        <v>0</v>
      </c>
    </row>
    <row r="643" spans="1:22" ht="14.25" customHeight="1" x14ac:dyDescent="0.35">
      <c r="A643" s="10" t="s">
        <v>1065</v>
      </c>
      <c r="B643" s="11">
        <v>45574</v>
      </c>
      <c r="C643" s="10" t="s">
        <v>393</v>
      </c>
      <c r="D643" s="10" t="s">
        <v>243</v>
      </c>
      <c r="E643" s="10" t="s">
        <v>56</v>
      </c>
      <c r="F643" s="12">
        <v>10</v>
      </c>
      <c r="G643" s="12">
        <v>2660</v>
      </c>
      <c r="H643" s="12">
        <v>20.2</v>
      </c>
      <c r="I643" s="12">
        <v>21226.799999999999</v>
      </c>
      <c r="J643" s="10" t="s">
        <v>51</v>
      </c>
      <c r="K643" s="10" t="s">
        <v>81</v>
      </c>
      <c r="L643" t="str">
        <f>IFERROR(VLOOKUP(D643,Products!A:F,3,0),"")</f>
        <v>Electronics</v>
      </c>
      <c r="M643" t="str">
        <f>IFERROR(VLOOKUP(E643,Sales_Reps!A:E,3,0),"")</f>
        <v>North</v>
      </c>
      <c r="N643" t="str">
        <f>IFERROR(VLOOKUP(C643,Customers!A:F,5,0),"")</f>
        <v>Retail</v>
      </c>
      <c r="O643">
        <f>IFERROR(VLOOKUP(C643,Customers!A:F,3,0),"")</f>
        <v>55</v>
      </c>
      <c r="P643">
        <f>IFERROR(VLOOKUP(D643,Products!A:F,4,0),"")</f>
        <v>1259</v>
      </c>
      <c r="Q643" t="b">
        <f>IFERROR(VLOOKUP(D643,Products!A:F,6,0),"")</f>
        <v>0</v>
      </c>
      <c r="R643">
        <f t="shared" si="30"/>
        <v>0.52669172932330832</v>
      </c>
      <c r="S643">
        <f t="shared" si="31"/>
        <v>1</v>
      </c>
      <c r="T643">
        <f>IF(AND(S643&gt;1,COUNTIF($A$2:A643,A643)=1),1,0)</f>
        <v>0</v>
      </c>
      <c r="U643">
        <f>COUNTIF(Customers!$A$2:$A$301,C643)</f>
        <v>1</v>
      </c>
      <c r="V643">
        <f t="shared" si="32"/>
        <v>0</v>
      </c>
    </row>
    <row r="644" spans="1:22" ht="14.25" customHeight="1" x14ac:dyDescent="0.35">
      <c r="A644" s="10" t="s">
        <v>1066</v>
      </c>
      <c r="B644" s="11">
        <v>45614</v>
      </c>
      <c r="C644" s="10" t="s">
        <v>230</v>
      </c>
      <c r="D644" s="10" t="s">
        <v>125</v>
      </c>
      <c r="E644" s="10" t="s">
        <v>152</v>
      </c>
      <c r="F644" s="12">
        <v>10</v>
      </c>
      <c r="G644" s="12">
        <v>3450</v>
      </c>
      <c r="H644" s="12">
        <v>25.1</v>
      </c>
      <c r="I644" s="12">
        <v>25840.5</v>
      </c>
      <c r="J644" s="10" t="s">
        <v>51</v>
      </c>
      <c r="K644" s="10" t="s">
        <v>63</v>
      </c>
      <c r="L644" t="str">
        <f>IFERROR(VLOOKUP(D644,Products!A:F,3,0),"")</f>
        <v>Sports</v>
      </c>
      <c r="M644" t="str">
        <f>IFERROR(VLOOKUP(E644,Sales_Reps!A:E,3,0),"")</f>
        <v>South</v>
      </c>
      <c r="N644" t="str">
        <f>IFERROR(VLOOKUP(C644,Customers!A:F,5,0),"")</f>
        <v>Corporate</v>
      </c>
      <c r="O644">
        <f>IFERROR(VLOOKUP(C644,Customers!A:F,3,0),"")</f>
        <v>55</v>
      </c>
      <c r="P644">
        <f>IFERROR(VLOOKUP(D644,Products!A:F,4,0),"")</f>
        <v>2467</v>
      </c>
      <c r="Q644" t="b">
        <f>IFERROR(VLOOKUP(D644,Products!A:F,6,0),"")</f>
        <v>1</v>
      </c>
      <c r="R644">
        <f t="shared" si="30"/>
        <v>0.28492753623188405</v>
      </c>
      <c r="S644">
        <f t="shared" si="31"/>
        <v>1</v>
      </c>
      <c r="T644">
        <f>IF(AND(S644&gt;1,COUNTIF($A$2:A644,A644)=1),1,0)</f>
        <v>0</v>
      </c>
      <c r="U644">
        <f>COUNTIF(Customers!$A$2:$A$301,C644)</f>
        <v>1</v>
      </c>
      <c r="V644">
        <f t="shared" si="32"/>
        <v>0</v>
      </c>
    </row>
    <row r="645" spans="1:22" ht="14.25" customHeight="1" x14ac:dyDescent="0.35">
      <c r="A645" s="10" t="s">
        <v>1067</v>
      </c>
      <c r="B645" s="11">
        <v>45629</v>
      </c>
      <c r="C645" s="10" t="s">
        <v>1068</v>
      </c>
      <c r="D645" s="10" t="s">
        <v>315</v>
      </c>
      <c r="E645" s="10" t="s">
        <v>216</v>
      </c>
      <c r="F645" s="12">
        <v>3</v>
      </c>
      <c r="G645" s="12">
        <v>4060</v>
      </c>
      <c r="H645" s="12">
        <v>2.5</v>
      </c>
      <c r="I645" s="12">
        <v>11875.5</v>
      </c>
      <c r="J645" s="10" t="s">
        <v>108</v>
      </c>
      <c r="K645" s="10" t="s">
        <v>81</v>
      </c>
      <c r="L645" t="str">
        <f>IFERROR(VLOOKUP(D645,Products!A:F,3,0),"")</f>
        <v>Grocery</v>
      </c>
      <c r="M645" t="str">
        <f>IFERROR(VLOOKUP(E645,Sales_Reps!A:E,3,0),"")</f>
        <v>South</v>
      </c>
      <c r="N645" t="str">
        <f>IFERROR(VLOOKUP(C645,Customers!A:F,5,0),"")</f>
        <v>Corporate</v>
      </c>
      <c r="O645">
        <f>IFERROR(VLOOKUP(C645,Customers!A:F,3,0),"")</f>
        <v>31</v>
      </c>
      <c r="P645">
        <f>IFERROR(VLOOKUP(D645,Products!A:F,4,0),"")</f>
        <v>2911</v>
      </c>
      <c r="Q645" t="b">
        <f>IFERROR(VLOOKUP(D645,Products!A:F,6,0),"")</f>
        <v>1</v>
      </c>
      <c r="R645">
        <f t="shared" si="30"/>
        <v>0.28300492610837441</v>
      </c>
      <c r="S645">
        <f t="shared" si="31"/>
        <v>1</v>
      </c>
      <c r="T645">
        <f>IF(AND(S645&gt;1,COUNTIF($A$2:A645,A645)=1),1,0)</f>
        <v>0</v>
      </c>
      <c r="U645">
        <f>COUNTIF(Customers!$A$2:$A$301,C645)</f>
        <v>1</v>
      </c>
      <c r="V645">
        <f t="shared" si="32"/>
        <v>11875.5</v>
      </c>
    </row>
    <row r="646" spans="1:22" ht="14.25" customHeight="1" x14ac:dyDescent="0.35">
      <c r="A646" s="10" t="s">
        <v>1069</v>
      </c>
      <c r="B646" s="11">
        <v>45294</v>
      </c>
      <c r="C646" s="10" t="s">
        <v>142</v>
      </c>
      <c r="D646" s="10" t="s">
        <v>79</v>
      </c>
      <c r="E646" s="10" t="s">
        <v>122</v>
      </c>
      <c r="F646" s="12">
        <v>3</v>
      </c>
      <c r="G646" s="12">
        <v>960</v>
      </c>
      <c r="H646" s="12">
        <v>6.6</v>
      </c>
      <c r="I646" s="12">
        <v>2689.92</v>
      </c>
      <c r="J646" s="10" t="s">
        <v>104</v>
      </c>
      <c r="K646" s="10" t="s">
        <v>58</v>
      </c>
      <c r="L646" t="str">
        <f>IFERROR(VLOOKUP(D646,Products!A:F,3,0),"")</f>
        <v>Sports</v>
      </c>
      <c r="M646" t="str">
        <f>IFERROR(VLOOKUP(E646,Sales_Reps!A:E,3,0),"")</f>
        <v>East</v>
      </c>
      <c r="N646" t="str">
        <f>IFERROR(VLOOKUP(C646,Customers!A:F,5,0),"")</f>
        <v>Corporate</v>
      </c>
      <c r="O646">
        <f>IFERROR(VLOOKUP(C646,Customers!A:F,3,0),"")</f>
        <v>55</v>
      </c>
      <c r="P646">
        <f>IFERROR(VLOOKUP(D646,Products!A:F,4,0),"")</f>
        <v>705</v>
      </c>
      <c r="Q646" t="b">
        <f>IFERROR(VLOOKUP(D646,Products!A:F,6,0),"")</f>
        <v>1</v>
      </c>
      <c r="R646">
        <f t="shared" si="30"/>
        <v>0.265625</v>
      </c>
      <c r="S646">
        <f t="shared" si="31"/>
        <v>1</v>
      </c>
      <c r="T646">
        <f>IF(AND(S646&gt;1,COUNTIF($A$2:A646,A646)=1),1,0)</f>
        <v>0</v>
      </c>
      <c r="U646">
        <f>COUNTIF(Customers!$A$2:$A$301,C646)</f>
        <v>1</v>
      </c>
      <c r="V646">
        <f t="shared" si="32"/>
        <v>0</v>
      </c>
    </row>
    <row r="647" spans="1:22" ht="14.25" customHeight="1" x14ac:dyDescent="0.35">
      <c r="A647" s="10" t="s">
        <v>1070</v>
      </c>
      <c r="B647" s="11">
        <v>45418</v>
      </c>
      <c r="C647" s="10" t="s">
        <v>525</v>
      </c>
      <c r="D647" s="10" t="s">
        <v>243</v>
      </c>
      <c r="E647" s="10" t="s">
        <v>71</v>
      </c>
      <c r="F647" s="12">
        <v>4</v>
      </c>
      <c r="G647" s="12">
        <v>2660</v>
      </c>
      <c r="H647" s="12">
        <v>16.899999999999999</v>
      </c>
      <c r="I647" s="12">
        <v>8841.84</v>
      </c>
      <c r="J647" s="10" t="s">
        <v>51</v>
      </c>
      <c r="K647" s="10" t="s">
        <v>97</v>
      </c>
      <c r="L647" t="str">
        <f>IFERROR(VLOOKUP(D647,Products!A:F,3,0),"")</f>
        <v>Electronics</v>
      </c>
      <c r="M647" t="str">
        <f>IFERROR(VLOOKUP(E647,Sales_Reps!A:E,3,0),"")</f>
        <v>North</v>
      </c>
      <c r="N647" t="str">
        <f>IFERROR(VLOOKUP(C647,Customers!A:F,5,0),"")</f>
        <v>SMB</v>
      </c>
      <c r="O647">
        <f>IFERROR(VLOOKUP(C647,Customers!A:F,3,0),"")</f>
        <v>43</v>
      </c>
      <c r="P647">
        <f>IFERROR(VLOOKUP(D647,Products!A:F,4,0),"")</f>
        <v>1259</v>
      </c>
      <c r="Q647" t="b">
        <f>IFERROR(VLOOKUP(D647,Products!A:F,6,0),"")</f>
        <v>0</v>
      </c>
      <c r="R647">
        <f t="shared" si="30"/>
        <v>0.52669172932330832</v>
      </c>
      <c r="S647">
        <f t="shared" si="31"/>
        <v>1</v>
      </c>
      <c r="T647">
        <f>IF(AND(S647&gt;1,COUNTIF($A$2:A647,A647)=1),1,0)</f>
        <v>0</v>
      </c>
      <c r="U647">
        <f>COUNTIF(Customers!$A$2:$A$301,C647)</f>
        <v>1</v>
      </c>
      <c r="V647">
        <f t="shared" si="32"/>
        <v>0</v>
      </c>
    </row>
    <row r="648" spans="1:22" ht="14.25" customHeight="1" x14ac:dyDescent="0.35">
      <c r="A648" s="10" t="s">
        <v>1071</v>
      </c>
      <c r="B648" s="11">
        <v>45369</v>
      </c>
      <c r="C648" s="10" t="s">
        <v>465</v>
      </c>
      <c r="D648" s="10" t="s">
        <v>95</v>
      </c>
      <c r="E648" s="10" t="s">
        <v>267</v>
      </c>
      <c r="F648" s="12">
        <v>6</v>
      </c>
      <c r="G648" s="12">
        <v>2270</v>
      </c>
      <c r="H648" s="12">
        <v>16.7</v>
      </c>
      <c r="I648" s="12">
        <v>11345.46</v>
      </c>
      <c r="J648" s="10" t="s">
        <v>51</v>
      </c>
      <c r="K648" s="10" t="s">
        <v>97</v>
      </c>
      <c r="L648" t="str">
        <f>IFERROR(VLOOKUP(D648,Products!A:F,3,0),"")</f>
        <v>Grocery</v>
      </c>
      <c r="M648" t="str">
        <f>IFERROR(VLOOKUP(E648,Sales_Reps!A:E,3,0),"")</f>
        <v>East</v>
      </c>
      <c r="N648" t="str">
        <f>IFERROR(VLOOKUP(C648,Customers!A:F,5,0),"")</f>
        <v>SMB</v>
      </c>
      <c r="O648">
        <f>IFERROR(VLOOKUP(C648,Customers!A:F,3,0),"")</f>
        <v>65</v>
      </c>
      <c r="P648">
        <f>IFERROR(VLOOKUP(D648,Products!A:F,4,0),"")</f>
        <v>1203</v>
      </c>
      <c r="Q648" t="b">
        <f>IFERROR(VLOOKUP(D648,Products!A:F,6,0),"")</f>
        <v>1</v>
      </c>
      <c r="R648">
        <f t="shared" si="30"/>
        <v>0.47004405286343615</v>
      </c>
      <c r="S648">
        <f t="shared" si="31"/>
        <v>1</v>
      </c>
      <c r="T648">
        <f>IF(AND(S648&gt;1,COUNTIF($A$2:A648,A648)=1),1,0)</f>
        <v>0</v>
      </c>
      <c r="U648">
        <f>COUNTIF(Customers!$A$2:$A$301,C648)</f>
        <v>1</v>
      </c>
      <c r="V648">
        <f t="shared" si="32"/>
        <v>0</v>
      </c>
    </row>
    <row r="649" spans="1:22" ht="14.25" customHeight="1" x14ac:dyDescent="0.35">
      <c r="A649" s="10" t="s">
        <v>1072</v>
      </c>
      <c r="B649" s="11">
        <v>45549</v>
      </c>
      <c r="C649" s="10" t="s">
        <v>358</v>
      </c>
      <c r="D649" s="10" t="s">
        <v>198</v>
      </c>
      <c r="E649" s="10" t="s">
        <v>75</v>
      </c>
      <c r="F649" s="12">
        <v>5</v>
      </c>
      <c r="G649" s="12">
        <v>3780</v>
      </c>
      <c r="H649" s="12">
        <v>21.5</v>
      </c>
      <c r="I649" s="12">
        <v>14836.5</v>
      </c>
      <c r="J649" s="10" t="s">
        <v>51</v>
      </c>
      <c r="K649" s="10" t="s">
        <v>81</v>
      </c>
      <c r="L649" t="str">
        <f>IFERROR(VLOOKUP(D649,Products!A:F,3,0),"")</f>
        <v>Grocery</v>
      </c>
      <c r="M649" t="str">
        <f>IFERROR(VLOOKUP(E649,Sales_Reps!A:E,3,0),"")</f>
        <v>West</v>
      </c>
      <c r="N649" t="str">
        <f>IFERROR(VLOOKUP(C649,Customers!A:F,5,0),"")</f>
        <v>SMB</v>
      </c>
      <c r="O649">
        <f>IFERROR(VLOOKUP(C649,Customers!A:F,3,0),"")</f>
        <v>28</v>
      </c>
      <c r="P649">
        <f>IFERROR(VLOOKUP(D649,Products!A:F,4,0),"")</f>
        <v>2436</v>
      </c>
      <c r="Q649" t="b">
        <f>IFERROR(VLOOKUP(D649,Products!A:F,6,0),"")</f>
        <v>1</v>
      </c>
      <c r="R649">
        <f t="shared" si="30"/>
        <v>0.35555555555555557</v>
      </c>
      <c r="S649">
        <f t="shared" si="31"/>
        <v>1</v>
      </c>
      <c r="T649">
        <f>IF(AND(S649&gt;1,COUNTIF($A$2:A649,A649)=1),1,0)</f>
        <v>0</v>
      </c>
      <c r="U649">
        <f>COUNTIF(Customers!$A$2:$A$301,C649)</f>
        <v>1</v>
      </c>
      <c r="V649">
        <f t="shared" si="32"/>
        <v>14836.5</v>
      </c>
    </row>
    <row r="650" spans="1:22" ht="14.25" customHeight="1" x14ac:dyDescent="0.35">
      <c r="A650" s="10" t="s">
        <v>1073</v>
      </c>
      <c r="B650" s="11">
        <v>45505</v>
      </c>
      <c r="C650" s="10" t="s">
        <v>874</v>
      </c>
      <c r="D650" s="10" t="s">
        <v>167</v>
      </c>
      <c r="E650" s="10" t="s">
        <v>85</v>
      </c>
      <c r="F650" s="12">
        <v>10</v>
      </c>
      <c r="G650" s="12">
        <v>660</v>
      </c>
      <c r="H650" s="12">
        <v>18.8</v>
      </c>
      <c r="I650" s="12">
        <v>5359.2</v>
      </c>
      <c r="J650" s="10" t="s">
        <v>51</v>
      </c>
      <c r="K650" s="10" t="s">
        <v>63</v>
      </c>
      <c r="L650" t="str">
        <f>IFERROR(VLOOKUP(D650,Products!A:F,3,0),"")</f>
        <v>Home</v>
      </c>
      <c r="M650" t="str">
        <f>IFERROR(VLOOKUP(E650,Sales_Reps!A:E,3,0),"")</f>
        <v>East</v>
      </c>
      <c r="N650" t="str">
        <f>IFERROR(VLOOKUP(C650,Customers!A:F,5,0),"")</f>
        <v>Retail</v>
      </c>
      <c r="O650">
        <f>IFERROR(VLOOKUP(C650,Customers!A:F,3,0),"")</f>
        <v>55</v>
      </c>
      <c r="P650">
        <f>IFERROR(VLOOKUP(D650,Products!A:F,4,0),"")</f>
        <v>329</v>
      </c>
      <c r="Q650" t="b">
        <f>IFERROR(VLOOKUP(D650,Products!A:F,6,0),"")</f>
        <v>1</v>
      </c>
      <c r="R650">
        <f t="shared" si="30"/>
        <v>0.50151515151515147</v>
      </c>
      <c r="S650">
        <f t="shared" si="31"/>
        <v>1</v>
      </c>
      <c r="T650">
        <f>IF(AND(S650&gt;1,COUNTIF($A$2:A650,A650)=1),1,0)</f>
        <v>0</v>
      </c>
      <c r="U650">
        <f>COUNTIF(Customers!$A$2:$A$301,C650)</f>
        <v>1</v>
      </c>
      <c r="V650">
        <f t="shared" si="32"/>
        <v>0</v>
      </c>
    </row>
    <row r="651" spans="1:22" ht="14.25" customHeight="1" x14ac:dyDescent="0.35">
      <c r="A651" s="10" t="s">
        <v>1074</v>
      </c>
      <c r="B651" s="11">
        <v>45413</v>
      </c>
      <c r="C651" s="10" t="s">
        <v>572</v>
      </c>
      <c r="D651" s="10" t="s">
        <v>190</v>
      </c>
      <c r="E651" s="10" t="s">
        <v>80</v>
      </c>
      <c r="F651" s="12">
        <v>10</v>
      </c>
      <c r="G651" s="12">
        <v>3730</v>
      </c>
      <c r="H651" s="12">
        <v>15.1</v>
      </c>
      <c r="I651" s="12">
        <v>31667.7</v>
      </c>
      <c r="J651" s="10" t="s">
        <v>51</v>
      </c>
      <c r="K651" s="10" t="s">
        <v>52</v>
      </c>
      <c r="L651" t="str">
        <f>IFERROR(VLOOKUP(D651,Products!A:F,3,0),"")</f>
        <v>Home</v>
      </c>
      <c r="M651" t="str">
        <f>IFERROR(VLOOKUP(E651,Sales_Reps!A:E,3,0),"")</f>
        <v>West</v>
      </c>
      <c r="N651" t="str">
        <f>IFERROR(VLOOKUP(C651,Customers!A:F,5,0),"")</f>
        <v>Corporate</v>
      </c>
      <c r="O651">
        <f>IFERROR(VLOOKUP(C651,Customers!A:F,3,0),"")</f>
        <v>40</v>
      </c>
      <c r="P651">
        <f>IFERROR(VLOOKUP(D651,Products!A:F,4,0),"")</f>
        <v>2135</v>
      </c>
      <c r="Q651" t="b">
        <f>IFERROR(VLOOKUP(D651,Products!A:F,6,0),"")</f>
        <v>1</v>
      </c>
      <c r="R651">
        <f t="shared" si="30"/>
        <v>0.42761394101876676</v>
      </c>
      <c r="S651">
        <f t="shared" si="31"/>
        <v>1</v>
      </c>
      <c r="T651">
        <f>IF(AND(S651&gt;1,COUNTIF($A$2:A651,A651)=1),1,0)</f>
        <v>0</v>
      </c>
      <c r="U651">
        <f>COUNTIF(Customers!$A$2:$A$301,C651)</f>
        <v>1</v>
      </c>
      <c r="V651">
        <f t="shared" si="32"/>
        <v>0</v>
      </c>
    </row>
    <row r="652" spans="1:22" ht="14.25" customHeight="1" x14ac:dyDescent="0.35">
      <c r="A652" s="10" t="s">
        <v>1075</v>
      </c>
      <c r="B652" s="11">
        <v>45559</v>
      </c>
      <c r="C652" s="10" t="s">
        <v>101</v>
      </c>
      <c r="D652" s="10" t="s">
        <v>315</v>
      </c>
      <c r="E652" s="10" t="s">
        <v>122</v>
      </c>
      <c r="F652" s="12">
        <v>6</v>
      </c>
      <c r="G652" s="12">
        <v>4060</v>
      </c>
      <c r="H652" s="12">
        <v>20.100000000000001</v>
      </c>
      <c r="I652" s="12">
        <v>19463.64</v>
      </c>
      <c r="J652" s="10" t="s">
        <v>57</v>
      </c>
      <c r="K652" s="10" t="s">
        <v>1076</v>
      </c>
      <c r="L652" t="str">
        <f>IFERROR(VLOOKUP(D652,Products!A:F,3,0),"")</f>
        <v>Grocery</v>
      </c>
      <c r="M652" t="str">
        <f>IFERROR(VLOOKUP(E652,Sales_Reps!A:E,3,0),"")</f>
        <v>East</v>
      </c>
      <c r="N652" t="str">
        <f>IFERROR(VLOOKUP(C652,Customers!A:F,5,0),"")</f>
        <v>SMB</v>
      </c>
      <c r="O652">
        <f>IFERROR(VLOOKUP(C652,Customers!A:F,3,0),"")</f>
        <v>27</v>
      </c>
      <c r="P652">
        <f>IFERROR(VLOOKUP(D652,Products!A:F,4,0),"")</f>
        <v>2911</v>
      </c>
      <c r="Q652" t="b">
        <f>IFERROR(VLOOKUP(D652,Products!A:F,6,0),"")</f>
        <v>1</v>
      </c>
      <c r="R652">
        <f t="shared" si="30"/>
        <v>0.28300492610837441</v>
      </c>
      <c r="S652">
        <f t="shared" si="31"/>
        <v>1</v>
      </c>
      <c r="T652">
        <f>IF(AND(S652&gt;1,COUNTIF($A$2:A652,A652)=1),1,0)</f>
        <v>0</v>
      </c>
      <c r="U652">
        <f>COUNTIF(Customers!$A$2:$A$301,C652)</f>
        <v>1</v>
      </c>
      <c r="V652">
        <f t="shared" si="32"/>
        <v>0</v>
      </c>
    </row>
    <row r="653" spans="1:22" ht="14.25" customHeight="1" x14ac:dyDescent="0.35">
      <c r="A653" s="10" t="s">
        <v>1077</v>
      </c>
      <c r="B653" s="11">
        <v>45525</v>
      </c>
      <c r="C653" s="10" t="s">
        <v>947</v>
      </c>
      <c r="D653" s="10" t="s">
        <v>95</v>
      </c>
      <c r="E653" s="10" t="s">
        <v>112</v>
      </c>
      <c r="F653" s="12">
        <v>2</v>
      </c>
      <c r="G653" s="12">
        <v>2270</v>
      </c>
      <c r="H653" s="12">
        <v>17.7</v>
      </c>
      <c r="I653" s="12">
        <v>3736.42</v>
      </c>
      <c r="J653" s="10" t="s">
        <v>51</v>
      </c>
      <c r="K653" s="10" t="s">
        <v>81</v>
      </c>
      <c r="L653" t="str">
        <f>IFERROR(VLOOKUP(D653,Products!A:F,3,0),"")</f>
        <v>Grocery</v>
      </c>
      <c r="M653" t="str">
        <f>IFERROR(VLOOKUP(E653,Sales_Reps!A:E,3,0),"")</f>
        <v>North</v>
      </c>
      <c r="N653" t="str">
        <f>IFERROR(VLOOKUP(C653,Customers!A:F,5,0),"")</f>
        <v>SMB</v>
      </c>
      <c r="O653">
        <f>IFERROR(VLOOKUP(C653,Customers!A:F,3,0),"")</f>
        <v>36</v>
      </c>
      <c r="P653">
        <f>IFERROR(VLOOKUP(D653,Products!A:F,4,0),"")</f>
        <v>1203</v>
      </c>
      <c r="Q653" t="b">
        <f>IFERROR(VLOOKUP(D653,Products!A:F,6,0),"")</f>
        <v>1</v>
      </c>
      <c r="R653">
        <f t="shared" si="30"/>
        <v>0.47004405286343615</v>
      </c>
      <c r="S653">
        <f t="shared" si="31"/>
        <v>1</v>
      </c>
      <c r="T653">
        <f>IF(AND(S653&gt;1,COUNTIF($A$2:A653,A653)=1),1,0)</f>
        <v>0</v>
      </c>
      <c r="U653">
        <f>COUNTIF(Customers!$A$2:$A$301,C653)</f>
        <v>1</v>
      </c>
      <c r="V653">
        <f t="shared" si="32"/>
        <v>3736.42</v>
      </c>
    </row>
    <row r="654" spans="1:22" ht="14.25" customHeight="1" x14ac:dyDescent="0.35">
      <c r="A654" s="10" t="s">
        <v>1078</v>
      </c>
      <c r="B654" s="11">
        <v>45610</v>
      </c>
      <c r="C654" s="10" t="s">
        <v>501</v>
      </c>
      <c r="D654" s="10" t="s">
        <v>151</v>
      </c>
      <c r="E654" s="10" t="s">
        <v>92</v>
      </c>
      <c r="F654" s="12">
        <v>9</v>
      </c>
      <c r="G654" s="12">
        <v>3570</v>
      </c>
      <c r="H654" s="12">
        <v>29.9</v>
      </c>
      <c r="I654" s="12">
        <v>22523.13</v>
      </c>
      <c r="J654" s="10" t="s">
        <v>51</v>
      </c>
      <c r="K654" s="10" t="s">
        <v>97</v>
      </c>
      <c r="L654" t="str">
        <f>IFERROR(VLOOKUP(D654,Products!A:F,3,0),"")</f>
        <v>Electronics</v>
      </c>
      <c r="M654" t="str">
        <f>IFERROR(VLOOKUP(E654,Sales_Reps!A:E,3,0),"")</f>
        <v>West</v>
      </c>
      <c r="N654" t="str">
        <f>IFERROR(VLOOKUP(C654,Customers!A:F,5,0),"")</f>
        <v>SMB</v>
      </c>
      <c r="O654">
        <f>IFERROR(VLOOKUP(C654,Customers!A:F,3,0),"")</f>
        <v>48</v>
      </c>
      <c r="P654">
        <f>IFERROR(VLOOKUP(D654,Products!A:F,4,0),"")</f>
        <v>1665</v>
      </c>
      <c r="Q654" t="b">
        <f>IFERROR(VLOOKUP(D654,Products!A:F,6,0),"")</f>
        <v>1</v>
      </c>
      <c r="R654">
        <f t="shared" si="30"/>
        <v>0.53361344537815125</v>
      </c>
      <c r="S654">
        <f t="shared" si="31"/>
        <v>1</v>
      </c>
      <c r="T654">
        <f>IF(AND(S654&gt;1,COUNTIF($A$2:A654,A654)=1),1,0)</f>
        <v>0</v>
      </c>
      <c r="U654">
        <f>COUNTIF(Customers!$A$2:$A$301,C654)</f>
        <v>1</v>
      </c>
      <c r="V654">
        <f t="shared" si="32"/>
        <v>0</v>
      </c>
    </row>
    <row r="655" spans="1:22" ht="14.25" customHeight="1" x14ac:dyDescent="0.35">
      <c r="A655" s="10" t="s">
        <v>1079</v>
      </c>
      <c r="B655" s="11">
        <v>45521</v>
      </c>
      <c r="C655" s="10" t="s">
        <v>792</v>
      </c>
      <c r="D655" s="10" t="s">
        <v>302</v>
      </c>
      <c r="E655" s="10" t="s">
        <v>103</v>
      </c>
      <c r="F655" s="12">
        <v>7</v>
      </c>
      <c r="G655" s="12">
        <v>2210</v>
      </c>
      <c r="H655" s="12">
        <v>25</v>
      </c>
      <c r="I655" s="12">
        <v>11602.5</v>
      </c>
      <c r="J655" s="10" t="s">
        <v>51</v>
      </c>
      <c r="K655" s="10" t="s">
        <v>97</v>
      </c>
      <c r="L655" t="str">
        <f>IFERROR(VLOOKUP(D655,Products!A:F,3,0),"")</f>
        <v>Grocery</v>
      </c>
      <c r="M655" t="str">
        <f>IFERROR(VLOOKUP(E655,Sales_Reps!A:E,3,0),"")</f>
        <v>North</v>
      </c>
      <c r="N655" t="str">
        <f>IFERROR(VLOOKUP(C655,Customers!A:F,5,0),"")</f>
        <v>Retail</v>
      </c>
      <c r="O655">
        <f>IFERROR(VLOOKUP(C655,Customers!A:F,3,0),"")</f>
        <v>52</v>
      </c>
      <c r="P655">
        <f>IFERROR(VLOOKUP(D655,Products!A:F,4,0),"")</f>
        <v>1010</v>
      </c>
      <c r="Q655" t="b">
        <f>IFERROR(VLOOKUP(D655,Products!A:F,6,0),"")</f>
        <v>1</v>
      </c>
      <c r="R655">
        <f t="shared" si="30"/>
        <v>0.54298642533936647</v>
      </c>
      <c r="S655">
        <f t="shared" si="31"/>
        <v>1</v>
      </c>
      <c r="T655">
        <f>IF(AND(S655&gt;1,COUNTIF($A$2:A655,A655)=1),1,0)</f>
        <v>0</v>
      </c>
      <c r="U655">
        <f>COUNTIF(Customers!$A$2:$A$301,C655)</f>
        <v>1</v>
      </c>
      <c r="V655">
        <f t="shared" si="32"/>
        <v>0</v>
      </c>
    </row>
    <row r="656" spans="1:22" ht="14.25" customHeight="1" x14ac:dyDescent="0.35">
      <c r="A656" s="10" t="s">
        <v>1080</v>
      </c>
      <c r="B656" s="11">
        <v>45381</v>
      </c>
      <c r="C656" s="10" t="s">
        <v>869</v>
      </c>
      <c r="D656" s="10" t="s">
        <v>79</v>
      </c>
      <c r="E656" s="10" t="s">
        <v>165</v>
      </c>
      <c r="F656" s="12">
        <v>2</v>
      </c>
      <c r="G656" s="12">
        <v>960</v>
      </c>
      <c r="H656" s="12">
        <v>8.1999999999999993</v>
      </c>
      <c r="I656" s="12">
        <v>1762.56</v>
      </c>
      <c r="J656" s="10" t="s">
        <v>104</v>
      </c>
      <c r="K656" s="10" t="s">
        <v>76</v>
      </c>
      <c r="L656" t="str">
        <f>IFERROR(VLOOKUP(D656,Products!A:F,3,0),"")</f>
        <v>Sports</v>
      </c>
      <c r="M656" t="str">
        <f>IFERROR(VLOOKUP(E656,Sales_Reps!A:E,3,0),"")</f>
        <v>West</v>
      </c>
      <c r="N656" t="str">
        <f>IFERROR(VLOOKUP(C656,Customers!A:F,5,0),"")</f>
        <v>SMB</v>
      </c>
      <c r="O656">
        <f>IFERROR(VLOOKUP(C656,Customers!A:F,3,0),"")</f>
        <v>43</v>
      </c>
      <c r="P656">
        <f>IFERROR(VLOOKUP(D656,Products!A:F,4,0),"")</f>
        <v>705</v>
      </c>
      <c r="Q656" t="b">
        <f>IFERROR(VLOOKUP(D656,Products!A:F,6,0),"")</f>
        <v>1</v>
      </c>
      <c r="R656">
        <f t="shared" si="30"/>
        <v>0.265625</v>
      </c>
      <c r="S656">
        <f t="shared" si="31"/>
        <v>1</v>
      </c>
      <c r="T656">
        <f>IF(AND(S656&gt;1,COUNTIF($A$2:A656,A656)=1),1,0)</f>
        <v>0</v>
      </c>
      <c r="U656">
        <f>COUNTIF(Customers!$A$2:$A$301,C656)</f>
        <v>1</v>
      </c>
      <c r="V656">
        <f t="shared" si="32"/>
        <v>0</v>
      </c>
    </row>
    <row r="657" spans="1:22" ht="14.25" customHeight="1" x14ac:dyDescent="0.35">
      <c r="A657" s="10" t="s">
        <v>1081</v>
      </c>
      <c r="B657" s="11">
        <v>45401</v>
      </c>
      <c r="C657" s="10" t="s">
        <v>592</v>
      </c>
      <c r="D657" s="10" t="s">
        <v>425</v>
      </c>
      <c r="E657" s="10" t="s">
        <v>165</v>
      </c>
      <c r="F657" s="12">
        <v>9</v>
      </c>
      <c r="G657" s="12">
        <v>3780</v>
      </c>
      <c r="H657" s="12">
        <v>28.4</v>
      </c>
      <c r="I657" s="12">
        <v>24358.32</v>
      </c>
      <c r="J657" s="10" t="s">
        <v>57</v>
      </c>
      <c r="K657" s="10" t="s">
        <v>97</v>
      </c>
      <c r="L657" t="str">
        <f>IFERROR(VLOOKUP(D657,Products!A:F,3,0),"")</f>
        <v>Sports</v>
      </c>
      <c r="M657" t="str">
        <f>IFERROR(VLOOKUP(E657,Sales_Reps!A:E,3,0),"")</f>
        <v>West</v>
      </c>
      <c r="N657" t="str">
        <f>IFERROR(VLOOKUP(C657,Customers!A:F,5,0),"")</f>
        <v>Corporate</v>
      </c>
      <c r="O657">
        <f>IFERROR(VLOOKUP(C657,Customers!A:F,3,0),"")</f>
        <v>22</v>
      </c>
      <c r="P657">
        <f>IFERROR(VLOOKUP(D657,Products!A:F,4,0),"")</f>
        <v>1860</v>
      </c>
      <c r="Q657" t="b">
        <f>IFERROR(VLOOKUP(D657,Products!A:F,6,0),"")</f>
        <v>1</v>
      </c>
      <c r="R657">
        <f t="shared" si="30"/>
        <v>0.50793650793650791</v>
      </c>
      <c r="S657">
        <f t="shared" si="31"/>
        <v>1</v>
      </c>
      <c r="T657">
        <f>IF(AND(S657&gt;1,COUNTIF($A$2:A657,A657)=1),1,0)</f>
        <v>0</v>
      </c>
      <c r="U657">
        <f>COUNTIF(Customers!$A$2:$A$301,C657)</f>
        <v>1</v>
      </c>
      <c r="V657">
        <f t="shared" si="32"/>
        <v>0</v>
      </c>
    </row>
    <row r="658" spans="1:22" ht="14.25" customHeight="1" x14ac:dyDescent="0.35">
      <c r="A658" s="10" t="s">
        <v>1082</v>
      </c>
      <c r="B658" s="11">
        <v>45581</v>
      </c>
      <c r="C658" s="10" t="s">
        <v>850</v>
      </c>
      <c r="D658" s="10" t="s">
        <v>155</v>
      </c>
      <c r="E658" s="10" t="s">
        <v>62</v>
      </c>
      <c r="F658" s="12">
        <v>2</v>
      </c>
      <c r="G658" s="12">
        <v>5100</v>
      </c>
      <c r="H658" s="12">
        <v>8.6</v>
      </c>
      <c r="I658" s="12">
        <v>9322.7999999999993</v>
      </c>
      <c r="J658" s="10" t="s">
        <v>51</v>
      </c>
      <c r="K658" s="10" t="s">
        <v>58</v>
      </c>
      <c r="L658" t="str">
        <f>IFERROR(VLOOKUP(D658,Products!A:F,3,0),"")</f>
        <v>Beauty</v>
      </c>
      <c r="M658" t="str">
        <f>IFERROR(VLOOKUP(E658,Sales_Reps!A:E,3,0),"")</f>
        <v>South</v>
      </c>
      <c r="N658" t="str">
        <f>IFERROR(VLOOKUP(C658,Customers!A:F,5,0),"")</f>
        <v>Corporate</v>
      </c>
      <c r="O658">
        <f>IFERROR(VLOOKUP(C658,Customers!A:F,3,0),"")</f>
        <v>44</v>
      </c>
      <c r="P658">
        <f>IFERROR(VLOOKUP(D658,Products!A:F,4,0),"")</f>
        <v>2237</v>
      </c>
      <c r="Q658" t="b">
        <f>IFERROR(VLOOKUP(D658,Products!A:F,6,0),"")</f>
        <v>1</v>
      </c>
      <c r="R658">
        <f t="shared" si="30"/>
        <v>0.56137254901960787</v>
      </c>
      <c r="S658">
        <f t="shared" si="31"/>
        <v>1</v>
      </c>
      <c r="T658">
        <f>IF(AND(S658&gt;1,COUNTIF($A$2:A658,A658)=1),1,0)</f>
        <v>0</v>
      </c>
      <c r="U658">
        <f>COUNTIF(Customers!$A$2:$A$301,C658)</f>
        <v>1</v>
      </c>
      <c r="V658">
        <f t="shared" si="32"/>
        <v>0</v>
      </c>
    </row>
    <row r="659" spans="1:22" ht="14.25" customHeight="1" x14ac:dyDescent="0.35">
      <c r="A659" s="10" t="s">
        <v>1083</v>
      </c>
      <c r="B659" s="11">
        <v>45414</v>
      </c>
      <c r="C659" s="10" t="s">
        <v>474</v>
      </c>
      <c r="D659" s="10" t="s">
        <v>131</v>
      </c>
      <c r="E659" s="10" t="s">
        <v>122</v>
      </c>
      <c r="F659" s="12">
        <v>4</v>
      </c>
      <c r="G659" s="12">
        <v>2480</v>
      </c>
      <c r="H659" s="12">
        <v>16.600000000000001</v>
      </c>
      <c r="I659" s="12">
        <v>8273.2800000000007</v>
      </c>
      <c r="J659" s="10" t="s">
        <v>51</v>
      </c>
      <c r="K659" s="10" t="s">
        <v>81</v>
      </c>
      <c r="L659" t="str">
        <f>IFERROR(VLOOKUP(D659,Products!A:F,3,0),"")</f>
        <v>Apparel</v>
      </c>
      <c r="M659" t="str">
        <f>IFERROR(VLOOKUP(E659,Sales_Reps!A:E,3,0),"")</f>
        <v>East</v>
      </c>
      <c r="N659" t="str">
        <f>IFERROR(VLOOKUP(C659,Customers!A:F,5,0),"")</f>
        <v>SMB</v>
      </c>
      <c r="O659">
        <f>IFERROR(VLOOKUP(C659,Customers!A:F,3,0),"")</f>
        <v>26</v>
      </c>
      <c r="P659">
        <f>IFERROR(VLOOKUP(D659,Products!A:F,4,0),"")</f>
        <v>1173</v>
      </c>
      <c r="Q659" t="b">
        <f>IFERROR(VLOOKUP(D659,Products!A:F,6,0),"")</f>
        <v>1</v>
      </c>
      <c r="R659">
        <f t="shared" si="30"/>
        <v>0.52701612903225803</v>
      </c>
      <c r="S659">
        <f t="shared" si="31"/>
        <v>1</v>
      </c>
      <c r="T659">
        <f>IF(AND(S659&gt;1,COUNTIF($A$2:A659,A659)=1),1,0)</f>
        <v>0</v>
      </c>
      <c r="U659">
        <f>COUNTIF(Customers!$A$2:$A$301,C659)</f>
        <v>1</v>
      </c>
      <c r="V659">
        <f t="shared" si="32"/>
        <v>0</v>
      </c>
    </row>
    <row r="660" spans="1:22" ht="14.25" customHeight="1" x14ac:dyDescent="0.35">
      <c r="A660" s="10" t="s">
        <v>1084</v>
      </c>
      <c r="B660" s="11">
        <v>45443</v>
      </c>
      <c r="C660" s="10" t="s">
        <v>1085</v>
      </c>
      <c r="D660" s="10" t="s">
        <v>128</v>
      </c>
      <c r="E660" s="10" t="s">
        <v>267</v>
      </c>
      <c r="F660" s="12">
        <v>10</v>
      </c>
      <c r="G660" s="12">
        <v>1080</v>
      </c>
      <c r="H660" s="12">
        <v>14.5</v>
      </c>
      <c r="I660" s="12">
        <v>9234</v>
      </c>
      <c r="J660" s="10" t="s">
        <v>51</v>
      </c>
      <c r="K660" s="10" t="s">
        <v>76</v>
      </c>
      <c r="L660" t="str">
        <f>IFERROR(VLOOKUP(D660,Products!A:F,3,0),"")</f>
        <v>Home</v>
      </c>
      <c r="M660" t="str">
        <f>IFERROR(VLOOKUP(E660,Sales_Reps!A:E,3,0),"")</f>
        <v>East</v>
      </c>
      <c r="N660" t="str">
        <f>IFERROR(VLOOKUP(C660,Customers!A:F,5,0),"")</f>
        <v>Corporate</v>
      </c>
      <c r="O660">
        <f>IFERROR(VLOOKUP(C660,Customers!A:F,3,0),"")</f>
        <v>46</v>
      </c>
      <c r="P660">
        <f>IFERROR(VLOOKUP(D660,Products!A:F,4,0),"")</f>
        <v>519</v>
      </c>
      <c r="Q660" t="b">
        <f>IFERROR(VLOOKUP(D660,Products!A:F,6,0),"")</f>
        <v>1</v>
      </c>
      <c r="R660">
        <f t="shared" si="30"/>
        <v>0.51944444444444449</v>
      </c>
      <c r="S660">
        <f t="shared" si="31"/>
        <v>1</v>
      </c>
      <c r="T660">
        <f>IF(AND(S660&gt;1,COUNTIF($A$2:A660,A660)=1),1,0)</f>
        <v>0</v>
      </c>
      <c r="U660">
        <f>COUNTIF(Customers!$A$2:$A$301,C660)</f>
        <v>1</v>
      </c>
      <c r="V660">
        <f t="shared" si="32"/>
        <v>0</v>
      </c>
    </row>
    <row r="661" spans="1:22" ht="14.25" customHeight="1" x14ac:dyDescent="0.35">
      <c r="A661" s="10" t="s">
        <v>1086</v>
      </c>
      <c r="B661" s="11">
        <v>45377</v>
      </c>
      <c r="C661" s="10" t="s">
        <v>590</v>
      </c>
      <c r="D661" s="10" t="s">
        <v>102</v>
      </c>
      <c r="E661" s="10" t="s">
        <v>193</v>
      </c>
      <c r="F661" s="12">
        <v>7</v>
      </c>
      <c r="G661" s="12">
        <v>2600</v>
      </c>
      <c r="H661" s="12">
        <v>21</v>
      </c>
      <c r="I661" s="12">
        <v>14378</v>
      </c>
      <c r="J661" s="10" t="s">
        <v>51</v>
      </c>
      <c r="K661" s="10" t="s">
        <v>63</v>
      </c>
      <c r="L661" t="str">
        <f>IFERROR(VLOOKUP(D661,Products!A:F,3,0),"")</f>
        <v>Electronics</v>
      </c>
      <c r="M661" t="str">
        <f>IFERROR(VLOOKUP(E661,Sales_Reps!A:E,3,0),"")</f>
        <v>West</v>
      </c>
      <c r="N661" t="str">
        <f>IFERROR(VLOOKUP(C661,Customers!A:F,5,0),"")</f>
        <v>Retail</v>
      </c>
      <c r="O661">
        <f>IFERROR(VLOOKUP(C661,Customers!A:F,3,0),"")</f>
        <v>40</v>
      </c>
      <c r="P661">
        <f>IFERROR(VLOOKUP(D661,Products!A:F,4,0),"")</f>
        <v>1052</v>
      </c>
      <c r="Q661" t="b">
        <f>IFERROR(VLOOKUP(D661,Products!A:F,6,0),"")</f>
        <v>1</v>
      </c>
      <c r="R661">
        <f t="shared" si="30"/>
        <v>0.5953846153846154</v>
      </c>
      <c r="S661">
        <f t="shared" si="31"/>
        <v>1</v>
      </c>
      <c r="T661">
        <f>IF(AND(S661&gt;1,COUNTIF($A$2:A661,A661)=1),1,0)</f>
        <v>0</v>
      </c>
      <c r="U661">
        <f>COUNTIF(Customers!$A$2:$A$301,C661)</f>
        <v>1</v>
      </c>
      <c r="V661">
        <f t="shared" si="32"/>
        <v>0</v>
      </c>
    </row>
    <row r="662" spans="1:22" ht="14.25" customHeight="1" x14ac:dyDescent="0.35">
      <c r="A662" s="10" t="s">
        <v>1087</v>
      </c>
      <c r="B662" s="11">
        <v>45622</v>
      </c>
      <c r="C662" s="10" t="s">
        <v>69</v>
      </c>
      <c r="D662" s="10" t="s">
        <v>102</v>
      </c>
      <c r="E662" s="10" t="s">
        <v>152</v>
      </c>
      <c r="F662" s="12">
        <v>7</v>
      </c>
      <c r="G662" s="12">
        <v>2600</v>
      </c>
      <c r="H662" s="12">
        <v>6.7</v>
      </c>
      <c r="I662" s="12">
        <v>16980.599999999999</v>
      </c>
      <c r="J662" s="10" t="s">
        <v>57</v>
      </c>
      <c r="K662" s="10" t="s">
        <v>58</v>
      </c>
      <c r="L662" t="str">
        <f>IFERROR(VLOOKUP(D662,Products!A:F,3,0),"")</f>
        <v>Electronics</v>
      </c>
      <c r="M662" t="str">
        <f>IFERROR(VLOOKUP(E662,Sales_Reps!A:E,3,0),"")</f>
        <v>South</v>
      </c>
      <c r="N662" t="str">
        <f>IFERROR(VLOOKUP(C662,Customers!A:F,5,0),"")</f>
        <v>Retail</v>
      </c>
      <c r="O662">
        <f>IFERROR(VLOOKUP(C662,Customers!A:F,3,0),"")</f>
        <v>36</v>
      </c>
      <c r="P662">
        <f>IFERROR(VLOOKUP(D662,Products!A:F,4,0),"")</f>
        <v>1052</v>
      </c>
      <c r="Q662" t="b">
        <f>IFERROR(VLOOKUP(D662,Products!A:F,6,0),"")</f>
        <v>1</v>
      </c>
      <c r="R662">
        <f t="shared" si="30"/>
        <v>0.5953846153846154</v>
      </c>
      <c r="S662">
        <f t="shared" si="31"/>
        <v>1</v>
      </c>
      <c r="T662">
        <f>IF(AND(S662&gt;1,COUNTIF($A$2:A662,A662)=1),1,0)</f>
        <v>0</v>
      </c>
      <c r="U662">
        <f>COUNTIF(Customers!$A$2:$A$301,C662)</f>
        <v>1</v>
      </c>
      <c r="V662">
        <f t="shared" si="32"/>
        <v>0</v>
      </c>
    </row>
    <row r="663" spans="1:22" ht="14.25" customHeight="1" x14ac:dyDescent="0.35">
      <c r="A663" s="10" t="s">
        <v>1088</v>
      </c>
      <c r="B663" s="11">
        <v>45403</v>
      </c>
      <c r="C663" s="10" t="s">
        <v>183</v>
      </c>
      <c r="D663" s="10" t="s">
        <v>55</v>
      </c>
      <c r="E663" s="10" t="s">
        <v>118</v>
      </c>
      <c r="F663" s="12">
        <v>8</v>
      </c>
      <c r="G663" s="12">
        <v>820</v>
      </c>
      <c r="H663" s="12">
        <v>17.8</v>
      </c>
      <c r="I663" s="12">
        <v>5392.32</v>
      </c>
      <c r="J663" s="10" t="s">
        <v>57</v>
      </c>
      <c r="K663" s="10" t="s">
        <v>63</v>
      </c>
      <c r="L663" t="str">
        <f>IFERROR(VLOOKUP(D663,Products!A:F,3,0),"")</f>
        <v>Apparel</v>
      </c>
      <c r="M663" t="str">
        <f>IFERROR(VLOOKUP(E663,Sales_Reps!A:E,3,0),"")</f>
        <v>East</v>
      </c>
      <c r="N663" t="str">
        <f>IFERROR(VLOOKUP(C663,Customers!A:F,5,0),"")</f>
        <v>SMB</v>
      </c>
      <c r="O663">
        <f>IFERROR(VLOOKUP(C663,Customers!A:F,3,0),"")</f>
        <v>50</v>
      </c>
      <c r="P663">
        <f>IFERROR(VLOOKUP(D663,Products!A:F,4,0),"")</f>
        <v>391</v>
      </c>
      <c r="Q663" t="b">
        <f>IFERROR(VLOOKUP(D663,Products!A:F,6,0),"")</f>
        <v>1</v>
      </c>
      <c r="R663">
        <f t="shared" si="30"/>
        <v>0.52317073170731709</v>
      </c>
      <c r="S663">
        <f t="shared" si="31"/>
        <v>1</v>
      </c>
      <c r="T663">
        <f>IF(AND(S663&gt;1,COUNTIF($A$2:A663,A663)=1),1,0)</f>
        <v>0</v>
      </c>
      <c r="U663">
        <f>COUNTIF(Customers!$A$2:$A$301,C663)</f>
        <v>1</v>
      </c>
      <c r="V663">
        <f t="shared" si="32"/>
        <v>0</v>
      </c>
    </row>
    <row r="664" spans="1:22" ht="14.25" customHeight="1" x14ac:dyDescent="0.35">
      <c r="A664" s="10" t="s">
        <v>1089</v>
      </c>
      <c r="B664" s="11">
        <v>45532</v>
      </c>
      <c r="C664" s="10" t="s">
        <v>482</v>
      </c>
      <c r="D664" s="10" t="s">
        <v>79</v>
      </c>
      <c r="E664" s="10" t="s">
        <v>168</v>
      </c>
      <c r="F664" s="12">
        <v>3</v>
      </c>
      <c r="G664" s="12">
        <v>960</v>
      </c>
      <c r="H664" s="12">
        <v>17.8</v>
      </c>
      <c r="I664" s="12">
        <v>2367.36</v>
      </c>
      <c r="J664" s="10" t="s">
        <v>51</v>
      </c>
      <c r="K664" s="10" t="s">
        <v>52</v>
      </c>
      <c r="L664" t="str">
        <f>IFERROR(VLOOKUP(D664,Products!A:F,3,0),"")</f>
        <v>Sports</v>
      </c>
      <c r="M664" t="str">
        <f>IFERROR(VLOOKUP(E664,Sales_Reps!A:E,3,0),"")</f>
        <v>South</v>
      </c>
      <c r="N664" t="str">
        <f>IFERROR(VLOOKUP(C664,Customers!A:F,5,0),"")</f>
        <v>Retail</v>
      </c>
      <c r="O664">
        <f>IFERROR(VLOOKUP(C664,Customers!A:F,3,0),"")</f>
        <v>49</v>
      </c>
      <c r="P664">
        <f>IFERROR(VLOOKUP(D664,Products!A:F,4,0),"")</f>
        <v>705</v>
      </c>
      <c r="Q664" t="b">
        <f>IFERROR(VLOOKUP(D664,Products!A:F,6,0),"")</f>
        <v>1</v>
      </c>
      <c r="R664">
        <f t="shared" si="30"/>
        <v>0.265625</v>
      </c>
      <c r="S664">
        <f t="shared" si="31"/>
        <v>1</v>
      </c>
      <c r="T664">
        <f>IF(AND(S664&gt;1,COUNTIF($A$2:A664,A664)=1),1,0)</f>
        <v>0</v>
      </c>
      <c r="U664">
        <f>COUNTIF(Customers!$A$2:$A$301,C664)</f>
        <v>1</v>
      </c>
      <c r="V664">
        <f t="shared" si="32"/>
        <v>0</v>
      </c>
    </row>
    <row r="665" spans="1:22" ht="14.25" customHeight="1" x14ac:dyDescent="0.35">
      <c r="A665" s="10" t="s">
        <v>1090</v>
      </c>
      <c r="B665" s="11">
        <v>45301</v>
      </c>
      <c r="C665" s="10" t="s">
        <v>230</v>
      </c>
      <c r="D665" s="10" t="s">
        <v>223</v>
      </c>
      <c r="E665" s="10" t="s">
        <v>118</v>
      </c>
      <c r="F665" s="12">
        <v>2</v>
      </c>
      <c r="G665" s="12">
        <v>1540</v>
      </c>
      <c r="H665" s="12">
        <v>1.8</v>
      </c>
      <c r="I665" s="12">
        <v>3024.56</v>
      </c>
      <c r="J665" s="10" t="s">
        <v>104</v>
      </c>
      <c r="K665" s="10" t="s">
        <v>63</v>
      </c>
      <c r="L665" t="str">
        <f>IFERROR(VLOOKUP(D665,Products!A:F,3,0),"")</f>
        <v>Beauty</v>
      </c>
      <c r="M665" t="str">
        <f>IFERROR(VLOOKUP(E665,Sales_Reps!A:E,3,0),"")</f>
        <v>East</v>
      </c>
      <c r="N665" t="str">
        <f>IFERROR(VLOOKUP(C665,Customers!A:F,5,0),"")</f>
        <v>Corporate</v>
      </c>
      <c r="O665">
        <f>IFERROR(VLOOKUP(C665,Customers!A:F,3,0),"")</f>
        <v>55</v>
      </c>
      <c r="P665">
        <f>IFERROR(VLOOKUP(D665,Products!A:F,4,0),"")</f>
        <v>647</v>
      </c>
      <c r="Q665" t="b">
        <f>IFERROR(VLOOKUP(D665,Products!A:F,6,0),"")</f>
        <v>0</v>
      </c>
      <c r="R665">
        <f t="shared" si="30"/>
        <v>0.57987012987012987</v>
      </c>
      <c r="S665">
        <f t="shared" si="31"/>
        <v>1</v>
      </c>
      <c r="T665">
        <f>IF(AND(S665&gt;1,COUNTIF($A$2:A665,A665)=1),1,0)</f>
        <v>0</v>
      </c>
      <c r="U665">
        <f>COUNTIF(Customers!$A$2:$A$301,C665)</f>
        <v>1</v>
      </c>
      <c r="V665">
        <f t="shared" si="32"/>
        <v>0</v>
      </c>
    </row>
    <row r="666" spans="1:22" ht="14.25" customHeight="1" x14ac:dyDescent="0.35">
      <c r="A666" s="10" t="s">
        <v>1091</v>
      </c>
      <c r="B666" s="11">
        <v>45622</v>
      </c>
      <c r="C666" s="10" t="s">
        <v>970</v>
      </c>
      <c r="D666" s="10" t="s">
        <v>479</v>
      </c>
      <c r="E666" s="10" t="s">
        <v>134</v>
      </c>
      <c r="F666" s="12">
        <v>5</v>
      </c>
      <c r="G666" s="12">
        <v>6940</v>
      </c>
      <c r="H666" s="12">
        <v>2.9</v>
      </c>
      <c r="I666" s="12">
        <v>33693.699999999997</v>
      </c>
      <c r="J666" s="10" t="s">
        <v>51</v>
      </c>
      <c r="K666" s="10" t="s">
        <v>81</v>
      </c>
      <c r="L666" t="str">
        <f>IFERROR(VLOOKUP(D666,Products!A:F,3,0),"")</f>
        <v>Sports</v>
      </c>
      <c r="M666" t="str">
        <f>IFERROR(VLOOKUP(E666,Sales_Reps!A:E,3,0),"")</f>
        <v>West</v>
      </c>
      <c r="N666" t="str">
        <f>IFERROR(VLOOKUP(C666,Customers!A:F,5,0),"")</f>
        <v>SMB</v>
      </c>
      <c r="O666">
        <f>IFERROR(VLOOKUP(C666,Customers!A:F,3,0),"")</f>
        <v>44</v>
      </c>
      <c r="P666">
        <f>IFERROR(VLOOKUP(D666,Products!A:F,4,0),"")</f>
        <v>2827</v>
      </c>
      <c r="Q666" t="b">
        <f>IFERROR(VLOOKUP(D666,Products!A:F,6,0),"")</f>
        <v>1</v>
      </c>
      <c r="R666">
        <f t="shared" si="30"/>
        <v>0.5926512968299712</v>
      </c>
      <c r="S666">
        <f t="shared" si="31"/>
        <v>1</v>
      </c>
      <c r="T666">
        <f>IF(AND(S666&gt;1,COUNTIF($A$2:A666,A666)=1),1,0)</f>
        <v>0</v>
      </c>
      <c r="U666">
        <f>COUNTIF(Customers!$A$2:$A$301,C666)</f>
        <v>1</v>
      </c>
      <c r="V666">
        <f t="shared" si="32"/>
        <v>0</v>
      </c>
    </row>
    <row r="667" spans="1:22" ht="14.25" customHeight="1" x14ac:dyDescent="0.35">
      <c r="A667" s="10" t="s">
        <v>1092</v>
      </c>
      <c r="B667" s="11">
        <v>45531</v>
      </c>
      <c r="C667" s="10" t="s">
        <v>342</v>
      </c>
      <c r="D667" s="10" t="s">
        <v>223</v>
      </c>
      <c r="E667" s="10" t="s">
        <v>216</v>
      </c>
      <c r="F667" s="12">
        <v>5</v>
      </c>
      <c r="G667" s="12">
        <v>1540</v>
      </c>
      <c r="H667" s="12">
        <v>28.8</v>
      </c>
      <c r="I667" s="12">
        <v>5482.4</v>
      </c>
      <c r="J667" s="10" t="s">
        <v>51</v>
      </c>
      <c r="K667" s="10" t="s">
        <v>58</v>
      </c>
      <c r="L667" t="str">
        <f>IFERROR(VLOOKUP(D667,Products!A:F,3,0),"")</f>
        <v>Beauty</v>
      </c>
      <c r="M667" t="str">
        <f>IFERROR(VLOOKUP(E667,Sales_Reps!A:E,3,0),"")</f>
        <v>South</v>
      </c>
      <c r="N667" t="str">
        <f>IFERROR(VLOOKUP(C667,Customers!A:F,5,0),"")</f>
        <v>SMB</v>
      </c>
      <c r="O667">
        <f>IFERROR(VLOOKUP(C667,Customers!A:F,3,0),"")</f>
        <v>53</v>
      </c>
      <c r="P667">
        <f>IFERROR(VLOOKUP(D667,Products!A:F,4,0),"")</f>
        <v>647</v>
      </c>
      <c r="Q667" t="b">
        <f>IFERROR(VLOOKUP(D667,Products!A:F,6,0),"")</f>
        <v>0</v>
      </c>
      <c r="R667">
        <f t="shared" si="30"/>
        <v>0.57987012987012987</v>
      </c>
      <c r="S667">
        <f t="shared" si="31"/>
        <v>1</v>
      </c>
      <c r="T667">
        <f>IF(AND(S667&gt;1,COUNTIF($A$2:A667,A667)=1),1,0)</f>
        <v>0</v>
      </c>
      <c r="U667">
        <f>COUNTIF(Customers!$A$2:$A$301,C667)</f>
        <v>1</v>
      </c>
      <c r="V667">
        <f t="shared" si="32"/>
        <v>0</v>
      </c>
    </row>
    <row r="668" spans="1:22" ht="14.25" customHeight="1" x14ac:dyDescent="0.35">
      <c r="A668" s="10" t="s">
        <v>1093</v>
      </c>
      <c r="B668" s="11">
        <v>45326</v>
      </c>
      <c r="C668" s="10" t="s">
        <v>669</v>
      </c>
      <c r="D668" s="10" t="s">
        <v>190</v>
      </c>
      <c r="E668" s="10" t="s">
        <v>289</v>
      </c>
      <c r="F668" s="12">
        <v>8</v>
      </c>
      <c r="G668" s="12">
        <v>3730</v>
      </c>
      <c r="H668" s="12">
        <v>21.1</v>
      </c>
      <c r="I668" s="12">
        <v>23543.759999999998</v>
      </c>
      <c r="J668" s="10" t="s">
        <v>51</v>
      </c>
      <c r="K668" s="10" t="s">
        <v>63</v>
      </c>
      <c r="L668" t="str">
        <f>IFERROR(VLOOKUP(D668,Products!A:F,3,0),"")</f>
        <v>Home</v>
      </c>
      <c r="M668" t="str">
        <f>IFERROR(VLOOKUP(E668,Sales_Reps!A:E,3,0),"")</f>
        <v>South</v>
      </c>
      <c r="N668" t="str">
        <f>IFERROR(VLOOKUP(C668,Customers!A:F,5,0),"")</f>
        <v>Retail</v>
      </c>
      <c r="O668">
        <f>IFERROR(VLOOKUP(C668,Customers!A:F,3,0),"")</f>
        <v>53</v>
      </c>
      <c r="P668">
        <f>IFERROR(VLOOKUP(D668,Products!A:F,4,0),"")</f>
        <v>2135</v>
      </c>
      <c r="Q668" t="b">
        <f>IFERROR(VLOOKUP(D668,Products!A:F,6,0),"")</f>
        <v>1</v>
      </c>
      <c r="R668">
        <f t="shared" si="30"/>
        <v>0.42761394101876676</v>
      </c>
      <c r="S668">
        <f t="shared" si="31"/>
        <v>1</v>
      </c>
      <c r="T668">
        <f>IF(AND(S668&gt;1,COUNTIF($A$2:A668,A668)=1),1,0)</f>
        <v>0</v>
      </c>
      <c r="U668">
        <f>COUNTIF(Customers!$A$2:$A$301,C668)</f>
        <v>1</v>
      </c>
      <c r="V668">
        <f t="shared" si="32"/>
        <v>0</v>
      </c>
    </row>
    <row r="669" spans="1:22" ht="14.25" customHeight="1" x14ac:dyDescent="0.35">
      <c r="A669" s="10" t="s">
        <v>1094</v>
      </c>
      <c r="B669" s="11">
        <v>45635</v>
      </c>
      <c r="C669" s="10" t="s">
        <v>211</v>
      </c>
      <c r="D669" s="10" t="s">
        <v>164</v>
      </c>
      <c r="E669" s="10" t="s">
        <v>118</v>
      </c>
      <c r="F669" s="12">
        <v>7</v>
      </c>
      <c r="G669" s="12">
        <v>2760</v>
      </c>
      <c r="H669" s="12">
        <v>1.2</v>
      </c>
      <c r="I669" s="12">
        <v>19088.16</v>
      </c>
      <c r="J669" s="10" t="s">
        <v>104</v>
      </c>
      <c r="K669" s="10" t="s">
        <v>81</v>
      </c>
      <c r="L669" t="str">
        <f>IFERROR(VLOOKUP(D669,Products!A:F,3,0),"")</f>
        <v>Grocery</v>
      </c>
      <c r="M669" t="str">
        <f>IFERROR(VLOOKUP(E669,Sales_Reps!A:E,3,0),"")</f>
        <v>East</v>
      </c>
      <c r="N669" t="str">
        <f>IFERROR(VLOOKUP(C669,Customers!A:F,5,0),"")</f>
        <v>Retail</v>
      </c>
      <c r="O669">
        <f>IFERROR(VLOOKUP(C669,Customers!A:F,3,0),"")</f>
        <v>34</v>
      </c>
      <c r="P669">
        <f>IFERROR(VLOOKUP(D669,Products!A:F,4,0),"")</f>
        <v>1435</v>
      </c>
      <c r="Q669" t="b">
        <f>IFERROR(VLOOKUP(D669,Products!A:F,6,0),"")</f>
        <v>1</v>
      </c>
      <c r="R669">
        <f t="shared" si="30"/>
        <v>0.48007246376811596</v>
      </c>
      <c r="S669">
        <f t="shared" si="31"/>
        <v>1</v>
      </c>
      <c r="T669">
        <f>IF(AND(S669&gt;1,COUNTIF($A$2:A669,A669)=1),1,0)</f>
        <v>0</v>
      </c>
      <c r="U669">
        <f>COUNTIF(Customers!$A$2:$A$301,C669)</f>
        <v>1</v>
      </c>
      <c r="V669">
        <f t="shared" si="32"/>
        <v>19088.16</v>
      </c>
    </row>
    <row r="670" spans="1:22" ht="14.25" customHeight="1" x14ac:dyDescent="0.35">
      <c r="A670" s="10" t="s">
        <v>1095</v>
      </c>
      <c r="B670" s="11">
        <v>45431</v>
      </c>
      <c r="C670" s="10" t="s">
        <v>326</v>
      </c>
      <c r="D670" s="10" t="s">
        <v>372</v>
      </c>
      <c r="E670" s="10" t="s">
        <v>156</v>
      </c>
      <c r="F670" s="12">
        <v>3</v>
      </c>
      <c r="G670" s="12">
        <v>3970</v>
      </c>
      <c r="H670" s="12">
        <v>18.3</v>
      </c>
      <c r="I670" s="12">
        <v>9730.4699999999993</v>
      </c>
      <c r="J670" s="10" t="s">
        <v>51</v>
      </c>
      <c r="K670" s="10" t="s">
        <v>58</v>
      </c>
      <c r="L670" t="str">
        <f>IFERROR(VLOOKUP(D670,Products!A:F,3,0),"")</f>
        <v>Electronics</v>
      </c>
      <c r="M670" t="str">
        <f>IFERROR(VLOOKUP(E670,Sales_Reps!A:E,3,0),"")</f>
        <v>East</v>
      </c>
      <c r="N670" t="str">
        <f>IFERROR(VLOOKUP(C670,Customers!A:F,5,0),"")</f>
        <v>Corporate</v>
      </c>
      <c r="O670">
        <f>IFERROR(VLOOKUP(C670,Customers!A:F,3,0),"")</f>
        <v>51</v>
      </c>
      <c r="P670">
        <f>IFERROR(VLOOKUP(D670,Products!A:F,4,0),"")</f>
        <v>2865</v>
      </c>
      <c r="Q670" t="b">
        <f>IFERROR(VLOOKUP(D670,Products!A:F,6,0),"")</f>
        <v>1</v>
      </c>
      <c r="R670">
        <f t="shared" si="30"/>
        <v>0.27833753148614609</v>
      </c>
      <c r="S670">
        <f t="shared" si="31"/>
        <v>1</v>
      </c>
      <c r="T670">
        <f>IF(AND(S670&gt;1,COUNTIF($A$2:A670,A670)=1),1,0)</f>
        <v>0</v>
      </c>
      <c r="U670">
        <f>COUNTIF(Customers!$A$2:$A$301,C670)</f>
        <v>1</v>
      </c>
      <c r="V670">
        <f t="shared" si="32"/>
        <v>0</v>
      </c>
    </row>
    <row r="671" spans="1:22" ht="14.25" customHeight="1" x14ac:dyDescent="0.35">
      <c r="A671" s="10" t="s">
        <v>1096</v>
      </c>
      <c r="B671" s="11">
        <v>45393</v>
      </c>
      <c r="C671" s="10" t="s">
        <v>358</v>
      </c>
      <c r="D671" s="10" t="s">
        <v>198</v>
      </c>
      <c r="E671" s="10" t="s">
        <v>118</v>
      </c>
      <c r="F671" s="12">
        <v>4</v>
      </c>
      <c r="G671" s="12">
        <v>3780</v>
      </c>
      <c r="H671" s="12">
        <v>24.6</v>
      </c>
      <c r="I671" s="12">
        <v>11400.48</v>
      </c>
      <c r="J671" s="10" t="s">
        <v>51</v>
      </c>
      <c r="K671" s="10" t="s">
        <v>81</v>
      </c>
      <c r="L671" t="str">
        <f>IFERROR(VLOOKUP(D671,Products!A:F,3,0),"")</f>
        <v>Grocery</v>
      </c>
      <c r="M671" t="str">
        <f>IFERROR(VLOOKUP(E671,Sales_Reps!A:E,3,0),"")</f>
        <v>East</v>
      </c>
      <c r="N671" t="str">
        <f>IFERROR(VLOOKUP(C671,Customers!A:F,5,0),"")</f>
        <v>SMB</v>
      </c>
      <c r="O671">
        <f>IFERROR(VLOOKUP(C671,Customers!A:F,3,0),"")</f>
        <v>28</v>
      </c>
      <c r="P671">
        <f>IFERROR(VLOOKUP(D671,Products!A:F,4,0),"")</f>
        <v>2436</v>
      </c>
      <c r="Q671" t="b">
        <f>IFERROR(VLOOKUP(D671,Products!A:F,6,0),"")</f>
        <v>1</v>
      </c>
      <c r="R671">
        <f t="shared" si="30"/>
        <v>0.35555555555555557</v>
      </c>
      <c r="S671">
        <f t="shared" si="31"/>
        <v>1</v>
      </c>
      <c r="T671">
        <f>IF(AND(S671&gt;1,COUNTIF($A$2:A671,A671)=1),1,0)</f>
        <v>0</v>
      </c>
      <c r="U671">
        <f>COUNTIF(Customers!$A$2:$A$301,C671)</f>
        <v>1</v>
      </c>
      <c r="V671">
        <f t="shared" si="32"/>
        <v>11400.48</v>
      </c>
    </row>
    <row r="672" spans="1:22" ht="14.25" customHeight="1" x14ac:dyDescent="0.35">
      <c r="A672" s="10" t="s">
        <v>1097</v>
      </c>
      <c r="B672" s="11">
        <v>45295</v>
      </c>
      <c r="C672" s="10" t="s">
        <v>799</v>
      </c>
      <c r="D672" s="10" t="s">
        <v>137</v>
      </c>
      <c r="E672" s="10" t="s">
        <v>71</v>
      </c>
      <c r="F672" s="12">
        <v>10</v>
      </c>
      <c r="G672" s="12">
        <v>2720</v>
      </c>
      <c r="H672" s="12">
        <v>12.8</v>
      </c>
      <c r="I672" s="12">
        <v>23718.400000000001</v>
      </c>
      <c r="J672" s="10" t="s">
        <v>51</v>
      </c>
      <c r="K672" s="10" t="s">
        <v>81</v>
      </c>
      <c r="L672" t="str">
        <f>IFERROR(VLOOKUP(D672,Products!A:F,3,0),"")</f>
        <v>Apparel</v>
      </c>
      <c r="M672" t="str">
        <f>IFERROR(VLOOKUP(E672,Sales_Reps!A:E,3,0),"")</f>
        <v>North</v>
      </c>
      <c r="N672" t="str">
        <f>IFERROR(VLOOKUP(C672,Customers!A:F,5,0),"")</f>
        <v>Retail</v>
      </c>
      <c r="O672">
        <f>IFERROR(VLOOKUP(C672,Customers!A:F,3,0),"")</f>
        <v>52</v>
      </c>
      <c r="P672">
        <f>IFERROR(VLOOKUP(D672,Products!A:F,4,0),"")</f>
        <v>1962</v>
      </c>
      <c r="Q672" t="b">
        <f>IFERROR(VLOOKUP(D672,Products!A:F,6,0),"")</f>
        <v>1</v>
      </c>
      <c r="R672">
        <f t="shared" si="30"/>
        <v>0.2786764705882353</v>
      </c>
      <c r="S672">
        <f t="shared" si="31"/>
        <v>1</v>
      </c>
      <c r="T672">
        <f>IF(AND(S672&gt;1,COUNTIF($A$2:A672,A672)=1),1,0)</f>
        <v>0</v>
      </c>
      <c r="U672">
        <f>COUNTIF(Customers!$A$2:$A$301,C672)</f>
        <v>1</v>
      </c>
      <c r="V672">
        <f t="shared" si="32"/>
        <v>0</v>
      </c>
    </row>
    <row r="673" spans="1:22" ht="14.25" customHeight="1" x14ac:dyDescent="0.35">
      <c r="A673" s="10" t="s">
        <v>1098</v>
      </c>
      <c r="B673" s="11">
        <v>45371</v>
      </c>
      <c r="C673" s="10" t="s">
        <v>300</v>
      </c>
      <c r="D673" s="10" t="s">
        <v>372</v>
      </c>
      <c r="E673" s="10" t="s">
        <v>202</v>
      </c>
      <c r="F673" s="12">
        <v>5</v>
      </c>
      <c r="G673" s="12">
        <v>3970</v>
      </c>
      <c r="H673" s="12">
        <v>5.9</v>
      </c>
      <c r="I673" s="12">
        <v>18678.849999999999</v>
      </c>
      <c r="J673" s="10" t="s">
        <v>51</v>
      </c>
      <c r="K673" s="10" t="s">
        <v>76</v>
      </c>
      <c r="L673" t="str">
        <f>IFERROR(VLOOKUP(D673,Products!A:F,3,0),"")</f>
        <v>Electronics</v>
      </c>
      <c r="M673" t="str">
        <f>IFERROR(VLOOKUP(E673,Sales_Reps!A:E,3,0),"")</f>
        <v>East</v>
      </c>
      <c r="N673" t="str">
        <f>IFERROR(VLOOKUP(C673,Customers!A:F,5,0),"")</f>
        <v>Retail</v>
      </c>
      <c r="O673">
        <f>IFERROR(VLOOKUP(C673,Customers!A:F,3,0),"")</f>
        <v>49</v>
      </c>
      <c r="P673">
        <f>IFERROR(VLOOKUP(D673,Products!A:F,4,0),"")</f>
        <v>2865</v>
      </c>
      <c r="Q673" t="b">
        <f>IFERROR(VLOOKUP(D673,Products!A:F,6,0),"")</f>
        <v>1</v>
      </c>
      <c r="R673">
        <f t="shared" si="30"/>
        <v>0.27833753148614609</v>
      </c>
      <c r="S673">
        <f t="shared" si="31"/>
        <v>1</v>
      </c>
      <c r="T673">
        <f>IF(AND(S673&gt;1,COUNTIF($A$2:A673,A673)=1),1,0)</f>
        <v>0</v>
      </c>
      <c r="U673">
        <f>COUNTIF(Customers!$A$2:$A$301,C673)</f>
        <v>1</v>
      </c>
      <c r="V673">
        <f t="shared" si="32"/>
        <v>0</v>
      </c>
    </row>
    <row r="674" spans="1:22" ht="14.25" customHeight="1" x14ac:dyDescent="0.35">
      <c r="A674" s="10" t="s">
        <v>1099</v>
      </c>
      <c r="B674" s="11">
        <v>45601</v>
      </c>
      <c r="C674" s="10" t="s">
        <v>106</v>
      </c>
      <c r="D674" s="10" t="s">
        <v>55</v>
      </c>
      <c r="E674" s="10" t="s">
        <v>237</v>
      </c>
      <c r="F674" s="12">
        <v>3</v>
      </c>
      <c r="G674" s="12">
        <v>820</v>
      </c>
      <c r="H674" s="12">
        <v>19.399999999999999</v>
      </c>
      <c r="I674" s="12">
        <v>1982.76</v>
      </c>
      <c r="J674" s="10" t="s">
        <v>51</v>
      </c>
      <c r="K674" s="10" t="s">
        <v>52</v>
      </c>
      <c r="L674" t="str">
        <f>IFERROR(VLOOKUP(D674,Products!A:F,3,0),"")</f>
        <v>Apparel</v>
      </c>
      <c r="M674" t="str">
        <f>IFERROR(VLOOKUP(E674,Sales_Reps!A:E,3,0),"")</f>
        <v>South</v>
      </c>
      <c r="N674" t="str">
        <f>IFERROR(VLOOKUP(C674,Customers!A:F,5,0),"")</f>
        <v>SMB</v>
      </c>
      <c r="O674">
        <f>IFERROR(VLOOKUP(C674,Customers!A:F,3,0),"")</f>
        <v>39</v>
      </c>
      <c r="P674">
        <f>IFERROR(VLOOKUP(D674,Products!A:F,4,0),"")</f>
        <v>391</v>
      </c>
      <c r="Q674" t="b">
        <f>IFERROR(VLOOKUP(D674,Products!A:F,6,0),"")</f>
        <v>1</v>
      </c>
      <c r="R674">
        <f t="shared" si="30"/>
        <v>0.52317073170731709</v>
      </c>
      <c r="S674">
        <f t="shared" si="31"/>
        <v>1</v>
      </c>
      <c r="T674">
        <f>IF(AND(S674&gt;1,COUNTIF($A$2:A674,A674)=1),1,0)</f>
        <v>0</v>
      </c>
      <c r="U674">
        <f>COUNTIF(Customers!$A$2:$A$301,C674)</f>
        <v>1</v>
      </c>
      <c r="V674">
        <f t="shared" si="32"/>
        <v>0</v>
      </c>
    </row>
    <row r="675" spans="1:22" ht="14.25" customHeight="1" x14ac:dyDescent="0.35">
      <c r="A675" s="10" t="s">
        <v>1100</v>
      </c>
      <c r="B675" s="11">
        <v>45471</v>
      </c>
      <c r="C675" s="10" t="s">
        <v>519</v>
      </c>
      <c r="D675" s="10" t="s">
        <v>256</v>
      </c>
      <c r="E675" s="10" t="s">
        <v>96</v>
      </c>
      <c r="F675" s="12">
        <v>7</v>
      </c>
      <c r="G675" s="12">
        <v>620</v>
      </c>
      <c r="H675" s="12">
        <v>9.9</v>
      </c>
      <c r="I675" s="12">
        <v>3910.34</v>
      </c>
      <c r="J675" s="10" t="s">
        <v>51</v>
      </c>
      <c r="K675" s="10" t="s">
        <v>76</v>
      </c>
      <c r="L675" t="str">
        <f>IFERROR(VLOOKUP(D675,Products!A:F,3,0),"")</f>
        <v>Apparel</v>
      </c>
      <c r="M675" t="str">
        <f>IFERROR(VLOOKUP(E675,Sales_Reps!A:E,3,0),"")</f>
        <v>South</v>
      </c>
      <c r="N675" t="str">
        <f>IFERROR(VLOOKUP(C675,Customers!A:F,5,0),"")</f>
        <v>Retail</v>
      </c>
      <c r="O675">
        <f>IFERROR(VLOOKUP(C675,Customers!A:F,3,0),"")</f>
        <v>37</v>
      </c>
      <c r="P675">
        <f>IFERROR(VLOOKUP(D675,Products!A:F,4,0),"")</f>
        <v>396</v>
      </c>
      <c r="Q675" t="b">
        <f>IFERROR(VLOOKUP(D675,Products!A:F,6,0),"")</f>
        <v>1</v>
      </c>
      <c r="R675">
        <f t="shared" si="30"/>
        <v>0.36129032258064514</v>
      </c>
      <c r="S675">
        <f t="shared" si="31"/>
        <v>1</v>
      </c>
      <c r="T675">
        <f>IF(AND(S675&gt;1,COUNTIF($A$2:A675,A675)=1),1,0)</f>
        <v>0</v>
      </c>
      <c r="U675">
        <f>COUNTIF(Customers!$A$2:$A$301,C675)</f>
        <v>1</v>
      </c>
      <c r="V675">
        <f t="shared" si="32"/>
        <v>0</v>
      </c>
    </row>
    <row r="676" spans="1:22" ht="14.25" customHeight="1" x14ac:dyDescent="0.35">
      <c r="A676" s="10" t="s">
        <v>1101</v>
      </c>
      <c r="B676" s="11">
        <v>45318</v>
      </c>
      <c r="C676" s="10" t="s">
        <v>633</v>
      </c>
      <c r="D676" s="10" t="s">
        <v>350</v>
      </c>
      <c r="E676" s="10" t="s">
        <v>307</v>
      </c>
      <c r="F676" s="12">
        <v>8</v>
      </c>
      <c r="G676" s="12">
        <v>2290</v>
      </c>
      <c r="H676" s="12">
        <v>18.3</v>
      </c>
      <c r="I676" s="12">
        <v>14967.44</v>
      </c>
      <c r="J676" s="10" t="s">
        <v>51</v>
      </c>
      <c r="K676" s="10" t="s">
        <v>97</v>
      </c>
      <c r="L676" t="str">
        <f>IFERROR(VLOOKUP(D676,Products!A:F,3,0),"")</f>
        <v>Beauty</v>
      </c>
      <c r="M676" t="str">
        <f>IFERROR(VLOOKUP(E676,Sales_Reps!A:E,3,0),"")</f>
        <v>West</v>
      </c>
      <c r="N676" t="str">
        <f>IFERROR(VLOOKUP(C676,Customers!A:F,5,0),"")</f>
        <v>Retail</v>
      </c>
      <c r="O676">
        <f>IFERROR(VLOOKUP(C676,Customers!A:F,3,0),"")</f>
        <v>31</v>
      </c>
      <c r="P676">
        <f>IFERROR(VLOOKUP(D676,Products!A:F,4,0),"")</f>
        <v>1219</v>
      </c>
      <c r="Q676" t="b">
        <f>IFERROR(VLOOKUP(D676,Products!A:F,6,0),"")</f>
        <v>1</v>
      </c>
      <c r="R676">
        <f t="shared" si="30"/>
        <v>0.46768558951965067</v>
      </c>
      <c r="S676">
        <f t="shared" si="31"/>
        <v>1</v>
      </c>
      <c r="T676">
        <f>IF(AND(S676&gt;1,COUNTIF($A$2:A676,A676)=1),1,0)</f>
        <v>0</v>
      </c>
      <c r="U676">
        <f>COUNTIF(Customers!$A$2:$A$301,C676)</f>
        <v>1</v>
      </c>
      <c r="V676">
        <f t="shared" si="32"/>
        <v>0</v>
      </c>
    </row>
    <row r="677" spans="1:22" ht="14.25" customHeight="1" x14ac:dyDescent="0.35">
      <c r="A677" s="10" t="s">
        <v>1102</v>
      </c>
      <c r="B677" s="11">
        <v>45364</v>
      </c>
      <c r="C677" s="10" t="s">
        <v>531</v>
      </c>
      <c r="D677" s="10" t="s">
        <v>91</v>
      </c>
      <c r="E677" s="10" t="s">
        <v>75</v>
      </c>
      <c r="F677" s="12">
        <v>3</v>
      </c>
      <c r="G677" s="12">
        <v>970</v>
      </c>
      <c r="H677" s="12">
        <v>18.399999999999999</v>
      </c>
      <c r="I677" s="12">
        <v>2374.56</v>
      </c>
      <c r="J677" s="10" t="s">
        <v>51</v>
      </c>
      <c r="K677" s="10" t="s">
        <v>81</v>
      </c>
      <c r="L677" t="str">
        <f>IFERROR(VLOOKUP(D677,Products!A:F,3,0),"")</f>
        <v>Grocery</v>
      </c>
      <c r="M677" t="str">
        <f>IFERROR(VLOOKUP(E677,Sales_Reps!A:E,3,0),"")</f>
        <v>West</v>
      </c>
      <c r="N677" t="str">
        <f>IFERROR(VLOOKUP(C677,Customers!A:F,5,0),"")</f>
        <v>Corporate</v>
      </c>
      <c r="O677">
        <f>IFERROR(VLOOKUP(C677,Customers!A:F,3,0),"")</f>
        <v>41</v>
      </c>
      <c r="P677">
        <f>IFERROR(VLOOKUP(D677,Products!A:F,4,0),"")</f>
        <v>434</v>
      </c>
      <c r="Q677" t="b">
        <f>IFERROR(VLOOKUP(D677,Products!A:F,6,0),"")</f>
        <v>1</v>
      </c>
      <c r="R677">
        <f t="shared" si="30"/>
        <v>0.5525773195876289</v>
      </c>
      <c r="S677">
        <f t="shared" si="31"/>
        <v>1</v>
      </c>
      <c r="T677">
        <f>IF(AND(S677&gt;1,COUNTIF($A$2:A677,A677)=1),1,0)</f>
        <v>0</v>
      </c>
      <c r="U677">
        <f>COUNTIF(Customers!$A$2:$A$301,C677)</f>
        <v>1</v>
      </c>
      <c r="V677">
        <f t="shared" si="32"/>
        <v>2374.56</v>
      </c>
    </row>
    <row r="678" spans="1:22" ht="14.25" customHeight="1" x14ac:dyDescent="0.35">
      <c r="A678" s="10" t="s">
        <v>1103</v>
      </c>
      <c r="B678" s="11">
        <v>45419</v>
      </c>
      <c r="C678" s="10" t="s">
        <v>932</v>
      </c>
      <c r="D678" s="10" t="s">
        <v>74</v>
      </c>
      <c r="E678" s="10" t="s">
        <v>62</v>
      </c>
      <c r="F678" s="12">
        <v>2</v>
      </c>
      <c r="G678" s="12">
        <v>370</v>
      </c>
      <c r="H678" s="12">
        <v>8.9</v>
      </c>
      <c r="I678" s="12">
        <v>674.14</v>
      </c>
      <c r="J678" s="10" t="s">
        <v>51</v>
      </c>
      <c r="K678" s="10" t="s">
        <v>63</v>
      </c>
      <c r="L678" t="str">
        <f>IFERROR(VLOOKUP(D678,Products!A:F,3,0),"")</f>
        <v>Home</v>
      </c>
      <c r="M678" t="str">
        <f>IFERROR(VLOOKUP(E678,Sales_Reps!A:E,3,0),"")</f>
        <v>South</v>
      </c>
      <c r="N678" t="str">
        <f>IFERROR(VLOOKUP(C678,Customers!A:F,5,0),"")</f>
        <v>Retail</v>
      </c>
      <c r="O678">
        <f>IFERROR(VLOOKUP(C678,Customers!A:F,3,0),"")</f>
        <v>47</v>
      </c>
      <c r="P678">
        <f>IFERROR(VLOOKUP(D678,Products!A:F,4,0),"")</f>
        <v>288</v>
      </c>
      <c r="Q678" t="b">
        <f>IFERROR(VLOOKUP(D678,Products!A:F,6,0),"")</f>
        <v>1</v>
      </c>
      <c r="R678">
        <f t="shared" si="30"/>
        <v>0.22162162162162163</v>
      </c>
      <c r="S678">
        <f t="shared" si="31"/>
        <v>1</v>
      </c>
      <c r="T678">
        <f>IF(AND(S678&gt;1,COUNTIF($A$2:A678,A678)=1),1,0)</f>
        <v>0</v>
      </c>
      <c r="U678">
        <f>COUNTIF(Customers!$A$2:$A$301,C678)</f>
        <v>1</v>
      </c>
      <c r="V678">
        <f t="shared" si="32"/>
        <v>0</v>
      </c>
    </row>
    <row r="679" spans="1:22" ht="14.25" customHeight="1" x14ac:dyDescent="0.35">
      <c r="A679" s="10" t="s">
        <v>1104</v>
      </c>
      <c r="B679" s="11">
        <v>45632</v>
      </c>
      <c r="C679" s="10" t="s">
        <v>689</v>
      </c>
      <c r="D679" s="10" t="s">
        <v>84</v>
      </c>
      <c r="E679" s="10" t="s">
        <v>50</v>
      </c>
      <c r="F679" s="12">
        <v>1</v>
      </c>
      <c r="G679" s="12">
        <v>1430</v>
      </c>
      <c r="H679" s="12">
        <v>5.9</v>
      </c>
      <c r="I679" s="12">
        <v>1345.63</v>
      </c>
      <c r="J679" s="10" t="s">
        <v>104</v>
      </c>
      <c r="K679" s="10" t="s">
        <v>63</v>
      </c>
      <c r="L679" t="str">
        <f>IFERROR(VLOOKUP(D679,Products!A:F,3,0),"")</f>
        <v>Electronics</v>
      </c>
      <c r="M679" t="str">
        <f>IFERROR(VLOOKUP(E679,Sales_Reps!A:E,3,0),"")</f>
        <v>North</v>
      </c>
      <c r="N679" t="str">
        <f>IFERROR(VLOOKUP(C679,Customers!A:F,5,0),"")</f>
        <v>SMB</v>
      </c>
      <c r="O679">
        <f>IFERROR(VLOOKUP(C679,Customers!A:F,3,0),"")</f>
        <v>26</v>
      </c>
      <c r="P679">
        <f>IFERROR(VLOOKUP(D679,Products!A:F,4,0),"")</f>
        <v>861</v>
      </c>
      <c r="Q679" t="b">
        <f>IFERROR(VLOOKUP(D679,Products!A:F,6,0),"")</f>
        <v>1</v>
      </c>
      <c r="R679">
        <f t="shared" si="30"/>
        <v>0.39790209790209791</v>
      </c>
      <c r="S679">
        <f t="shared" si="31"/>
        <v>1</v>
      </c>
      <c r="T679">
        <f>IF(AND(S679&gt;1,COUNTIF($A$2:A679,A679)=1),1,0)</f>
        <v>0</v>
      </c>
      <c r="U679">
        <f>COUNTIF(Customers!$A$2:$A$301,C679)</f>
        <v>1</v>
      </c>
      <c r="V679">
        <f t="shared" si="32"/>
        <v>0</v>
      </c>
    </row>
    <row r="680" spans="1:22" ht="14.25" customHeight="1" x14ac:dyDescent="0.35">
      <c r="A680" s="10" t="s">
        <v>1105</v>
      </c>
      <c r="B680" s="11">
        <v>45494</v>
      </c>
      <c r="C680" s="10" t="s">
        <v>801</v>
      </c>
      <c r="D680" s="10" t="s">
        <v>115</v>
      </c>
      <c r="E680" s="10" t="s">
        <v>134</v>
      </c>
      <c r="F680" s="12">
        <v>2</v>
      </c>
      <c r="G680" s="12">
        <v>2400</v>
      </c>
      <c r="H680" s="12">
        <v>29.1</v>
      </c>
      <c r="I680" s="12">
        <v>3403.2</v>
      </c>
      <c r="J680" s="10" t="s">
        <v>51</v>
      </c>
      <c r="K680" s="10" t="s">
        <v>81</v>
      </c>
      <c r="L680" t="str">
        <f>IFERROR(VLOOKUP(D680,Products!A:F,3,0),"")</f>
        <v>Sports</v>
      </c>
      <c r="M680" t="str">
        <f>IFERROR(VLOOKUP(E680,Sales_Reps!A:E,3,0),"")</f>
        <v>West</v>
      </c>
      <c r="N680" t="str">
        <f>IFERROR(VLOOKUP(C680,Customers!A:F,5,0),"")</f>
        <v>Retail</v>
      </c>
      <c r="O680">
        <f>IFERROR(VLOOKUP(C680,Customers!A:F,3,0),"")</f>
        <v>37</v>
      </c>
      <c r="P680">
        <f>IFERROR(VLOOKUP(D680,Products!A:F,4,0),"")</f>
        <v>974</v>
      </c>
      <c r="Q680" t="b">
        <f>IFERROR(VLOOKUP(D680,Products!A:F,6,0),"")</f>
        <v>1</v>
      </c>
      <c r="R680">
        <f t="shared" si="30"/>
        <v>0.59416666666666662</v>
      </c>
      <c r="S680">
        <f t="shared" si="31"/>
        <v>1</v>
      </c>
      <c r="T680">
        <f>IF(AND(S680&gt;1,COUNTIF($A$2:A680,A680)=1),1,0)</f>
        <v>0</v>
      </c>
      <c r="U680">
        <f>COUNTIF(Customers!$A$2:$A$301,C680)</f>
        <v>1</v>
      </c>
      <c r="V680">
        <f t="shared" si="32"/>
        <v>0</v>
      </c>
    </row>
    <row r="681" spans="1:22" ht="14.25" customHeight="1" x14ac:dyDescent="0.35">
      <c r="A681" s="10" t="s">
        <v>1106</v>
      </c>
      <c r="B681" s="11">
        <v>45337</v>
      </c>
      <c r="C681" s="10" t="s">
        <v>363</v>
      </c>
      <c r="D681" s="10" t="s">
        <v>84</v>
      </c>
      <c r="E681" s="10" t="s">
        <v>237</v>
      </c>
      <c r="F681" s="12">
        <v>9</v>
      </c>
      <c r="G681" s="12">
        <v>1430</v>
      </c>
      <c r="H681" s="12">
        <v>6</v>
      </c>
      <c r="I681" s="12">
        <v>12097.8</v>
      </c>
      <c r="J681" s="10" t="s">
        <v>51</v>
      </c>
      <c r="K681" s="10" t="s">
        <v>63</v>
      </c>
      <c r="L681" t="str">
        <f>IFERROR(VLOOKUP(D681,Products!A:F,3,0),"")</f>
        <v>Electronics</v>
      </c>
      <c r="M681" t="str">
        <f>IFERROR(VLOOKUP(E681,Sales_Reps!A:E,3,0),"")</f>
        <v>South</v>
      </c>
      <c r="N681" t="str">
        <f>IFERROR(VLOOKUP(C681,Customers!A:F,5,0),"")</f>
        <v>SMB</v>
      </c>
      <c r="O681">
        <f>IFERROR(VLOOKUP(C681,Customers!A:F,3,0),"")</f>
        <v>53</v>
      </c>
      <c r="P681">
        <f>IFERROR(VLOOKUP(D681,Products!A:F,4,0),"")</f>
        <v>861</v>
      </c>
      <c r="Q681" t="b">
        <f>IFERROR(VLOOKUP(D681,Products!A:F,6,0),"")</f>
        <v>1</v>
      </c>
      <c r="R681">
        <f t="shared" si="30"/>
        <v>0.39790209790209791</v>
      </c>
      <c r="S681">
        <f t="shared" si="31"/>
        <v>1</v>
      </c>
      <c r="T681">
        <f>IF(AND(S681&gt;1,COUNTIF($A$2:A681,A681)=1),1,0)</f>
        <v>0</v>
      </c>
      <c r="U681">
        <f>COUNTIF(Customers!$A$2:$A$301,C681)</f>
        <v>1</v>
      </c>
      <c r="V681">
        <f t="shared" si="32"/>
        <v>0</v>
      </c>
    </row>
    <row r="682" spans="1:22" ht="14.25" customHeight="1" x14ac:dyDescent="0.35">
      <c r="A682" s="10" t="s">
        <v>1107</v>
      </c>
      <c r="B682" s="11">
        <v>45510</v>
      </c>
      <c r="C682" s="10" t="s">
        <v>559</v>
      </c>
      <c r="D682" s="10" t="s">
        <v>137</v>
      </c>
      <c r="E682" s="10" t="s">
        <v>50</v>
      </c>
      <c r="F682" s="12">
        <v>8</v>
      </c>
      <c r="G682" s="12">
        <v>2720</v>
      </c>
      <c r="H682" s="12">
        <v>25.7</v>
      </c>
      <c r="I682" s="12">
        <v>16167.68</v>
      </c>
      <c r="J682" s="10" t="s">
        <v>51</v>
      </c>
      <c r="K682" s="10" t="s">
        <v>63</v>
      </c>
      <c r="L682" t="str">
        <f>IFERROR(VLOOKUP(D682,Products!A:F,3,0),"")</f>
        <v>Apparel</v>
      </c>
      <c r="M682" t="str">
        <f>IFERROR(VLOOKUP(E682,Sales_Reps!A:E,3,0),"")</f>
        <v>North</v>
      </c>
      <c r="N682" t="str">
        <f>IFERROR(VLOOKUP(C682,Customers!A:F,5,0),"")</f>
        <v>SMB</v>
      </c>
      <c r="O682">
        <f>IFERROR(VLOOKUP(C682,Customers!A:F,3,0),"")</f>
        <v>48</v>
      </c>
      <c r="P682">
        <f>IFERROR(VLOOKUP(D682,Products!A:F,4,0),"")</f>
        <v>1962</v>
      </c>
      <c r="Q682" t="b">
        <f>IFERROR(VLOOKUP(D682,Products!A:F,6,0),"")</f>
        <v>1</v>
      </c>
      <c r="R682">
        <f t="shared" si="30"/>
        <v>0.2786764705882353</v>
      </c>
      <c r="S682">
        <f t="shared" si="31"/>
        <v>1</v>
      </c>
      <c r="T682">
        <f>IF(AND(S682&gt;1,COUNTIF($A$2:A682,A682)=1),1,0)</f>
        <v>0</v>
      </c>
      <c r="U682">
        <f>COUNTIF(Customers!$A$2:$A$301,C682)</f>
        <v>1</v>
      </c>
      <c r="V682">
        <f t="shared" si="32"/>
        <v>0</v>
      </c>
    </row>
    <row r="683" spans="1:22" ht="14.25" customHeight="1" x14ac:dyDescent="0.35">
      <c r="A683" s="10" t="s">
        <v>1108</v>
      </c>
      <c r="B683" s="11">
        <v>45572</v>
      </c>
      <c r="C683" s="10" t="s">
        <v>681</v>
      </c>
      <c r="D683" s="10" t="s">
        <v>479</v>
      </c>
      <c r="E683" s="10" t="s">
        <v>307</v>
      </c>
      <c r="F683" s="12">
        <v>6</v>
      </c>
      <c r="G683" s="12">
        <v>6940</v>
      </c>
      <c r="H683" s="12">
        <v>25.7</v>
      </c>
      <c r="I683" s="12">
        <v>30938.52</v>
      </c>
      <c r="J683" s="10" t="s">
        <v>51</v>
      </c>
      <c r="K683" s="10" t="s">
        <v>58</v>
      </c>
      <c r="L683" t="str">
        <f>IFERROR(VLOOKUP(D683,Products!A:F,3,0),"")</f>
        <v>Sports</v>
      </c>
      <c r="M683" t="str">
        <f>IFERROR(VLOOKUP(E683,Sales_Reps!A:E,3,0),"")</f>
        <v>West</v>
      </c>
      <c r="N683" t="str">
        <f>IFERROR(VLOOKUP(C683,Customers!A:F,5,0),"")</f>
        <v>Retail</v>
      </c>
      <c r="O683">
        <f>IFERROR(VLOOKUP(C683,Customers!A:F,3,0),"")</f>
        <v>24</v>
      </c>
      <c r="P683">
        <f>IFERROR(VLOOKUP(D683,Products!A:F,4,0),"")</f>
        <v>2827</v>
      </c>
      <c r="Q683" t="b">
        <f>IFERROR(VLOOKUP(D683,Products!A:F,6,0),"")</f>
        <v>1</v>
      </c>
      <c r="R683">
        <f t="shared" si="30"/>
        <v>0.5926512968299712</v>
      </c>
      <c r="S683">
        <f t="shared" si="31"/>
        <v>1</v>
      </c>
      <c r="T683">
        <f>IF(AND(S683&gt;1,COUNTIF($A$2:A683,A683)=1),1,0)</f>
        <v>0</v>
      </c>
      <c r="U683">
        <f>COUNTIF(Customers!$A$2:$A$301,C683)</f>
        <v>1</v>
      </c>
      <c r="V683">
        <f t="shared" si="32"/>
        <v>0</v>
      </c>
    </row>
    <row r="684" spans="1:22" ht="14.25" customHeight="1" x14ac:dyDescent="0.35">
      <c r="A684" s="10" t="s">
        <v>1109</v>
      </c>
      <c r="B684" s="11">
        <v>45472</v>
      </c>
      <c r="C684" s="10" t="s">
        <v>732</v>
      </c>
      <c r="D684" s="10" t="s">
        <v>49</v>
      </c>
      <c r="E684" s="10" t="s">
        <v>50</v>
      </c>
      <c r="F684" s="12">
        <v>3</v>
      </c>
      <c r="G684" s="12">
        <v>3620</v>
      </c>
      <c r="H684" s="12">
        <v>29.7</v>
      </c>
      <c r="I684" s="12">
        <v>7634.58</v>
      </c>
      <c r="J684" s="10" t="s">
        <v>51</v>
      </c>
      <c r="K684" s="10" t="s">
        <v>52</v>
      </c>
      <c r="L684" t="str">
        <f>IFERROR(VLOOKUP(D684,Products!A:F,3,0),"")</f>
        <v>Apparel</v>
      </c>
      <c r="M684" t="str">
        <f>IFERROR(VLOOKUP(E684,Sales_Reps!A:E,3,0),"")</f>
        <v>North</v>
      </c>
      <c r="N684" t="str">
        <f>IFERROR(VLOOKUP(C684,Customers!A:F,5,0),"")</f>
        <v>Corporate</v>
      </c>
      <c r="O684">
        <f>IFERROR(VLOOKUP(C684,Customers!A:F,3,0),"")</f>
        <v>42</v>
      </c>
      <c r="P684">
        <f>IFERROR(VLOOKUP(D684,Products!A:F,4,0),"")</f>
        <v>2509</v>
      </c>
      <c r="Q684" t="b">
        <f>IFERROR(VLOOKUP(D684,Products!A:F,6,0),"")</f>
        <v>1</v>
      </c>
      <c r="R684">
        <f t="shared" si="30"/>
        <v>0.3069060773480663</v>
      </c>
      <c r="S684">
        <f t="shared" si="31"/>
        <v>1</v>
      </c>
      <c r="T684">
        <f>IF(AND(S684&gt;1,COUNTIF($A$2:A684,A684)=1),1,0)</f>
        <v>0</v>
      </c>
      <c r="U684">
        <f>COUNTIF(Customers!$A$2:$A$301,C684)</f>
        <v>1</v>
      </c>
      <c r="V684">
        <f t="shared" si="32"/>
        <v>0</v>
      </c>
    </row>
    <row r="685" spans="1:22" ht="14.25" customHeight="1" x14ac:dyDescent="0.35">
      <c r="A685" s="10" t="s">
        <v>1110</v>
      </c>
      <c r="B685" s="11">
        <v>45615</v>
      </c>
      <c r="C685" s="10" t="s">
        <v>342</v>
      </c>
      <c r="D685" s="10" t="s">
        <v>99</v>
      </c>
      <c r="E685" s="10" t="s">
        <v>75</v>
      </c>
      <c r="F685" s="12">
        <v>8</v>
      </c>
      <c r="G685" s="12">
        <v>2640</v>
      </c>
      <c r="H685" s="12">
        <v>24.4</v>
      </c>
      <c r="I685" s="12">
        <v>15966.72</v>
      </c>
      <c r="J685" s="10" t="s">
        <v>51</v>
      </c>
      <c r="K685" s="10" t="s">
        <v>58</v>
      </c>
      <c r="L685" t="str">
        <f>IFERROR(VLOOKUP(D685,Products!A:F,3,0),"")</f>
        <v>Electronics</v>
      </c>
      <c r="M685" t="str">
        <f>IFERROR(VLOOKUP(E685,Sales_Reps!A:E,3,0),"")</f>
        <v>West</v>
      </c>
      <c r="N685" t="str">
        <f>IFERROR(VLOOKUP(C685,Customers!A:F,5,0),"")</f>
        <v>SMB</v>
      </c>
      <c r="O685">
        <f>IFERROR(VLOOKUP(C685,Customers!A:F,3,0),"")</f>
        <v>53</v>
      </c>
      <c r="P685">
        <f>IFERROR(VLOOKUP(D685,Products!A:F,4,0),"")</f>
        <v>1149</v>
      </c>
      <c r="Q685" t="b">
        <f>IFERROR(VLOOKUP(D685,Products!A:F,6,0),"")</f>
        <v>1</v>
      </c>
      <c r="R685">
        <f t="shared" si="30"/>
        <v>0.56477272727272732</v>
      </c>
      <c r="S685">
        <f t="shared" si="31"/>
        <v>1</v>
      </c>
      <c r="T685">
        <f>IF(AND(S685&gt;1,COUNTIF($A$2:A685,A685)=1),1,0)</f>
        <v>0</v>
      </c>
      <c r="U685">
        <f>COUNTIF(Customers!$A$2:$A$301,C685)</f>
        <v>1</v>
      </c>
      <c r="V685">
        <f t="shared" si="32"/>
        <v>0</v>
      </c>
    </row>
    <row r="686" spans="1:22" ht="14.25" customHeight="1" x14ac:dyDescent="0.35">
      <c r="A686" s="10" t="s">
        <v>1111</v>
      </c>
      <c r="B686" s="11">
        <v>45349</v>
      </c>
      <c r="C686" s="10" t="s">
        <v>693</v>
      </c>
      <c r="D686" s="10" t="s">
        <v>88</v>
      </c>
      <c r="E686" s="10" t="s">
        <v>67</v>
      </c>
      <c r="F686" s="12">
        <v>3</v>
      </c>
      <c r="G686" s="12">
        <v>5490</v>
      </c>
      <c r="H686" s="12">
        <v>13.5</v>
      </c>
      <c r="I686" s="12">
        <v>14246.55</v>
      </c>
      <c r="J686" s="10" t="s">
        <v>51</v>
      </c>
      <c r="K686" s="10" t="s">
        <v>76</v>
      </c>
      <c r="L686" t="str">
        <f>IFERROR(VLOOKUP(D686,Products!A:F,3,0),"")</f>
        <v>Home</v>
      </c>
      <c r="M686" t="str">
        <f>IFERROR(VLOOKUP(E686,Sales_Reps!A:E,3,0),"")</f>
        <v>North</v>
      </c>
      <c r="N686" t="str">
        <f>IFERROR(VLOOKUP(C686,Customers!A:F,5,0),"")</f>
        <v>Retail</v>
      </c>
      <c r="O686">
        <f>IFERROR(VLOOKUP(C686,Customers!A:F,3,0),"")</f>
        <v>56</v>
      </c>
      <c r="P686">
        <f>IFERROR(VLOOKUP(D686,Products!A:F,4,0),"")</f>
        <v>2549</v>
      </c>
      <c r="Q686" t="b">
        <f>IFERROR(VLOOKUP(D686,Products!A:F,6,0),"")</f>
        <v>1</v>
      </c>
      <c r="R686">
        <f t="shared" si="30"/>
        <v>0.53570127504553733</v>
      </c>
      <c r="S686">
        <f t="shared" si="31"/>
        <v>1</v>
      </c>
      <c r="T686">
        <f>IF(AND(S686&gt;1,COUNTIF($A$2:A686,A686)=1),1,0)</f>
        <v>0</v>
      </c>
      <c r="U686">
        <f>COUNTIF(Customers!$A$2:$A$301,C686)</f>
        <v>1</v>
      </c>
      <c r="V686">
        <f t="shared" si="32"/>
        <v>0</v>
      </c>
    </row>
    <row r="687" spans="1:22" ht="14.25" customHeight="1" x14ac:dyDescent="0.35">
      <c r="A687" s="10" t="s">
        <v>1112</v>
      </c>
      <c r="B687" s="11">
        <v>45413</v>
      </c>
      <c r="C687" s="10" t="s">
        <v>106</v>
      </c>
      <c r="D687" s="10" t="s">
        <v>407</v>
      </c>
      <c r="E687" s="10" t="s">
        <v>202</v>
      </c>
      <c r="F687" s="12">
        <v>3</v>
      </c>
      <c r="G687" s="12">
        <v>5080</v>
      </c>
      <c r="H687" s="12">
        <v>9.3000000000000007</v>
      </c>
      <c r="I687" s="12">
        <v>13822.68</v>
      </c>
      <c r="J687" s="10" t="s">
        <v>51</v>
      </c>
      <c r="K687" s="10" t="s">
        <v>52</v>
      </c>
      <c r="L687" t="str">
        <f>IFERROR(VLOOKUP(D687,Products!A:F,3,0),"")</f>
        <v>Home</v>
      </c>
      <c r="M687" t="str">
        <f>IFERROR(VLOOKUP(E687,Sales_Reps!A:E,3,0),"")</f>
        <v>East</v>
      </c>
      <c r="N687" t="str">
        <f>IFERROR(VLOOKUP(C687,Customers!A:F,5,0),"")</f>
        <v>SMB</v>
      </c>
      <c r="O687">
        <f>IFERROR(VLOOKUP(C687,Customers!A:F,3,0),"")</f>
        <v>39</v>
      </c>
      <c r="P687">
        <f>IFERROR(VLOOKUP(D687,Products!A:F,4,0),"")</f>
        <v>2459</v>
      </c>
      <c r="Q687" t="b">
        <f>IFERROR(VLOOKUP(D687,Products!A:F,6,0),"")</f>
        <v>1</v>
      </c>
      <c r="R687">
        <f t="shared" si="30"/>
        <v>0.51594488188976373</v>
      </c>
      <c r="S687">
        <f t="shared" si="31"/>
        <v>1</v>
      </c>
      <c r="T687">
        <f>IF(AND(S687&gt;1,COUNTIF($A$2:A687,A687)=1),1,0)</f>
        <v>0</v>
      </c>
      <c r="U687">
        <f>COUNTIF(Customers!$A$2:$A$301,C687)</f>
        <v>1</v>
      </c>
      <c r="V687">
        <f t="shared" si="32"/>
        <v>0</v>
      </c>
    </row>
    <row r="688" spans="1:22" ht="14.25" customHeight="1" x14ac:dyDescent="0.35">
      <c r="A688" s="10" t="s">
        <v>1113</v>
      </c>
      <c r="B688" s="11">
        <v>45515</v>
      </c>
      <c r="C688" s="10" t="s">
        <v>358</v>
      </c>
      <c r="D688" s="10" t="s">
        <v>350</v>
      </c>
      <c r="E688" s="10" t="s">
        <v>134</v>
      </c>
      <c r="F688" s="12">
        <v>4</v>
      </c>
      <c r="G688" s="12">
        <v>2290</v>
      </c>
      <c r="H688" s="12">
        <v>24.4</v>
      </c>
      <c r="I688" s="12">
        <v>6924.96</v>
      </c>
      <c r="J688" s="10" t="s">
        <v>51</v>
      </c>
      <c r="K688" s="10" t="s">
        <v>81</v>
      </c>
      <c r="L688" t="str">
        <f>IFERROR(VLOOKUP(D688,Products!A:F,3,0),"")</f>
        <v>Beauty</v>
      </c>
      <c r="M688" t="str">
        <f>IFERROR(VLOOKUP(E688,Sales_Reps!A:E,3,0),"")</f>
        <v>West</v>
      </c>
      <c r="N688" t="str">
        <f>IFERROR(VLOOKUP(C688,Customers!A:F,5,0),"")</f>
        <v>SMB</v>
      </c>
      <c r="O688">
        <f>IFERROR(VLOOKUP(C688,Customers!A:F,3,0),"")</f>
        <v>28</v>
      </c>
      <c r="P688">
        <f>IFERROR(VLOOKUP(D688,Products!A:F,4,0),"")</f>
        <v>1219</v>
      </c>
      <c r="Q688" t="b">
        <f>IFERROR(VLOOKUP(D688,Products!A:F,6,0),"")</f>
        <v>1</v>
      </c>
      <c r="R688">
        <f t="shared" si="30"/>
        <v>0.46768558951965067</v>
      </c>
      <c r="S688">
        <f t="shared" si="31"/>
        <v>1</v>
      </c>
      <c r="T688">
        <f>IF(AND(S688&gt;1,COUNTIF($A$2:A688,A688)=1),1,0)</f>
        <v>0</v>
      </c>
      <c r="U688">
        <f>COUNTIF(Customers!$A$2:$A$301,C688)</f>
        <v>1</v>
      </c>
      <c r="V688">
        <f t="shared" si="32"/>
        <v>0</v>
      </c>
    </row>
    <row r="689" spans="1:22" ht="14.25" customHeight="1" x14ac:dyDescent="0.35">
      <c r="A689" s="10" t="s">
        <v>1114</v>
      </c>
      <c r="B689" s="11">
        <v>45463</v>
      </c>
      <c r="C689" s="10" t="s">
        <v>377</v>
      </c>
      <c r="D689" s="10" t="s">
        <v>259</v>
      </c>
      <c r="E689" s="10" t="s">
        <v>237</v>
      </c>
      <c r="F689" s="12">
        <v>10</v>
      </c>
      <c r="G689" s="12">
        <v>2030</v>
      </c>
      <c r="H689" s="12">
        <v>13.6</v>
      </c>
      <c r="I689" s="12">
        <v>17539.2</v>
      </c>
      <c r="J689" s="10" t="s">
        <v>57</v>
      </c>
      <c r="K689" s="10" t="s">
        <v>52</v>
      </c>
      <c r="L689" t="str">
        <f>IFERROR(VLOOKUP(D689,Products!A:F,3,0),"")</f>
        <v>Home</v>
      </c>
      <c r="M689" t="str">
        <f>IFERROR(VLOOKUP(E689,Sales_Reps!A:E,3,0),"")</f>
        <v>South</v>
      </c>
      <c r="N689" t="str">
        <f>IFERROR(VLOOKUP(C689,Customers!A:F,5,0),"")</f>
        <v>Retail</v>
      </c>
      <c r="O689">
        <f>IFERROR(VLOOKUP(C689,Customers!A:F,3,0),"")</f>
        <v>22</v>
      </c>
      <c r="P689">
        <f>IFERROR(VLOOKUP(D689,Products!A:F,4,0),"")</f>
        <v>1143</v>
      </c>
      <c r="Q689" t="b">
        <f>IFERROR(VLOOKUP(D689,Products!A:F,6,0),"")</f>
        <v>1</v>
      </c>
      <c r="R689">
        <f t="shared" si="30"/>
        <v>0.43694581280788175</v>
      </c>
      <c r="S689">
        <f t="shared" si="31"/>
        <v>1</v>
      </c>
      <c r="T689">
        <f>IF(AND(S689&gt;1,COUNTIF($A$2:A689,A689)=1),1,0)</f>
        <v>0</v>
      </c>
      <c r="U689">
        <f>COUNTIF(Customers!$A$2:$A$301,C689)</f>
        <v>1</v>
      </c>
      <c r="V689">
        <f t="shared" si="32"/>
        <v>0</v>
      </c>
    </row>
    <row r="690" spans="1:22" ht="14.25" customHeight="1" x14ac:dyDescent="0.35">
      <c r="A690" s="10" t="s">
        <v>1115</v>
      </c>
      <c r="B690" s="11">
        <v>45607</v>
      </c>
      <c r="C690" s="10" t="s">
        <v>529</v>
      </c>
      <c r="D690" s="10" t="s">
        <v>84</v>
      </c>
      <c r="E690" s="10" t="s">
        <v>289</v>
      </c>
      <c r="F690" s="12">
        <v>10</v>
      </c>
      <c r="G690" s="12">
        <v>1430</v>
      </c>
      <c r="H690" s="12">
        <v>16.100000000000001</v>
      </c>
      <c r="I690" s="12">
        <v>11997.7</v>
      </c>
      <c r="J690" s="10" t="s">
        <v>104</v>
      </c>
      <c r="K690" s="10" t="s">
        <v>76</v>
      </c>
      <c r="L690" t="str">
        <f>IFERROR(VLOOKUP(D690,Products!A:F,3,0),"")</f>
        <v>Electronics</v>
      </c>
      <c r="M690" t="str">
        <f>IFERROR(VLOOKUP(E690,Sales_Reps!A:E,3,0),"")</f>
        <v>South</v>
      </c>
      <c r="N690" t="str">
        <f>IFERROR(VLOOKUP(C690,Customers!A:F,5,0),"")</f>
        <v>SMB</v>
      </c>
      <c r="O690">
        <f>IFERROR(VLOOKUP(C690,Customers!A:F,3,0),"")</f>
        <v>61</v>
      </c>
      <c r="P690">
        <f>IFERROR(VLOOKUP(D690,Products!A:F,4,0),"")</f>
        <v>861</v>
      </c>
      <c r="Q690" t="b">
        <f>IFERROR(VLOOKUP(D690,Products!A:F,6,0),"")</f>
        <v>1</v>
      </c>
      <c r="R690">
        <f t="shared" si="30"/>
        <v>0.39790209790209791</v>
      </c>
      <c r="S690">
        <f t="shared" si="31"/>
        <v>1</v>
      </c>
      <c r="T690">
        <f>IF(AND(S690&gt;1,COUNTIF($A$2:A690,A690)=1),1,0)</f>
        <v>0</v>
      </c>
      <c r="U690">
        <f>COUNTIF(Customers!$A$2:$A$301,C690)</f>
        <v>1</v>
      </c>
      <c r="V690">
        <f t="shared" si="32"/>
        <v>0</v>
      </c>
    </row>
    <row r="691" spans="1:22" ht="14.25" customHeight="1" x14ac:dyDescent="0.35">
      <c r="A691" s="10" t="s">
        <v>1116</v>
      </c>
      <c r="B691" s="11">
        <v>45357</v>
      </c>
      <c r="C691" s="10" t="s">
        <v>1026</v>
      </c>
      <c r="D691" s="10" t="s">
        <v>198</v>
      </c>
      <c r="E691" s="10" t="s">
        <v>168</v>
      </c>
      <c r="F691" s="12">
        <v>1</v>
      </c>
      <c r="G691" s="12">
        <v>3780</v>
      </c>
      <c r="H691" s="12">
        <v>22.7</v>
      </c>
      <c r="I691" s="12">
        <v>2921.94</v>
      </c>
      <c r="J691" s="10" t="s">
        <v>51</v>
      </c>
      <c r="K691" s="10" t="s">
        <v>76</v>
      </c>
      <c r="L691" t="str">
        <f>IFERROR(VLOOKUP(D691,Products!A:F,3,0),"")</f>
        <v>Grocery</v>
      </c>
      <c r="M691" t="str">
        <f>IFERROR(VLOOKUP(E691,Sales_Reps!A:E,3,0),"")</f>
        <v>South</v>
      </c>
      <c r="N691" t="str">
        <f>IFERROR(VLOOKUP(C691,Customers!A:F,5,0),"")</f>
        <v>SMB</v>
      </c>
      <c r="O691">
        <f>IFERROR(VLOOKUP(C691,Customers!A:F,3,0),"")</f>
        <v>54</v>
      </c>
      <c r="P691">
        <f>IFERROR(VLOOKUP(D691,Products!A:F,4,0),"")</f>
        <v>2436</v>
      </c>
      <c r="Q691" t="b">
        <f>IFERROR(VLOOKUP(D691,Products!A:F,6,0),"")</f>
        <v>1</v>
      </c>
      <c r="R691">
        <f t="shared" si="30"/>
        <v>0.35555555555555557</v>
      </c>
      <c r="S691">
        <f t="shared" si="31"/>
        <v>1</v>
      </c>
      <c r="T691">
        <f>IF(AND(S691&gt;1,COUNTIF($A$2:A691,A691)=1),1,0)</f>
        <v>0</v>
      </c>
      <c r="U691">
        <f>COUNTIF(Customers!$A$2:$A$301,C691)</f>
        <v>1</v>
      </c>
      <c r="V691">
        <f t="shared" si="32"/>
        <v>0</v>
      </c>
    </row>
    <row r="692" spans="1:22" ht="14.25" customHeight="1" x14ac:dyDescent="0.35">
      <c r="A692" s="10" t="s">
        <v>1117</v>
      </c>
      <c r="B692" s="11">
        <v>45443</v>
      </c>
      <c r="C692" s="10" t="s">
        <v>356</v>
      </c>
      <c r="D692" s="10" t="s">
        <v>70</v>
      </c>
      <c r="E692" s="10" t="s">
        <v>122</v>
      </c>
      <c r="F692" s="12">
        <v>10</v>
      </c>
      <c r="G692" s="12">
        <v>3160</v>
      </c>
      <c r="H692" s="12">
        <v>13.4</v>
      </c>
      <c r="I692" s="12">
        <v>27365.599999999999</v>
      </c>
      <c r="J692" s="10" t="s">
        <v>51</v>
      </c>
      <c r="K692" s="10" t="s">
        <v>76</v>
      </c>
      <c r="L692" t="str">
        <f>IFERROR(VLOOKUP(D692,Products!A:F,3,0),"")</f>
        <v>Apparel</v>
      </c>
      <c r="M692" t="str">
        <f>IFERROR(VLOOKUP(E692,Sales_Reps!A:E,3,0),"")</f>
        <v>East</v>
      </c>
      <c r="N692" t="str">
        <f>IFERROR(VLOOKUP(C692,Customers!A:F,5,0),"")</f>
        <v>Retail</v>
      </c>
      <c r="O692">
        <f>IFERROR(VLOOKUP(C692,Customers!A:F,3,0),"")</f>
        <v>50</v>
      </c>
      <c r="P692">
        <f>IFERROR(VLOOKUP(D692,Products!A:F,4,0),"")</f>
        <v>1886</v>
      </c>
      <c r="Q692" t="b">
        <f>IFERROR(VLOOKUP(D692,Products!A:F,6,0),"")</f>
        <v>1</v>
      </c>
      <c r="R692">
        <f t="shared" si="30"/>
        <v>0.4031645569620253</v>
      </c>
      <c r="S692">
        <f t="shared" si="31"/>
        <v>1</v>
      </c>
      <c r="T692">
        <f>IF(AND(S692&gt;1,COUNTIF($A$2:A692,A692)=1),1,0)</f>
        <v>0</v>
      </c>
      <c r="U692">
        <f>COUNTIF(Customers!$A$2:$A$301,C692)</f>
        <v>1</v>
      </c>
      <c r="V692">
        <f t="shared" si="32"/>
        <v>0</v>
      </c>
    </row>
    <row r="693" spans="1:22" ht="14.25" customHeight="1" x14ac:dyDescent="0.35">
      <c r="A693" s="10" t="s">
        <v>1118</v>
      </c>
      <c r="B693" s="11">
        <v>45422</v>
      </c>
      <c r="C693" s="10" t="s">
        <v>406</v>
      </c>
      <c r="D693" s="10" t="s">
        <v>84</v>
      </c>
      <c r="E693" s="10" t="s">
        <v>112</v>
      </c>
      <c r="F693" s="12">
        <v>2</v>
      </c>
      <c r="G693" s="12">
        <v>1430</v>
      </c>
      <c r="H693" s="12">
        <v>7.4</v>
      </c>
      <c r="I693" s="12">
        <v>2648.36</v>
      </c>
      <c r="J693" s="10" t="s">
        <v>51</v>
      </c>
      <c r="K693" s="10" t="s">
        <v>52</v>
      </c>
      <c r="L693" t="str">
        <f>IFERROR(VLOOKUP(D693,Products!A:F,3,0),"")</f>
        <v>Electronics</v>
      </c>
      <c r="M693" t="str">
        <f>IFERROR(VLOOKUP(E693,Sales_Reps!A:E,3,0),"")</f>
        <v>North</v>
      </c>
      <c r="N693" t="str">
        <f>IFERROR(VLOOKUP(C693,Customers!A:F,5,0),"")</f>
        <v>Retail</v>
      </c>
      <c r="O693">
        <f>IFERROR(VLOOKUP(C693,Customers!A:F,3,0),"")</f>
        <v>65</v>
      </c>
      <c r="P693">
        <f>IFERROR(VLOOKUP(D693,Products!A:F,4,0),"")</f>
        <v>861</v>
      </c>
      <c r="Q693" t="b">
        <f>IFERROR(VLOOKUP(D693,Products!A:F,6,0),"")</f>
        <v>1</v>
      </c>
      <c r="R693">
        <f t="shared" si="30"/>
        <v>0.39790209790209791</v>
      </c>
      <c r="S693">
        <f t="shared" si="31"/>
        <v>1</v>
      </c>
      <c r="T693">
        <f>IF(AND(S693&gt;1,COUNTIF($A$2:A693,A693)=1),1,0)</f>
        <v>0</v>
      </c>
      <c r="U693">
        <f>COUNTIF(Customers!$A$2:$A$301,C693)</f>
        <v>1</v>
      </c>
      <c r="V693">
        <f t="shared" si="32"/>
        <v>0</v>
      </c>
    </row>
    <row r="694" spans="1:22" ht="14.25" customHeight="1" x14ac:dyDescent="0.35">
      <c r="A694" s="10" t="s">
        <v>1119</v>
      </c>
      <c r="B694" s="11">
        <v>45640</v>
      </c>
      <c r="C694" s="10" t="s">
        <v>195</v>
      </c>
      <c r="D694" s="10" t="s">
        <v>70</v>
      </c>
      <c r="E694" s="10" t="s">
        <v>67</v>
      </c>
      <c r="F694" s="12">
        <v>5</v>
      </c>
      <c r="G694" s="12">
        <v>3160</v>
      </c>
      <c r="H694" s="12">
        <v>3.6</v>
      </c>
      <c r="I694" s="12">
        <v>15231.2</v>
      </c>
      <c r="J694" s="10" t="s">
        <v>57</v>
      </c>
      <c r="K694" s="10" t="s">
        <v>81</v>
      </c>
      <c r="L694" t="str">
        <f>IFERROR(VLOOKUP(D694,Products!A:F,3,0),"")</f>
        <v>Apparel</v>
      </c>
      <c r="M694" t="str">
        <f>IFERROR(VLOOKUP(E694,Sales_Reps!A:E,3,0),"")</f>
        <v>North</v>
      </c>
      <c r="N694" t="str">
        <f>IFERROR(VLOOKUP(C694,Customers!A:F,5,0),"")</f>
        <v>SMB</v>
      </c>
      <c r="O694">
        <f>IFERROR(VLOOKUP(C694,Customers!A:F,3,0),"")</f>
        <v>64</v>
      </c>
      <c r="P694">
        <f>IFERROR(VLOOKUP(D694,Products!A:F,4,0),"")</f>
        <v>1886</v>
      </c>
      <c r="Q694" t="b">
        <f>IFERROR(VLOOKUP(D694,Products!A:F,6,0),"")</f>
        <v>1</v>
      </c>
      <c r="R694">
        <f t="shared" si="30"/>
        <v>0.4031645569620253</v>
      </c>
      <c r="S694">
        <f t="shared" si="31"/>
        <v>1</v>
      </c>
      <c r="T694">
        <f>IF(AND(S694&gt;1,COUNTIF($A$2:A694,A694)=1),1,0)</f>
        <v>0</v>
      </c>
      <c r="U694">
        <f>COUNTIF(Customers!$A$2:$A$301,C694)</f>
        <v>1</v>
      </c>
      <c r="V694">
        <f t="shared" si="32"/>
        <v>0</v>
      </c>
    </row>
    <row r="695" spans="1:22" ht="14.25" customHeight="1" x14ac:dyDescent="0.35">
      <c r="A695" s="10" t="s">
        <v>1120</v>
      </c>
      <c r="B695" s="11">
        <v>45521</v>
      </c>
      <c r="C695" s="10" t="s">
        <v>771</v>
      </c>
      <c r="D695" s="10" t="s">
        <v>350</v>
      </c>
      <c r="E695" s="10" t="s">
        <v>103</v>
      </c>
      <c r="F695" s="12">
        <v>2</v>
      </c>
      <c r="G695" s="12">
        <v>2290</v>
      </c>
      <c r="H695" s="12">
        <v>28.2</v>
      </c>
      <c r="I695" s="12">
        <v>3288.44</v>
      </c>
      <c r="J695" s="10" t="s">
        <v>51</v>
      </c>
      <c r="K695" s="10" t="s">
        <v>52</v>
      </c>
      <c r="L695" t="str">
        <f>IFERROR(VLOOKUP(D695,Products!A:F,3,0),"")</f>
        <v>Beauty</v>
      </c>
      <c r="M695" t="str">
        <f>IFERROR(VLOOKUP(E695,Sales_Reps!A:E,3,0),"")</f>
        <v>North</v>
      </c>
      <c r="N695" t="str">
        <f>IFERROR(VLOOKUP(C695,Customers!A:F,5,0),"")</f>
        <v>Retail</v>
      </c>
      <c r="O695">
        <f>IFERROR(VLOOKUP(C695,Customers!A:F,3,0),"")</f>
        <v>36</v>
      </c>
      <c r="P695">
        <f>IFERROR(VLOOKUP(D695,Products!A:F,4,0),"")</f>
        <v>1219</v>
      </c>
      <c r="Q695" t="b">
        <f>IFERROR(VLOOKUP(D695,Products!A:F,6,0),"")</f>
        <v>1</v>
      </c>
      <c r="R695">
        <f t="shared" si="30"/>
        <v>0.46768558951965067</v>
      </c>
      <c r="S695">
        <f t="shared" si="31"/>
        <v>1</v>
      </c>
      <c r="T695">
        <f>IF(AND(S695&gt;1,COUNTIF($A$2:A695,A695)=1),1,0)</f>
        <v>0</v>
      </c>
      <c r="U695">
        <f>COUNTIF(Customers!$A$2:$A$301,C695)</f>
        <v>1</v>
      </c>
      <c r="V695">
        <f t="shared" si="32"/>
        <v>0</v>
      </c>
    </row>
    <row r="696" spans="1:22" ht="14.25" customHeight="1" x14ac:dyDescent="0.35">
      <c r="A696" s="10" t="s">
        <v>1121</v>
      </c>
      <c r="B696" s="11">
        <v>45366</v>
      </c>
      <c r="C696" s="10" t="s">
        <v>702</v>
      </c>
      <c r="D696" s="10" t="s">
        <v>416</v>
      </c>
      <c r="E696" s="10" t="s">
        <v>152</v>
      </c>
      <c r="F696" s="12">
        <v>5</v>
      </c>
      <c r="G696" s="12">
        <v>3450</v>
      </c>
      <c r="H696" s="12">
        <v>18.100000000000001</v>
      </c>
      <c r="I696" s="12">
        <v>14127.75</v>
      </c>
      <c r="J696" s="10" t="s">
        <v>104</v>
      </c>
      <c r="K696" s="10" t="s">
        <v>52</v>
      </c>
      <c r="L696" t="str">
        <f>IFERROR(VLOOKUP(D696,Products!A:F,3,0),"")</f>
        <v>Apparel</v>
      </c>
      <c r="M696" t="str">
        <f>IFERROR(VLOOKUP(E696,Sales_Reps!A:E,3,0),"")</f>
        <v>South</v>
      </c>
      <c r="N696" t="str">
        <f>IFERROR(VLOOKUP(C696,Customers!A:F,5,0),"")</f>
        <v>Retail</v>
      </c>
      <c r="O696">
        <f>IFERROR(VLOOKUP(C696,Customers!A:F,3,0),"")</f>
        <v>36</v>
      </c>
      <c r="P696">
        <f>IFERROR(VLOOKUP(D696,Products!A:F,4,0),"")</f>
        <v>1748</v>
      </c>
      <c r="Q696" t="b">
        <f>IFERROR(VLOOKUP(D696,Products!A:F,6,0),"")</f>
        <v>1</v>
      </c>
      <c r="R696">
        <f t="shared" si="30"/>
        <v>0.49333333333333335</v>
      </c>
      <c r="S696">
        <f t="shared" si="31"/>
        <v>1</v>
      </c>
      <c r="T696">
        <f>IF(AND(S696&gt;1,COUNTIF($A$2:A696,A696)=1),1,0)</f>
        <v>0</v>
      </c>
      <c r="U696">
        <f>COUNTIF(Customers!$A$2:$A$301,C696)</f>
        <v>1</v>
      </c>
      <c r="V696">
        <f t="shared" si="32"/>
        <v>0</v>
      </c>
    </row>
    <row r="697" spans="1:22" ht="14.25" customHeight="1" x14ac:dyDescent="0.35">
      <c r="A697" s="10" t="s">
        <v>1122</v>
      </c>
      <c r="B697" s="11">
        <v>45439</v>
      </c>
      <c r="C697" s="10" t="s">
        <v>181</v>
      </c>
      <c r="D697" s="10" t="s">
        <v>623</v>
      </c>
      <c r="E697" s="10" t="s">
        <v>179</v>
      </c>
      <c r="F697" s="12">
        <v>1</v>
      </c>
      <c r="G697" s="12">
        <v>3560</v>
      </c>
      <c r="H697" s="12">
        <v>18.7</v>
      </c>
      <c r="I697" s="12">
        <v>2894.28</v>
      </c>
      <c r="J697" s="10" t="s">
        <v>51</v>
      </c>
      <c r="K697" s="10" t="s">
        <v>58</v>
      </c>
      <c r="L697" t="str">
        <f>IFERROR(VLOOKUP(D697,Products!A:F,3,0),"")</f>
        <v>Apparel</v>
      </c>
      <c r="M697" t="str">
        <f>IFERROR(VLOOKUP(E697,Sales_Reps!A:E,3,0),"")</f>
        <v>North</v>
      </c>
      <c r="N697" t="str">
        <f>IFERROR(VLOOKUP(C697,Customers!A:F,5,0),"")</f>
        <v>Retail</v>
      </c>
      <c r="O697">
        <f>IFERROR(VLOOKUP(C697,Customers!A:F,3,0),"")</f>
        <v>51</v>
      </c>
      <c r="P697">
        <f>IFERROR(VLOOKUP(D697,Products!A:F,4,0),"")</f>
        <v>2629</v>
      </c>
      <c r="Q697" t="b">
        <f>IFERROR(VLOOKUP(D697,Products!A:F,6,0),"")</f>
        <v>1</v>
      </c>
      <c r="R697">
        <f t="shared" si="30"/>
        <v>0.26151685393258428</v>
      </c>
      <c r="S697">
        <f t="shared" si="31"/>
        <v>1</v>
      </c>
      <c r="T697">
        <f>IF(AND(S697&gt;1,COUNTIF($A$2:A697,A697)=1),1,0)</f>
        <v>0</v>
      </c>
      <c r="U697">
        <f>COUNTIF(Customers!$A$2:$A$301,C697)</f>
        <v>1</v>
      </c>
      <c r="V697">
        <f t="shared" si="32"/>
        <v>0</v>
      </c>
    </row>
    <row r="698" spans="1:22" ht="14.25" customHeight="1" x14ac:dyDescent="0.35">
      <c r="A698" s="10" t="s">
        <v>1123</v>
      </c>
      <c r="B698" s="11">
        <v>45426</v>
      </c>
      <c r="C698" s="10" t="s">
        <v>269</v>
      </c>
      <c r="D698" s="10" t="s">
        <v>115</v>
      </c>
      <c r="E698" s="10" t="s">
        <v>168</v>
      </c>
      <c r="F698" s="12">
        <v>9</v>
      </c>
      <c r="G698" s="12">
        <v>2400</v>
      </c>
      <c r="H698" s="12">
        <v>18.5</v>
      </c>
      <c r="I698" s="12">
        <v>17604</v>
      </c>
      <c r="J698" s="10" t="s">
        <v>51</v>
      </c>
      <c r="K698" s="10" t="s">
        <v>97</v>
      </c>
      <c r="L698" t="str">
        <f>IFERROR(VLOOKUP(D698,Products!A:F,3,0),"")</f>
        <v>Sports</v>
      </c>
      <c r="M698" t="str">
        <f>IFERROR(VLOOKUP(E698,Sales_Reps!A:E,3,0),"")</f>
        <v>South</v>
      </c>
      <c r="N698" t="str">
        <f>IFERROR(VLOOKUP(C698,Customers!A:F,5,0),"")</f>
        <v>Corporate</v>
      </c>
      <c r="O698">
        <f>IFERROR(VLOOKUP(C698,Customers!A:F,3,0),"")</f>
        <v>46</v>
      </c>
      <c r="P698">
        <f>IFERROR(VLOOKUP(D698,Products!A:F,4,0),"")</f>
        <v>974</v>
      </c>
      <c r="Q698" t="b">
        <f>IFERROR(VLOOKUP(D698,Products!A:F,6,0),"")</f>
        <v>1</v>
      </c>
      <c r="R698">
        <f t="shared" si="30"/>
        <v>0.59416666666666662</v>
      </c>
      <c r="S698">
        <f t="shared" si="31"/>
        <v>1</v>
      </c>
      <c r="T698">
        <f>IF(AND(S698&gt;1,COUNTIF($A$2:A698,A698)=1),1,0)</f>
        <v>0</v>
      </c>
      <c r="U698">
        <f>COUNTIF(Customers!$A$2:$A$301,C698)</f>
        <v>1</v>
      </c>
      <c r="V698">
        <f t="shared" si="32"/>
        <v>0</v>
      </c>
    </row>
    <row r="699" spans="1:22" ht="14.25" customHeight="1" x14ac:dyDescent="0.35">
      <c r="A699" s="10" t="s">
        <v>1124</v>
      </c>
      <c r="B699" s="11">
        <v>45415</v>
      </c>
      <c r="C699" s="10" t="s">
        <v>317</v>
      </c>
      <c r="D699" s="10" t="s">
        <v>212</v>
      </c>
      <c r="E699" s="10" t="s">
        <v>118</v>
      </c>
      <c r="F699" s="12">
        <v>9</v>
      </c>
      <c r="G699" s="12">
        <v>3870</v>
      </c>
      <c r="H699" s="12">
        <v>6.9</v>
      </c>
      <c r="I699" s="12">
        <v>32426.73</v>
      </c>
      <c r="J699" s="10" t="s">
        <v>108</v>
      </c>
      <c r="K699" s="10" t="s">
        <v>58</v>
      </c>
      <c r="L699" t="str">
        <f>IFERROR(VLOOKUP(D699,Products!A:F,3,0),"")</f>
        <v>Electronics</v>
      </c>
      <c r="M699" t="str">
        <f>IFERROR(VLOOKUP(E699,Sales_Reps!A:E,3,0),"")</f>
        <v>East</v>
      </c>
      <c r="N699" t="str">
        <f>IFERROR(VLOOKUP(C699,Customers!A:F,5,0),"")</f>
        <v>Retail</v>
      </c>
      <c r="O699">
        <f>IFERROR(VLOOKUP(C699,Customers!A:F,3,0),"")</f>
        <v>60</v>
      </c>
      <c r="P699">
        <f>IFERROR(VLOOKUP(D699,Products!A:F,4,0),"")</f>
        <v>1559</v>
      </c>
      <c r="Q699" t="b">
        <f>IFERROR(VLOOKUP(D699,Products!A:F,6,0),"")</f>
        <v>1</v>
      </c>
      <c r="R699">
        <f t="shared" si="30"/>
        <v>0.59715762273901807</v>
      </c>
      <c r="S699">
        <f t="shared" si="31"/>
        <v>1</v>
      </c>
      <c r="T699">
        <f>IF(AND(S699&gt;1,COUNTIF($A$2:A699,A699)=1),1,0)</f>
        <v>0</v>
      </c>
      <c r="U699">
        <f>COUNTIF(Customers!$A$2:$A$301,C699)</f>
        <v>1</v>
      </c>
      <c r="V699">
        <f t="shared" si="32"/>
        <v>0</v>
      </c>
    </row>
    <row r="700" spans="1:22" ht="14.25" customHeight="1" x14ac:dyDescent="0.35">
      <c r="A700" s="10" t="s">
        <v>1125</v>
      </c>
      <c r="B700" s="11">
        <v>45620</v>
      </c>
      <c r="C700" s="10" t="s">
        <v>669</v>
      </c>
      <c r="D700" s="10" t="s">
        <v>66</v>
      </c>
      <c r="E700" s="10" t="s">
        <v>249</v>
      </c>
      <c r="F700" s="12">
        <v>5</v>
      </c>
      <c r="G700" s="12">
        <v>3660</v>
      </c>
      <c r="H700" s="12">
        <v>11.7</v>
      </c>
      <c r="I700" s="12">
        <v>16158.9</v>
      </c>
      <c r="J700" s="10" t="s">
        <v>51</v>
      </c>
      <c r="K700" s="10" t="s">
        <v>63</v>
      </c>
      <c r="L700" t="str">
        <f>IFERROR(VLOOKUP(D700,Products!A:F,3,0),"")</f>
        <v>Grocery</v>
      </c>
      <c r="M700" t="str">
        <f>IFERROR(VLOOKUP(E700,Sales_Reps!A:E,3,0),"")</f>
        <v>East</v>
      </c>
      <c r="N700" t="str">
        <f>IFERROR(VLOOKUP(C700,Customers!A:F,5,0),"")</f>
        <v>Retail</v>
      </c>
      <c r="O700">
        <f>IFERROR(VLOOKUP(C700,Customers!A:F,3,0),"")</f>
        <v>53</v>
      </c>
      <c r="P700">
        <f>IFERROR(VLOOKUP(D700,Products!A:F,4,0),"")</f>
        <v>2214</v>
      </c>
      <c r="Q700" t="b">
        <f>IFERROR(VLOOKUP(D700,Products!A:F,6,0),"")</f>
        <v>0</v>
      </c>
      <c r="R700">
        <f t="shared" si="30"/>
        <v>0.39508196721311473</v>
      </c>
      <c r="S700">
        <f t="shared" si="31"/>
        <v>1</v>
      </c>
      <c r="T700">
        <f>IF(AND(S700&gt;1,COUNTIF($A$2:A700,A700)=1),1,0)</f>
        <v>0</v>
      </c>
      <c r="U700">
        <f>COUNTIF(Customers!$A$2:$A$301,C700)</f>
        <v>1</v>
      </c>
      <c r="V700">
        <f t="shared" si="32"/>
        <v>0</v>
      </c>
    </row>
    <row r="701" spans="1:22" ht="14.25" customHeight="1" x14ac:dyDescent="0.35">
      <c r="A701" s="10" t="s">
        <v>1126</v>
      </c>
      <c r="B701" s="11">
        <v>45346</v>
      </c>
      <c r="C701" s="10" t="s">
        <v>369</v>
      </c>
      <c r="D701" s="10" t="s">
        <v>128</v>
      </c>
      <c r="E701" s="10" t="s">
        <v>134</v>
      </c>
      <c r="F701" s="12">
        <v>4</v>
      </c>
      <c r="G701" s="12">
        <v>1080</v>
      </c>
      <c r="H701" s="12">
        <v>17.5</v>
      </c>
      <c r="I701" s="12">
        <v>3564</v>
      </c>
      <c r="J701" s="10" t="s">
        <v>51</v>
      </c>
      <c r="K701" s="10" t="s">
        <v>58</v>
      </c>
      <c r="L701" t="str">
        <f>IFERROR(VLOOKUP(D701,Products!A:F,3,0),"")</f>
        <v>Home</v>
      </c>
      <c r="M701" t="str">
        <f>IFERROR(VLOOKUP(E701,Sales_Reps!A:E,3,0),"")</f>
        <v>West</v>
      </c>
      <c r="N701" t="str">
        <f>IFERROR(VLOOKUP(C701,Customers!A:F,5,0),"")</f>
        <v>Corporate</v>
      </c>
      <c r="O701">
        <f>IFERROR(VLOOKUP(C701,Customers!A:F,3,0),"")</f>
        <v>24</v>
      </c>
      <c r="P701">
        <f>IFERROR(VLOOKUP(D701,Products!A:F,4,0),"")</f>
        <v>519</v>
      </c>
      <c r="Q701" t="b">
        <f>IFERROR(VLOOKUP(D701,Products!A:F,6,0),"")</f>
        <v>1</v>
      </c>
      <c r="R701">
        <f t="shared" si="30"/>
        <v>0.51944444444444449</v>
      </c>
      <c r="S701">
        <f t="shared" si="31"/>
        <v>1</v>
      </c>
      <c r="T701">
        <f>IF(AND(S701&gt;1,COUNTIF($A$2:A701,A701)=1),1,0)</f>
        <v>0</v>
      </c>
      <c r="U701">
        <f>COUNTIF(Customers!$A$2:$A$301,C701)</f>
        <v>1</v>
      </c>
      <c r="V701">
        <f t="shared" si="32"/>
        <v>0</v>
      </c>
    </row>
    <row r="702" spans="1:22" ht="14.25" customHeight="1" x14ac:dyDescent="0.35">
      <c r="A702" s="10" t="s">
        <v>1127</v>
      </c>
      <c r="B702" s="11">
        <v>45297</v>
      </c>
      <c r="C702" s="10" t="s">
        <v>799</v>
      </c>
      <c r="D702" s="10" t="s">
        <v>425</v>
      </c>
      <c r="E702" s="10" t="s">
        <v>67</v>
      </c>
      <c r="F702" s="12">
        <v>6</v>
      </c>
      <c r="G702" s="12">
        <v>3780</v>
      </c>
      <c r="H702" s="12">
        <v>27.8</v>
      </c>
      <c r="I702" s="12">
        <v>16374.96</v>
      </c>
      <c r="J702" s="10" t="s">
        <v>51</v>
      </c>
      <c r="K702" s="10" t="s">
        <v>81</v>
      </c>
      <c r="L702" t="str">
        <f>IFERROR(VLOOKUP(D702,Products!A:F,3,0),"")</f>
        <v>Sports</v>
      </c>
      <c r="M702" t="str">
        <f>IFERROR(VLOOKUP(E702,Sales_Reps!A:E,3,0),"")</f>
        <v>North</v>
      </c>
      <c r="N702" t="str">
        <f>IFERROR(VLOOKUP(C702,Customers!A:F,5,0),"")</f>
        <v>Retail</v>
      </c>
      <c r="O702">
        <f>IFERROR(VLOOKUP(C702,Customers!A:F,3,0),"")</f>
        <v>52</v>
      </c>
      <c r="P702">
        <f>IFERROR(VLOOKUP(D702,Products!A:F,4,0),"")</f>
        <v>1860</v>
      </c>
      <c r="Q702" t="b">
        <f>IFERROR(VLOOKUP(D702,Products!A:F,6,0),"")</f>
        <v>1</v>
      </c>
      <c r="R702">
        <f t="shared" si="30"/>
        <v>0.50793650793650791</v>
      </c>
      <c r="S702">
        <f t="shared" si="31"/>
        <v>2</v>
      </c>
      <c r="T702">
        <f>IF(AND(S702&gt;1,COUNTIF($A$2:A702,A702)=1),1,0)</f>
        <v>1</v>
      </c>
      <c r="U702">
        <f>COUNTIF(Customers!$A$2:$A$301,C702)</f>
        <v>1</v>
      </c>
      <c r="V702">
        <f t="shared" si="32"/>
        <v>0</v>
      </c>
    </row>
    <row r="703" spans="1:22" ht="14.25" customHeight="1" x14ac:dyDescent="0.35">
      <c r="A703" s="10" t="s">
        <v>1128</v>
      </c>
      <c r="B703" s="11">
        <v>45521</v>
      </c>
      <c r="C703" s="10" t="s">
        <v>1026</v>
      </c>
      <c r="D703" s="10" t="s">
        <v>131</v>
      </c>
      <c r="E703" s="10" t="s">
        <v>249</v>
      </c>
      <c r="F703" s="12">
        <v>8</v>
      </c>
      <c r="G703" s="12">
        <v>2480</v>
      </c>
      <c r="H703" s="12">
        <v>15.7</v>
      </c>
      <c r="I703" s="12">
        <v>16725.12</v>
      </c>
      <c r="J703" s="10" t="s">
        <v>57</v>
      </c>
      <c r="K703" s="10" t="s">
        <v>76</v>
      </c>
      <c r="L703" t="str">
        <f>IFERROR(VLOOKUP(D703,Products!A:F,3,0),"")</f>
        <v>Apparel</v>
      </c>
      <c r="M703" t="str">
        <f>IFERROR(VLOOKUP(E703,Sales_Reps!A:E,3,0),"")</f>
        <v>East</v>
      </c>
      <c r="N703" t="str">
        <f>IFERROR(VLOOKUP(C703,Customers!A:F,5,0),"")</f>
        <v>SMB</v>
      </c>
      <c r="O703">
        <f>IFERROR(VLOOKUP(C703,Customers!A:F,3,0),"")</f>
        <v>54</v>
      </c>
      <c r="P703">
        <f>IFERROR(VLOOKUP(D703,Products!A:F,4,0),"")</f>
        <v>1173</v>
      </c>
      <c r="Q703" t="b">
        <f>IFERROR(VLOOKUP(D703,Products!A:F,6,0),"")</f>
        <v>1</v>
      </c>
      <c r="R703">
        <f t="shared" si="30"/>
        <v>0.52701612903225803</v>
      </c>
      <c r="S703">
        <f t="shared" si="31"/>
        <v>1</v>
      </c>
      <c r="T703">
        <f>IF(AND(S703&gt;1,COUNTIF($A$2:A703,A703)=1),1,0)</f>
        <v>0</v>
      </c>
      <c r="U703">
        <f>COUNTIF(Customers!$A$2:$A$301,C703)</f>
        <v>1</v>
      </c>
      <c r="V703">
        <f t="shared" si="32"/>
        <v>0</v>
      </c>
    </row>
    <row r="704" spans="1:22" ht="14.25" customHeight="1" x14ac:dyDescent="0.35">
      <c r="A704" s="10" t="s">
        <v>1129</v>
      </c>
      <c r="B704" s="11">
        <v>45409</v>
      </c>
      <c r="C704" s="10" t="s">
        <v>354</v>
      </c>
      <c r="D704" s="10" t="s">
        <v>146</v>
      </c>
      <c r="E704" s="10" t="s">
        <v>62</v>
      </c>
      <c r="F704" s="12">
        <v>10</v>
      </c>
      <c r="G704" s="12">
        <v>1010</v>
      </c>
      <c r="H704" s="12">
        <v>0.1</v>
      </c>
      <c r="I704" s="12">
        <v>10089.9</v>
      </c>
      <c r="J704" s="10" t="s">
        <v>57</v>
      </c>
      <c r="K704" s="10" t="s">
        <v>52</v>
      </c>
      <c r="L704" t="str">
        <f>IFERROR(VLOOKUP(D704,Products!A:F,3,0),"")</f>
        <v>Sports</v>
      </c>
      <c r="M704" t="str">
        <f>IFERROR(VLOOKUP(E704,Sales_Reps!A:E,3,0),"")</f>
        <v>South</v>
      </c>
      <c r="N704" t="str">
        <f>IFERROR(VLOOKUP(C704,Customers!A:F,5,0),"")</f>
        <v>SMB</v>
      </c>
      <c r="O704">
        <f>IFERROR(VLOOKUP(C704,Customers!A:F,3,0),"")</f>
        <v>54</v>
      </c>
      <c r="P704">
        <f>IFERROR(VLOOKUP(D704,Products!A:F,4,0),"")</f>
        <v>516</v>
      </c>
      <c r="Q704" t="b">
        <f>IFERROR(VLOOKUP(D704,Products!A:F,6,0),"")</f>
        <v>1</v>
      </c>
      <c r="R704">
        <f t="shared" si="30"/>
        <v>0.4891089108910891</v>
      </c>
      <c r="S704">
        <f t="shared" si="31"/>
        <v>1</v>
      </c>
      <c r="T704">
        <f>IF(AND(S704&gt;1,COUNTIF($A$2:A704,A704)=1),1,0)</f>
        <v>0</v>
      </c>
      <c r="U704">
        <f>COUNTIF(Customers!$A$2:$A$301,C704)</f>
        <v>1</v>
      </c>
      <c r="V704">
        <f t="shared" si="32"/>
        <v>0</v>
      </c>
    </row>
    <row r="705" spans="1:22" ht="14.25" customHeight="1" x14ac:dyDescent="0.35">
      <c r="A705" s="10" t="s">
        <v>1130</v>
      </c>
      <c r="B705" s="11">
        <v>45406</v>
      </c>
      <c r="C705" s="10" t="s">
        <v>114</v>
      </c>
      <c r="D705" s="10" t="s">
        <v>61</v>
      </c>
      <c r="E705" s="10" t="s">
        <v>152</v>
      </c>
      <c r="F705" s="12">
        <v>3</v>
      </c>
      <c r="G705" s="12">
        <v>470</v>
      </c>
      <c r="H705" s="12">
        <v>1.1000000000000001</v>
      </c>
      <c r="I705" s="12">
        <v>1394.49</v>
      </c>
      <c r="J705" s="10" t="s">
        <v>51</v>
      </c>
      <c r="K705" s="10" t="s">
        <v>52</v>
      </c>
      <c r="L705" t="str">
        <f>IFERROR(VLOOKUP(D705,Products!A:F,3,0),"")</f>
        <v>Sports</v>
      </c>
      <c r="M705" t="str">
        <f>IFERROR(VLOOKUP(E705,Sales_Reps!A:E,3,0),"")</f>
        <v>South</v>
      </c>
      <c r="N705" t="str">
        <f>IFERROR(VLOOKUP(C705,Customers!A:F,5,0),"")</f>
        <v>Retail</v>
      </c>
      <c r="O705">
        <f>IFERROR(VLOOKUP(C705,Customers!A:F,3,0),"")</f>
        <v>63</v>
      </c>
      <c r="P705">
        <f>IFERROR(VLOOKUP(D705,Products!A:F,4,0),"")</f>
        <v>302</v>
      </c>
      <c r="Q705" t="b">
        <f>IFERROR(VLOOKUP(D705,Products!A:F,6,0),"")</f>
        <v>0</v>
      </c>
      <c r="R705">
        <f t="shared" si="30"/>
        <v>0.35744680851063831</v>
      </c>
      <c r="S705">
        <f t="shared" si="31"/>
        <v>1</v>
      </c>
      <c r="T705">
        <f>IF(AND(S705&gt;1,COUNTIF($A$2:A705,A705)=1),1,0)</f>
        <v>0</v>
      </c>
      <c r="U705">
        <f>COUNTIF(Customers!$A$2:$A$301,C705)</f>
        <v>1</v>
      </c>
      <c r="V705">
        <f t="shared" si="32"/>
        <v>0</v>
      </c>
    </row>
    <row r="706" spans="1:22" ht="14.25" customHeight="1" x14ac:dyDescent="0.35">
      <c r="A706" s="10" t="s">
        <v>1131</v>
      </c>
      <c r="B706" s="11">
        <v>45474</v>
      </c>
      <c r="C706" s="10" t="s">
        <v>678</v>
      </c>
      <c r="D706" s="10" t="s">
        <v>95</v>
      </c>
      <c r="E706" s="10" t="s">
        <v>85</v>
      </c>
      <c r="F706" s="12">
        <v>4</v>
      </c>
      <c r="G706" s="12">
        <v>2270</v>
      </c>
      <c r="H706" s="12">
        <v>17.100000000000001</v>
      </c>
      <c r="I706" s="12">
        <v>7527.32</v>
      </c>
      <c r="J706" s="10" t="s">
        <v>51</v>
      </c>
      <c r="K706" s="10" t="s">
        <v>63</v>
      </c>
      <c r="L706" t="str">
        <f>IFERROR(VLOOKUP(D706,Products!A:F,3,0),"")</f>
        <v>Grocery</v>
      </c>
      <c r="M706" t="str">
        <f>IFERROR(VLOOKUP(E706,Sales_Reps!A:E,3,0),"")</f>
        <v>East</v>
      </c>
      <c r="N706" t="str">
        <f>IFERROR(VLOOKUP(C706,Customers!A:F,5,0),"")</f>
        <v>Retail</v>
      </c>
      <c r="O706">
        <f>IFERROR(VLOOKUP(C706,Customers!A:F,3,0),"")</f>
        <v>24</v>
      </c>
      <c r="P706">
        <f>IFERROR(VLOOKUP(D706,Products!A:F,4,0),"")</f>
        <v>1203</v>
      </c>
      <c r="Q706" t="b">
        <f>IFERROR(VLOOKUP(D706,Products!A:F,6,0),"")</f>
        <v>1</v>
      </c>
      <c r="R706">
        <f t="shared" ref="R706:R769" si="33">IFERROR((G706-P706)/G706,"")</f>
        <v>0.47004405286343615</v>
      </c>
      <c r="S706">
        <f t="shared" ref="S706:S769" si="34">COUNTIF($A$2:$A$2001,A706)</f>
        <v>1</v>
      </c>
      <c r="T706">
        <f>IF(AND(S706&gt;1,COUNTIF($A$2:A706,A706)=1),1,0)</f>
        <v>0</v>
      </c>
      <c r="U706">
        <f>COUNTIF(Customers!$A$2:$A$301,C706)</f>
        <v>1</v>
      </c>
      <c r="V706">
        <f t="shared" ref="V706:V769" si="35">IF(AND(K706="Bengaluru",L706="Grocery"),I706,0)</f>
        <v>0</v>
      </c>
    </row>
    <row r="707" spans="1:22" ht="14.25" customHeight="1" x14ac:dyDescent="0.35">
      <c r="A707" s="10" t="s">
        <v>1132</v>
      </c>
      <c r="B707" s="11">
        <v>45588</v>
      </c>
      <c r="C707" s="10" t="s">
        <v>187</v>
      </c>
      <c r="D707" s="10" t="s">
        <v>164</v>
      </c>
      <c r="E707" s="10" t="s">
        <v>96</v>
      </c>
      <c r="F707" s="12">
        <v>7</v>
      </c>
      <c r="G707" s="12">
        <v>2760</v>
      </c>
      <c r="H707" s="12">
        <v>17.100000000000001</v>
      </c>
      <c r="I707" s="12">
        <v>16016.28</v>
      </c>
      <c r="J707" s="10" t="s">
        <v>51</v>
      </c>
      <c r="K707" s="10" t="s">
        <v>63</v>
      </c>
      <c r="L707" t="str">
        <f>IFERROR(VLOOKUP(D707,Products!A:F,3,0),"")</f>
        <v>Grocery</v>
      </c>
      <c r="M707" t="str">
        <f>IFERROR(VLOOKUP(E707,Sales_Reps!A:E,3,0),"")</f>
        <v>South</v>
      </c>
      <c r="N707" t="str">
        <f>IFERROR(VLOOKUP(C707,Customers!A:F,5,0),"")</f>
        <v>Retail</v>
      </c>
      <c r="O707">
        <f>IFERROR(VLOOKUP(C707,Customers!A:F,3,0),"")</f>
        <v>53</v>
      </c>
      <c r="P707">
        <f>IFERROR(VLOOKUP(D707,Products!A:F,4,0),"")</f>
        <v>1435</v>
      </c>
      <c r="Q707" t="b">
        <f>IFERROR(VLOOKUP(D707,Products!A:F,6,0),"")</f>
        <v>1</v>
      </c>
      <c r="R707">
        <f t="shared" si="33"/>
        <v>0.48007246376811596</v>
      </c>
      <c r="S707">
        <f t="shared" si="34"/>
        <v>1</v>
      </c>
      <c r="T707">
        <f>IF(AND(S707&gt;1,COUNTIF($A$2:A707,A707)=1),1,0)</f>
        <v>0</v>
      </c>
      <c r="U707">
        <f>COUNTIF(Customers!$A$2:$A$301,C707)</f>
        <v>1</v>
      </c>
      <c r="V707">
        <f t="shared" si="35"/>
        <v>0</v>
      </c>
    </row>
    <row r="708" spans="1:22" ht="14.25" customHeight="1" x14ac:dyDescent="0.35">
      <c r="A708" s="10" t="s">
        <v>1133</v>
      </c>
      <c r="B708" s="11">
        <v>45530</v>
      </c>
      <c r="C708" s="10" t="s">
        <v>1011</v>
      </c>
      <c r="D708" s="10" t="s">
        <v>125</v>
      </c>
      <c r="E708" s="10" t="s">
        <v>71</v>
      </c>
      <c r="F708" s="12">
        <v>6</v>
      </c>
      <c r="G708" s="12">
        <v>3450</v>
      </c>
      <c r="H708" s="12">
        <v>6.6</v>
      </c>
      <c r="I708" s="12">
        <v>19333.8</v>
      </c>
      <c r="J708" s="10" t="s">
        <v>108</v>
      </c>
      <c r="K708" s="10" t="s">
        <v>97</v>
      </c>
      <c r="L708" t="str">
        <f>IFERROR(VLOOKUP(D708,Products!A:F,3,0),"")</f>
        <v>Sports</v>
      </c>
      <c r="M708" t="str">
        <f>IFERROR(VLOOKUP(E708,Sales_Reps!A:E,3,0),"")</f>
        <v>North</v>
      </c>
      <c r="N708" t="str">
        <f>IFERROR(VLOOKUP(C708,Customers!A:F,5,0),"")</f>
        <v>Retail</v>
      </c>
      <c r="O708">
        <f>IFERROR(VLOOKUP(C708,Customers!A:F,3,0),"")</f>
        <v>41</v>
      </c>
      <c r="P708">
        <f>IFERROR(VLOOKUP(D708,Products!A:F,4,0),"")</f>
        <v>2467</v>
      </c>
      <c r="Q708" t="b">
        <f>IFERROR(VLOOKUP(D708,Products!A:F,6,0),"")</f>
        <v>1</v>
      </c>
      <c r="R708">
        <f t="shared" si="33"/>
        <v>0.28492753623188405</v>
      </c>
      <c r="S708">
        <f t="shared" si="34"/>
        <v>1</v>
      </c>
      <c r="T708">
        <f>IF(AND(S708&gt;1,COUNTIF($A$2:A708,A708)=1),1,0)</f>
        <v>0</v>
      </c>
      <c r="U708">
        <f>COUNTIF(Customers!$A$2:$A$301,C708)</f>
        <v>1</v>
      </c>
      <c r="V708">
        <f t="shared" si="35"/>
        <v>0</v>
      </c>
    </row>
    <row r="709" spans="1:22" ht="14.25" customHeight="1" x14ac:dyDescent="0.35">
      <c r="A709" s="10" t="s">
        <v>1134</v>
      </c>
      <c r="B709" s="11">
        <v>45630</v>
      </c>
      <c r="C709" s="10" t="s">
        <v>556</v>
      </c>
      <c r="D709" s="10" t="s">
        <v>66</v>
      </c>
      <c r="E709" s="10" t="s">
        <v>50</v>
      </c>
      <c r="F709" s="12">
        <v>8</v>
      </c>
      <c r="G709" s="12">
        <v>3660</v>
      </c>
      <c r="H709" s="12">
        <v>7.2</v>
      </c>
      <c r="I709" s="12">
        <v>27171.84</v>
      </c>
      <c r="J709" s="10" t="s">
        <v>51</v>
      </c>
      <c r="K709" s="10" t="s">
        <v>97</v>
      </c>
      <c r="L709" t="str">
        <f>IFERROR(VLOOKUP(D709,Products!A:F,3,0),"")</f>
        <v>Grocery</v>
      </c>
      <c r="M709" t="str">
        <f>IFERROR(VLOOKUP(E709,Sales_Reps!A:E,3,0),"")</f>
        <v>North</v>
      </c>
      <c r="N709" t="str">
        <f>IFERROR(VLOOKUP(C709,Customers!A:F,5,0),"")</f>
        <v>Retail</v>
      </c>
      <c r="O709">
        <f>IFERROR(VLOOKUP(C709,Customers!A:F,3,0),"")</f>
        <v>22</v>
      </c>
      <c r="P709">
        <f>IFERROR(VLOOKUP(D709,Products!A:F,4,0),"")</f>
        <v>2214</v>
      </c>
      <c r="Q709" t="b">
        <f>IFERROR(VLOOKUP(D709,Products!A:F,6,0),"")</f>
        <v>0</v>
      </c>
      <c r="R709">
        <f t="shared" si="33"/>
        <v>0.39508196721311473</v>
      </c>
      <c r="S709">
        <f t="shared" si="34"/>
        <v>1</v>
      </c>
      <c r="T709">
        <f>IF(AND(S709&gt;1,COUNTIF($A$2:A709,A709)=1),1,0)</f>
        <v>0</v>
      </c>
      <c r="U709">
        <f>COUNTIF(Customers!$A$2:$A$301,C709)</f>
        <v>1</v>
      </c>
      <c r="V709">
        <f t="shared" si="35"/>
        <v>0</v>
      </c>
    </row>
    <row r="710" spans="1:22" ht="14.25" customHeight="1" x14ac:dyDescent="0.35">
      <c r="A710" s="10" t="s">
        <v>1135</v>
      </c>
      <c r="B710" s="11">
        <v>45551</v>
      </c>
      <c r="C710" s="10" t="s">
        <v>1136</v>
      </c>
      <c r="D710" s="10" t="s">
        <v>231</v>
      </c>
      <c r="E710" s="10" t="s">
        <v>134</v>
      </c>
      <c r="F710" s="12">
        <v>4</v>
      </c>
      <c r="G710" s="12">
        <v>1220</v>
      </c>
      <c r="H710" s="12">
        <v>24.3</v>
      </c>
      <c r="I710" s="12">
        <v>3694.16</v>
      </c>
      <c r="J710" s="10" t="s">
        <v>104</v>
      </c>
      <c r="K710" s="10" t="s">
        <v>52</v>
      </c>
      <c r="L710" t="str">
        <f>IFERROR(VLOOKUP(D710,Products!A:F,3,0),"")</f>
        <v>Electronics</v>
      </c>
      <c r="M710" t="str">
        <f>IFERROR(VLOOKUP(E710,Sales_Reps!A:E,3,0),"")</f>
        <v>West</v>
      </c>
      <c r="N710" t="str">
        <f>IFERROR(VLOOKUP(C710,Customers!A:F,5,0),"")</f>
        <v>Retail</v>
      </c>
      <c r="O710">
        <f>IFERROR(VLOOKUP(C710,Customers!A:F,3,0),"")</f>
        <v>39</v>
      </c>
      <c r="P710">
        <f>IFERROR(VLOOKUP(D710,Products!A:F,4,0),"")</f>
        <v>517</v>
      </c>
      <c r="Q710" t="b">
        <f>IFERROR(VLOOKUP(D710,Products!A:F,6,0),"")</f>
        <v>1</v>
      </c>
      <c r="R710">
        <f t="shared" si="33"/>
        <v>0.57622950819672136</v>
      </c>
      <c r="S710">
        <f t="shared" si="34"/>
        <v>1</v>
      </c>
      <c r="T710">
        <f>IF(AND(S710&gt;1,COUNTIF($A$2:A710,A710)=1),1,0)</f>
        <v>0</v>
      </c>
      <c r="U710">
        <f>COUNTIF(Customers!$A$2:$A$301,C710)</f>
        <v>1</v>
      </c>
      <c r="V710">
        <f t="shared" si="35"/>
        <v>0</v>
      </c>
    </row>
    <row r="711" spans="1:22" ht="14.25" customHeight="1" x14ac:dyDescent="0.35">
      <c r="A711" s="10" t="s">
        <v>1137</v>
      </c>
      <c r="B711" s="11">
        <v>45610</v>
      </c>
      <c r="C711" s="10" t="s">
        <v>847</v>
      </c>
      <c r="D711" s="10" t="s">
        <v>324</v>
      </c>
      <c r="E711" s="10" t="s">
        <v>50</v>
      </c>
      <c r="F711" s="12">
        <v>2</v>
      </c>
      <c r="G711" s="12">
        <v>5410</v>
      </c>
      <c r="H711" s="12">
        <v>0.9</v>
      </c>
      <c r="I711" s="12">
        <v>10722.62</v>
      </c>
      <c r="J711" s="10" t="s">
        <v>57</v>
      </c>
      <c r="K711" s="10" t="s">
        <v>97</v>
      </c>
      <c r="L711" t="str">
        <f>IFERROR(VLOOKUP(D711,Products!A:F,3,0),"")</f>
        <v>Sports</v>
      </c>
      <c r="M711" t="str">
        <f>IFERROR(VLOOKUP(E711,Sales_Reps!A:E,3,0),"")</f>
        <v>North</v>
      </c>
      <c r="N711" t="str">
        <f>IFERROR(VLOOKUP(C711,Customers!A:F,5,0),"")</f>
        <v>SMB</v>
      </c>
      <c r="O711">
        <f>IFERROR(VLOOKUP(C711,Customers!A:F,3,0),"")</f>
        <v>28</v>
      </c>
      <c r="P711">
        <f>IFERROR(VLOOKUP(D711,Products!A:F,4,0),"")</f>
        <v>2265</v>
      </c>
      <c r="Q711" t="b">
        <f>IFERROR(VLOOKUP(D711,Products!A:F,6,0),"")</f>
        <v>1</v>
      </c>
      <c r="R711">
        <f t="shared" si="33"/>
        <v>0.58133086876155271</v>
      </c>
      <c r="S711">
        <f t="shared" si="34"/>
        <v>1</v>
      </c>
      <c r="T711">
        <f>IF(AND(S711&gt;1,COUNTIF($A$2:A711,A711)=1),1,0)</f>
        <v>0</v>
      </c>
      <c r="U711">
        <f>COUNTIF(Customers!$A$2:$A$301,C711)</f>
        <v>1</v>
      </c>
      <c r="V711">
        <f t="shared" si="35"/>
        <v>0</v>
      </c>
    </row>
    <row r="712" spans="1:22" ht="14.25" customHeight="1" x14ac:dyDescent="0.35">
      <c r="A712" s="10" t="s">
        <v>1138</v>
      </c>
      <c r="B712" s="11">
        <v>45322</v>
      </c>
      <c r="C712" s="10" t="s">
        <v>377</v>
      </c>
      <c r="D712" s="10" t="s">
        <v>259</v>
      </c>
      <c r="E712" s="10" t="s">
        <v>168</v>
      </c>
      <c r="F712" s="12">
        <v>5</v>
      </c>
      <c r="G712" s="12">
        <v>2030</v>
      </c>
      <c r="H712" s="12">
        <v>25.2</v>
      </c>
      <c r="I712" s="12">
        <v>7592.2</v>
      </c>
      <c r="J712" s="10" t="s">
        <v>51</v>
      </c>
      <c r="K712" s="10" t="s">
        <v>52</v>
      </c>
      <c r="L712" t="str">
        <f>IFERROR(VLOOKUP(D712,Products!A:F,3,0),"")</f>
        <v>Home</v>
      </c>
      <c r="M712" t="str">
        <f>IFERROR(VLOOKUP(E712,Sales_Reps!A:E,3,0),"")</f>
        <v>South</v>
      </c>
      <c r="N712" t="str">
        <f>IFERROR(VLOOKUP(C712,Customers!A:F,5,0),"")</f>
        <v>Retail</v>
      </c>
      <c r="O712">
        <f>IFERROR(VLOOKUP(C712,Customers!A:F,3,0),"")</f>
        <v>22</v>
      </c>
      <c r="P712">
        <f>IFERROR(VLOOKUP(D712,Products!A:F,4,0),"")</f>
        <v>1143</v>
      </c>
      <c r="Q712" t="b">
        <f>IFERROR(VLOOKUP(D712,Products!A:F,6,0),"")</f>
        <v>1</v>
      </c>
      <c r="R712">
        <f t="shared" si="33"/>
        <v>0.43694581280788175</v>
      </c>
      <c r="S712">
        <f t="shared" si="34"/>
        <v>1</v>
      </c>
      <c r="T712">
        <f>IF(AND(S712&gt;1,COUNTIF($A$2:A712,A712)=1),1,0)</f>
        <v>0</v>
      </c>
      <c r="U712">
        <f>COUNTIF(Customers!$A$2:$A$301,C712)</f>
        <v>1</v>
      </c>
      <c r="V712">
        <f t="shared" si="35"/>
        <v>0</v>
      </c>
    </row>
    <row r="713" spans="1:22" ht="14.25" customHeight="1" x14ac:dyDescent="0.35">
      <c r="A713" s="10" t="s">
        <v>1139</v>
      </c>
      <c r="B713" s="11">
        <v>45363</v>
      </c>
      <c r="C713" s="10" t="s">
        <v>549</v>
      </c>
      <c r="D713" s="10" t="s">
        <v>231</v>
      </c>
      <c r="E713" s="10" t="s">
        <v>289</v>
      </c>
      <c r="F713" s="12">
        <v>5</v>
      </c>
      <c r="G713" s="12">
        <v>1220</v>
      </c>
      <c r="H713" s="12">
        <v>2.6</v>
      </c>
      <c r="I713" s="12">
        <v>5941.4</v>
      </c>
      <c r="J713" s="10" t="s">
        <v>51</v>
      </c>
      <c r="K713" s="10" t="s">
        <v>58</v>
      </c>
      <c r="L713" t="str">
        <f>IFERROR(VLOOKUP(D713,Products!A:F,3,0),"")</f>
        <v>Electronics</v>
      </c>
      <c r="M713" t="str">
        <f>IFERROR(VLOOKUP(E713,Sales_Reps!A:E,3,0),"")</f>
        <v>South</v>
      </c>
      <c r="N713" t="str">
        <f>IFERROR(VLOOKUP(C713,Customers!A:F,5,0),"")</f>
        <v>Retail</v>
      </c>
      <c r="O713">
        <f>IFERROR(VLOOKUP(C713,Customers!A:F,3,0),"")</f>
        <v>26</v>
      </c>
      <c r="P713">
        <f>IFERROR(VLOOKUP(D713,Products!A:F,4,0),"")</f>
        <v>517</v>
      </c>
      <c r="Q713" t="b">
        <f>IFERROR(VLOOKUP(D713,Products!A:F,6,0),"")</f>
        <v>1</v>
      </c>
      <c r="R713">
        <f t="shared" si="33"/>
        <v>0.57622950819672136</v>
      </c>
      <c r="S713">
        <f t="shared" si="34"/>
        <v>1</v>
      </c>
      <c r="T713">
        <f>IF(AND(S713&gt;1,COUNTIF($A$2:A713,A713)=1),1,0)</f>
        <v>0</v>
      </c>
      <c r="U713">
        <f>COUNTIF(Customers!$A$2:$A$301,C713)</f>
        <v>1</v>
      </c>
      <c r="V713">
        <f t="shared" si="35"/>
        <v>0</v>
      </c>
    </row>
    <row r="714" spans="1:22" ht="14.25" customHeight="1" x14ac:dyDescent="0.35">
      <c r="A714" s="10" t="s">
        <v>1140</v>
      </c>
      <c r="B714" s="11">
        <v>45600</v>
      </c>
      <c r="C714" s="10" t="s">
        <v>488</v>
      </c>
      <c r="D714" s="10" t="s">
        <v>243</v>
      </c>
      <c r="E714" s="10" t="s">
        <v>67</v>
      </c>
      <c r="F714" s="12">
        <v>4</v>
      </c>
      <c r="G714" s="12">
        <v>2660</v>
      </c>
      <c r="H714" s="12">
        <v>19.100000000000001</v>
      </c>
      <c r="I714" s="12">
        <v>8607.76</v>
      </c>
      <c r="J714" s="10" t="s">
        <v>108</v>
      </c>
      <c r="K714" s="10" t="s">
        <v>76</v>
      </c>
      <c r="L714" t="str">
        <f>IFERROR(VLOOKUP(D714,Products!A:F,3,0),"")</f>
        <v>Electronics</v>
      </c>
      <c r="M714" t="str">
        <f>IFERROR(VLOOKUP(E714,Sales_Reps!A:E,3,0),"")</f>
        <v>North</v>
      </c>
      <c r="N714" t="str">
        <f>IFERROR(VLOOKUP(C714,Customers!A:F,5,0),"")</f>
        <v>Corporate</v>
      </c>
      <c r="O714">
        <f>IFERROR(VLOOKUP(C714,Customers!A:F,3,0),"")</f>
        <v>55</v>
      </c>
      <c r="P714">
        <f>IFERROR(VLOOKUP(D714,Products!A:F,4,0),"")</f>
        <v>1259</v>
      </c>
      <c r="Q714" t="b">
        <f>IFERROR(VLOOKUP(D714,Products!A:F,6,0),"")</f>
        <v>0</v>
      </c>
      <c r="R714">
        <f t="shared" si="33"/>
        <v>0.52669172932330832</v>
      </c>
      <c r="S714">
        <f t="shared" si="34"/>
        <v>1</v>
      </c>
      <c r="T714">
        <f>IF(AND(S714&gt;1,COUNTIF($A$2:A714,A714)=1),1,0)</f>
        <v>0</v>
      </c>
      <c r="U714">
        <f>COUNTIF(Customers!$A$2:$A$301,C714)</f>
        <v>1</v>
      </c>
      <c r="V714">
        <f t="shared" si="35"/>
        <v>0</v>
      </c>
    </row>
    <row r="715" spans="1:22" ht="14.25" customHeight="1" x14ac:dyDescent="0.35">
      <c r="A715" s="10" t="s">
        <v>1141</v>
      </c>
      <c r="B715" s="11">
        <v>45351</v>
      </c>
      <c r="C715" s="10" t="s">
        <v>574</v>
      </c>
      <c r="D715" s="10" t="s">
        <v>228</v>
      </c>
      <c r="E715" s="10" t="s">
        <v>310</v>
      </c>
      <c r="F715" s="12">
        <v>3</v>
      </c>
      <c r="G715" s="12">
        <v>4070</v>
      </c>
      <c r="H715" s="12">
        <v>25.2</v>
      </c>
      <c r="I715" s="12">
        <v>9133.08</v>
      </c>
      <c r="J715" s="10" t="s">
        <v>51</v>
      </c>
      <c r="K715" s="10" t="s">
        <v>81</v>
      </c>
      <c r="L715" t="str">
        <f>IFERROR(VLOOKUP(D715,Products!A:F,3,0),"")</f>
        <v>Grocery</v>
      </c>
      <c r="M715" t="str">
        <f>IFERROR(VLOOKUP(E715,Sales_Reps!A:E,3,0),"")</f>
        <v>South</v>
      </c>
      <c r="N715" t="str">
        <f>IFERROR(VLOOKUP(C715,Customers!A:F,5,0),"")</f>
        <v>SMB</v>
      </c>
      <c r="O715">
        <f>IFERROR(VLOOKUP(C715,Customers!A:F,3,0),"")</f>
        <v>42</v>
      </c>
      <c r="P715">
        <f>IFERROR(VLOOKUP(D715,Products!A:F,4,0),"")</f>
        <v>2027</v>
      </c>
      <c r="Q715" t="b">
        <f>IFERROR(VLOOKUP(D715,Products!A:F,6,0),"")</f>
        <v>1</v>
      </c>
      <c r="R715">
        <f t="shared" si="33"/>
        <v>0.50196560196560192</v>
      </c>
      <c r="S715">
        <f t="shared" si="34"/>
        <v>1</v>
      </c>
      <c r="T715">
        <f>IF(AND(S715&gt;1,COUNTIF($A$2:A715,A715)=1),1,0)</f>
        <v>0</v>
      </c>
      <c r="U715">
        <f>COUNTIF(Customers!$A$2:$A$301,C715)</f>
        <v>1</v>
      </c>
      <c r="V715">
        <f t="shared" si="35"/>
        <v>9133.08</v>
      </c>
    </row>
    <row r="716" spans="1:22" ht="14.25" customHeight="1" x14ac:dyDescent="0.35">
      <c r="A716" s="10" t="s">
        <v>1142</v>
      </c>
      <c r="B716" s="11">
        <v>45461</v>
      </c>
      <c r="C716" s="10" t="s">
        <v>633</v>
      </c>
      <c r="D716" s="10" t="s">
        <v>344</v>
      </c>
      <c r="E716" s="10" t="s">
        <v>62</v>
      </c>
      <c r="F716" s="12">
        <v>10</v>
      </c>
      <c r="G716" s="12">
        <v>960</v>
      </c>
      <c r="H716" s="12">
        <v>0.3</v>
      </c>
      <c r="I716" s="12">
        <v>9571.2000000000007</v>
      </c>
      <c r="J716" s="10" t="s">
        <v>51</v>
      </c>
      <c r="K716" s="10" t="s">
        <v>97</v>
      </c>
      <c r="L716" t="str">
        <f>IFERROR(VLOOKUP(D716,Products!A:F,3,0),"")</f>
        <v>Beauty</v>
      </c>
      <c r="M716" t="str">
        <f>IFERROR(VLOOKUP(E716,Sales_Reps!A:E,3,0),"")</f>
        <v>South</v>
      </c>
      <c r="N716" t="str">
        <f>IFERROR(VLOOKUP(C716,Customers!A:F,5,0),"")</f>
        <v>Retail</v>
      </c>
      <c r="O716">
        <f>IFERROR(VLOOKUP(C716,Customers!A:F,3,0),"")</f>
        <v>31</v>
      </c>
      <c r="P716">
        <f>IFERROR(VLOOKUP(D716,Products!A:F,4,0),"")</f>
        <v>675</v>
      </c>
      <c r="Q716" t="b">
        <f>IFERROR(VLOOKUP(D716,Products!A:F,6,0),"")</f>
        <v>1</v>
      </c>
      <c r="R716">
        <f t="shared" si="33"/>
        <v>0.296875</v>
      </c>
      <c r="S716">
        <f t="shared" si="34"/>
        <v>1</v>
      </c>
      <c r="T716">
        <f>IF(AND(S716&gt;1,COUNTIF($A$2:A716,A716)=1),1,0)</f>
        <v>0</v>
      </c>
      <c r="U716">
        <f>COUNTIF(Customers!$A$2:$A$301,C716)</f>
        <v>1</v>
      </c>
      <c r="V716">
        <f t="shared" si="35"/>
        <v>0</v>
      </c>
    </row>
    <row r="717" spans="1:22" ht="14.25" customHeight="1" x14ac:dyDescent="0.35">
      <c r="A717" s="10" t="s">
        <v>1143</v>
      </c>
      <c r="B717" s="11">
        <v>45431</v>
      </c>
      <c r="C717" s="10" t="s">
        <v>1144</v>
      </c>
      <c r="D717" s="10" t="s">
        <v>190</v>
      </c>
      <c r="E717" s="10" t="s">
        <v>193</v>
      </c>
      <c r="F717" s="12">
        <v>2</v>
      </c>
      <c r="G717" s="12">
        <v>3730</v>
      </c>
      <c r="H717" s="12">
        <v>29.9</v>
      </c>
      <c r="I717" s="12">
        <v>5229.46</v>
      </c>
      <c r="J717" s="10" t="s">
        <v>51</v>
      </c>
      <c r="K717" s="10" t="s">
        <v>58</v>
      </c>
      <c r="L717" t="str">
        <f>IFERROR(VLOOKUP(D717,Products!A:F,3,0),"")</f>
        <v>Home</v>
      </c>
      <c r="M717" t="str">
        <f>IFERROR(VLOOKUP(E717,Sales_Reps!A:E,3,0),"")</f>
        <v>West</v>
      </c>
      <c r="N717" t="str">
        <f>IFERROR(VLOOKUP(C717,Customers!A:F,5,0),"")</f>
        <v>Corporate</v>
      </c>
      <c r="O717">
        <f>IFERROR(VLOOKUP(C717,Customers!A:F,3,0),"")</f>
        <v>49</v>
      </c>
      <c r="P717">
        <f>IFERROR(VLOOKUP(D717,Products!A:F,4,0),"")</f>
        <v>2135</v>
      </c>
      <c r="Q717" t="b">
        <f>IFERROR(VLOOKUP(D717,Products!A:F,6,0),"")</f>
        <v>1</v>
      </c>
      <c r="R717">
        <f t="shared" si="33"/>
        <v>0.42761394101876676</v>
      </c>
      <c r="S717">
        <f t="shared" si="34"/>
        <v>1</v>
      </c>
      <c r="T717">
        <f>IF(AND(S717&gt;1,COUNTIF($A$2:A717,A717)=1),1,0)</f>
        <v>0</v>
      </c>
      <c r="U717">
        <f>COUNTIF(Customers!$A$2:$A$301,C717)</f>
        <v>1</v>
      </c>
      <c r="V717">
        <f t="shared" si="35"/>
        <v>0</v>
      </c>
    </row>
    <row r="718" spans="1:22" ht="14.25" customHeight="1" x14ac:dyDescent="0.35">
      <c r="A718" s="10" t="s">
        <v>1145</v>
      </c>
      <c r="B718" s="11">
        <v>45592</v>
      </c>
      <c r="C718" s="10" t="s">
        <v>333</v>
      </c>
      <c r="D718" s="10" t="s">
        <v>79</v>
      </c>
      <c r="E718" s="10" t="s">
        <v>103</v>
      </c>
      <c r="F718" s="12">
        <v>9</v>
      </c>
      <c r="G718" s="12">
        <v>960</v>
      </c>
      <c r="H718" s="12">
        <v>1.9</v>
      </c>
      <c r="I718" s="12">
        <v>8475.84</v>
      </c>
      <c r="J718" s="10" t="s">
        <v>51</v>
      </c>
      <c r="K718" s="10" t="s">
        <v>58</v>
      </c>
      <c r="L718" t="str">
        <f>IFERROR(VLOOKUP(D718,Products!A:F,3,0),"")</f>
        <v>Sports</v>
      </c>
      <c r="M718" t="str">
        <f>IFERROR(VLOOKUP(E718,Sales_Reps!A:E,3,0),"")</f>
        <v>North</v>
      </c>
      <c r="N718" t="str">
        <f>IFERROR(VLOOKUP(C718,Customers!A:F,5,0),"")</f>
        <v>SMB</v>
      </c>
      <c r="O718">
        <f>IFERROR(VLOOKUP(C718,Customers!A:F,3,0),"")</f>
        <v>62</v>
      </c>
      <c r="P718">
        <f>IFERROR(VLOOKUP(D718,Products!A:F,4,0),"")</f>
        <v>705</v>
      </c>
      <c r="Q718" t="b">
        <f>IFERROR(VLOOKUP(D718,Products!A:F,6,0),"")</f>
        <v>1</v>
      </c>
      <c r="R718">
        <f t="shared" si="33"/>
        <v>0.265625</v>
      </c>
      <c r="S718">
        <f t="shared" si="34"/>
        <v>1</v>
      </c>
      <c r="T718">
        <f>IF(AND(S718&gt;1,COUNTIF($A$2:A718,A718)=1),1,0)</f>
        <v>0</v>
      </c>
      <c r="U718">
        <f>COUNTIF(Customers!$A$2:$A$301,C718)</f>
        <v>1</v>
      </c>
      <c r="V718">
        <f t="shared" si="35"/>
        <v>0</v>
      </c>
    </row>
    <row r="719" spans="1:22" ht="14.25" customHeight="1" x14ac:dyDescent="0.35">
      <c r="A719" s="10" t="s">
        <v>1146</v>
      </c>
      <c r="B719" s="11">
        <v>45454</v>
      </c>
      <c r="C719" s="10" t="s">
        <v>110</v>
      </c>
      <c r="D719" s="10" t="s">
        <v>416</v>
      </c>
      <c r="E719" s="10" t="s">
        <v>103</v>
      </c>
      <c r="F719" s="12">
        <v>2</v>
      </c>
      <c r="G719" s="12">
        <v>3450</v>
      </c>
      <c r="H719" s="12">
        <v>22.9</v>
      </c>
      <c r="I719" s="12">
        <v>5319.9</v>
      </c>
      <c r="J719" s="10" t="s">
        <v>57</v>
      </c>
      <c r="K719" s="10" t="s">
        <v>52</v>
      </c>
      <c r="L719" t="str">
        <f>IFERROR(VLOOKUP(D719,Products!A:F,3,0),"")</f>
        <v>Apparel</v>
      </c>
      <c r="M719" t="str">
        <f>IFERROR(VLOOKUP(E719,Sales_Reps!A:E,3,0),"")</f>
        <v>North</v>
      </c>
      <c r="N719" t="str">
        <f>IFERROR(VLOOKUP(C719,Customers!A:F,5,0),"")</f>
        <v>Retail</v>
      </c>
      <c r="O719">
        <f>IFERROR(VLOOKUP(C719,Customers!A:F,3,0),"")</f>
        <v>38</v>
      </c>
      <c r="P719">
        <f>IFERROR(VLOOKUP(D719,Products!A:F,4,0),"")</f>
        <v>1748</v>
      </c>
      <c r="Q719" t="b">
        <f>IFERROR(VLOOKUP(D719,Products!A:F,6,0),"")</f>
        <v>1</v>
      </c>
      <c r="R719">
        <f t="shared" si="33"/>
        <v>0.49333333333333335</v>
      </c>
      <c r="S719">
        <f t="shared" si="34"/>
        <v>1</v>
      </c>
      <c r="T719">
        <f>IF(AND(S719&gt;1,COUNTIF($A$2:A719,A719)=1),1,0)</f>
        <v>0</v>
      </c>
      <c r="U719">
        <f>COUNTIF(Customers!$A$2:$A$301,C719)</f>
        <v>1</v>
      </c>
      <c r="V719">
        <f t="shared" si="35"/>
        <v>0</v>
      </c>
    </row>
    <row r="720" spans="1:22" ht="14.25" customHeight="1" x14ac:dyDescent="0.35">
      <c r="A720" s="10" t="s">
        <v>1147</v>
      </c>
      <c r="B720" s="11">
        <v>45616</v>
      </c>
      <c r="C720" s="10" t="s">
        <v>805</v>
      </c>
      <c r="D720" s="10" t="s">
        <v>324</v>
      </c>
      <c r="E720" s="10" t="s">
        <v>96</v>
      </c>
      <c r="F720" s="12">
        <v>3</v>
      </c>
      <c r="G720" s="12">
        <v>5410</v>
      </c>
      <c r="H720" s="12">
        <v>15.5</v>
      </c>
      <c r="I720" s="12">
        <v>13714.35</v>
      </c>
      <c r="J720" s="10" t="s">
        <v>51</v>
      </c>
      <c r="K720" s="10" t="s">
        <v>81</v>
      </c>
      <c r="L720" t="str">
        <f>IFERROR(VLOOKUP(D720,Products!A:F,3,0),"")</f>
        <v>Sports</v>
      </c>
      <c r="M720" t="str">
        <f>IFERROR(VLOOKUP(E720,Sales_Reps!A:E,3,0),"")</f>
        <v>South</v>
      </c>
      <c r="N720" t="str">
        <f>IFERROR(VLOOKUP(C720,Customers!A:F,5,0),"")</f>
        <v>Corporate</v>
      </c>
      <c r="O720">
        <f>IFERROR(VLOOKUP(C720,Customers!A:F,3,0),"")</f>
        <v>41</v>
      </c>
      <c r="P720">
        <f>IFERROR(VLOOKUP(D720,Products!A:F,4,0),"")</f>
        <v>2265</v>
      </c>
      <c r="Q720" t="b">
        <f>IFERROR(VLOOKUP(D720,Products!A:F,6,0),"")</f>
        <v>1</v>
      </c>
      <c r="R720">
        <f t="shared" si="33"/>
        <v>0.58133086876155271</v>
      </c>
      <c r="S720">
        <f t="shared" si="34"/>
        <v>1</v>
      </c>
      <c r="T720">
        <f>IF(AND(S720&gt;1,COUNTIF($A$2:A720,A720)=1),1,0)</f>
        <v>0</v>
      </c>
      <c r="U720">
        <f>COUNTIF(Customers!$A$2:$A$301,C720)</f>
        <v>1</v>
      </c>
      <c r="V720">
        <f t="shared" si="35"/>
        <v>0</v>
      </c>
    </row>
    <row r="721" spans="1:22" ht="14.25" customHeight="1" x14ac:dyDescent="0.35">
      <c r="A721" s="10" t="s">
        <v>1148</v>
      </c>
      <c r="B721" s="11">
        <v>45448</v>
      </c>
      <c r="C721" s="10" t="s">
        <v>465</v>
      </c>
      <c r="D721" s="10" t="s">
        <v>143</v>
      </c>
      <c r="E721" s="10" t="s">
        <v>85</v>
      </c>
      <c r="F721" s="12">
        <v>8</v>
      </c>
      <c r="G721" s="12">
        <v>3350</v>
      </c>
      <c r="H721" s="12">
        <v>18.399999999999999</v>
      </c>
      <c r="I721" s="12">
        <v>21868.799999999999</v>
      </c>
      <c r="J721" s="10" t="s">
        <v>51</v>
      </c>
      <c r="K721" s="10" t="s">
        <v>97</v>
      </c>
      <c r="L721" t="str">
        <f>IFERROR(VLOOKUP(D721,Products!A:F,3,0),"")</f>
        <v>Beauty</v>
      </c>
      <c r="M721" t="str">
        <f>IFERROR(VLOOKUP(E721,Sales_Reps!A:E,3,0),"")</f>
        <v>East</v>
      </c>
      <c r="N721" t="str">
        <f>IFERROR(VLOOKUP(C721,Customers!A:F,5,0),"")</f>
        <v>SMB</v>
      </c>
      <c r="O721">
        <f>IFERROR(VLOOKUP(C721,Customers!A:F,3,0),"")</f>
        <v>65</v>
      </c>
      <c r="P721">
        <f>IFERROR(VLOOKUP(D721,Products!A:F,4,0),"")</f>
        <v>1728</v>
      </c>
      <c r="Q721" t="b">
        <f>IFERROR(VLOOKUP(D721,Products!A:F,6,0),"")</f>
        <v>1</v>
      </c>
      <c r="R721">
        <f t="shared" si="33"/>
        <v>0.48417910447761192</v>
      </c>
      <c r="S721">
        <f t="shared" si="34"/>
        <v>1</v>
      </c>
      <c r="T721">
        <f>IF(AND(S721&gt;1,COUNTIF($A$2:A721,A721)=1),1,0)</f>
        <v>0</v>
      </c>
      <c r="U721">
        <f>COUNTIF(Customers!$A$2:$A$301,C721)</f>
        <v>1</v>
      </c>
      <c r="V721">
        <f t="shared" si="35"/>
        <v>0</v>
      </c>
    </row>
    <row r="722" spans="1:22" ht="14.25" customHeight="1" x14ac:dyDescent="0.35">
      <c r="A722" s="10" t="s">
        <v>1149</v>
      </c>
      <c r="B722" s="11">
        <v>45611</v>
      </c>
      <c r="C722" s="10" t="s">
        <v>187</v>
      </c>
      <c r="D722" s="10" t="s">
        <v>137</v>
      </c>
      <c r="E722" s="10" t="s">
        <v>71</v>
      </c>
      <c r="F722" s="12">
        <v>5</v>
      </c>
      <c r="G722" s="12">
        <v>2720</v>
      </c>
      <c r="H722" s="12">
        <v>17.3</v>
      </c>
      <c r="I722" s="12">
        <v>11247.2</v>
      </c>
      <c r="J722" s="10" t="s">
        <v>104</v>
      </c>
      <c r="K722" s="10" t="s">
        <v>63</v>
      </c>
      <c r="L722" t="str">
        <f>IFERROR(VLOOKUP(D722,Products!A:F,3,0),"")</f>
        <v>Apparel</v>
      </c>
      <c r="M722" t="str">
        <f>IFERROR(VLOOKUP(E722,Sales_Reps!A:E,3,0),"")</f>
        <v>North</v>
      </c>
      <c r="N722" t="str">
        <f>IFERROR(VLOOKUP(C722,Customers!A:F,5,0),"")</f>
        <v>Retail</v>
      </c>
      <c r="O722">
        <f>IFERROR(VLOOKUP(C722,Customers!A:F,3,0),"")</f>
        <v>53</v>
      </c>
      <c r="P722">
        <f>IFERROR(VLOOKUP(D722,Products!A:F,4,0),"")</f>
        <v>1962</v>
      </c>
      <c r="Q722" t="b">
        <f>IFERROR(VLOOKUP(D722,Products!A:F,6,0),"")</f>
        <v>1</v>
      </c>
      <c r="R722">
        <f t="shared" si="33"/>
        <v>0.2786764705882353</v>
      </c>
      <c r="S722">
        <f t="shared" si="34"/>
        <v>1</v>
      </c>
      <c r="T722">
        <f>IF(AND(S722&gt;1,COUNTIF($A$2:A722,A722)=1),1,0)</f>
        <v>0</v>
      </c>
      <c r="U722">
        <f>COUNTIF(Customers!$A$2:$A$301,C722)</f>
        <v>1</v>
      </c>
      <c r="V722">
        <f t="shared" si="35"/>
        <v>0</v>
      </c>
    </row>
    <row r="723" spans="1:22" ht="14.25" customHeight="1" x14ac:dyDescent="0.35">
      <c r="A723" s="10" t="s">
        <v>1150</v>
      </c>
      <c r="B723" s="11">
        <v>45403</v>
      </c>
      <c r="C723" s="10" t="s">
        <v>78</v>
      </c>
      <c r="D723" s="10" t="s">
        <v>66</v>
      </c>
      <c r="E723" s="10" t="s">
        <v>202</v>
      </c>
      <c r="F723" s="12">
        <v>8</v>
      </c>
      <c r="G723" s="12">
        <v>3660</v>
      </c>
      <c r="H723" s="12">
        <v>28.8</v>
      </c>
      <c r="I723" s="12">
        <v>20847.36</v>
      </c>
      <c r="J723" s="10" t="s">
        <v>51</v>
      </c>
      <c r="K723" s="10" t="s">
        <v>81</v>
      </c>
      <c r="L723" t="str">
        <f>IFERROR(VLOOKUP(D723,Products!A:F,3,0),"")</f>
        <v>Grocery</v>
      </c>
      <c r="M723" t="str">
        <f>IFERROR(VLOOKUP(E723,Sales_Reps!A:E,3,0),"")</f>
        <v>East</v>
      </c>
      <c r="N723" t="str">
        <f>IFERROR(VLOOKUP(C723,Customers!A:F,5,0),"")</f>
        <v>Retail</v>
      </c>
      <c r="O723">
        <f>IFERROR(VLOOKUP(C723,Customers!A:F,3,0),"")</f>
        <v>27</v>
      </c>
      <c r="P723">
        <f>IFERROR(VLOOKUP(D723,Products!A:F,4,0),"")</f>
        <v>2214</v>
      </c>
      <c r="Q723" t="b">
        <f>IFERROR(VLOOKUP(D723,Products!A:F,6,0),"")</f>
        <v>0</v>
      </c>
      <c r="R723">
        <f t="shared" si="33"/>
        <v>0.39508196721311473</v>
      </c>
      <c r="S723">
        <f t="shared" si="34"/>
        <v>1</v>
      </c>
      <c r="T723">
        <f>IF(AND(S723&gt;1,COUNTIF($A$2:A723,A723)=1),1,0)</f>
        <v>0</v>
      </c>
      <c r="U723">
        <f>COUNTIF(Customers!$A$2:$A$301,C723)</f>
        <v>1</v>
      </c>
      <c r="V723">
        <f t="shared" si="35"/>
        <v>20847.36</v>
      </c>
    </row>
    <row r="724" spans="1:22" ht="14.25" customHeight="1" x14ac:dyDescent="0.35">
      <c r="A724" s="10" t="s">
        <v>1151</v>
      </c>
      <c r="B724" s="11">
        <v>45530</v>
      </c>
      <c r="C724" s="10" t="s">
        <v>546</v>
      </c>
      <c r="D724" s="10" t="s">
        <v>246</v>
      </c>
      <c r="E724" s="10" t="s">
        <v>216</v>
      </c>
      <c r="F724" s="12">
        <v>6</v>
      </c>
      <c r="G724" s="12">
        <v>300</v>
      </c>
      <c r="H724" s="12">
        <v>23.9</v>
      </c>
      <c r="I724" s="12">
        <v>1369.8</v>
      </c>
      <c r="J724" s="10" t="s">
        <v>104</v>
      </c>
      <c r="K724" s="10" t="s">
        <v>58</v>
      </c>
      <c r="L724" t="str">
        <f>IFERROR(VLOOKUP(D724,Products!A:F,3,0),"")</f>
        <v>Electronics</v>
      </c>
      <c r="M724" t="str">
        <f>IFERROR(VLOOKUP(E724,Sales_Reps!A:E,3,0),"")</f>
        <v>South</v>
      </c>
      <c r="N724" t="str">
        <f>IFERROR(VLOOKUP(C724,Customers!A:F,5,0),"")</f>
        <v>SMB</v>
      </c>
      <c r="O724">
        <f>IFERROR(VLOOKUP(C724,Customers!A:F,3,0),"")</f>
        <v>59</v>
      </c>
      <c r="P724">
        <f>IFERROR(VLOOKUP(D724,Products!A:F,4,0),"")</f>
        <v>128</v>
      </c>
      <c r="Q724" t="b">
        <f>IFERROR(VLOOKUP(D724,Products!A:F,6,0),"")</f>
        <v>1</v>
      </c>
      <c r="R724">
        <f t="shared" si="33"/>
        <v>0.57333333333333336</v>
      </c>
      <c r="S724">
        <f t="shared" si="34"/>
        <v>1</v>
      </c>
      <c r="T724">
        <f>IF(AND(S724&gt;1,COUNTIF($A$2:A724,A724)=1),1,0)</f>
        <v>0</v>
      </c>
      <c r="U724">
        <f>COUNTIF(Customers!$A$2:$A$301,C724)</f>
        <v>1</v>
      </c>
      <c r="V724">
        <f t="shared" si="35"/>
        <v>0</v>
      </c>
    </row>
    <row r="725" spans="1:22" ht="14.25" customHeight="1" x14ac:dyDescent="0.35">
      <c r="A725" s="10" t="s">
        <v>1152</v>
      </c>
      <c r="B725" s="11">
        <v>45548</v>
      </c>
      <c r="C725" s="10" t="s">
        <v>208</v>
      </c>
      <c r="D725" s="10" t="s">
        <v>350</v>
      </c>
      <c r="E725" s="10" t="s">
        <v>165</v>
      </c>
      <c r="F725" s="12">
        <v>3</v>
      </c>
      <c r="G725" s="12">
        <v>2290</v>
      </c>
      <c r="H725" s="12">
        <v>2.4</v>
      </c>
      <c r="I725" s="12">
        <v>6705.12</v>
      </c>
      <c r="J725" s="10" t="s">
        <v>51</v>
      </c>
      <c r="K725" s="10" t="s">
        <v>58</v>
      </c>
      <c r="L725" t="str">
        <f>IFERROR(VLOOKUP(D725,Products!A:F,3,0),"")</f>
        <v>Beauty</v>
      </c>
      <c r="M725" t="str">
        <f>IFERROR(VLOOKUP(E725,Sales_Reps!A:E,3,0),"")</f>
        <v>West</v>
      </c>
      <c r="N725" t="str">
        <f>IFERROR(VLOOKUP(C725,Customers!A:F,5,0),"")</f>
        <v>Corporate</v>
      </c>
      <c r="O725">
        <f>IFERROR(VLOOKUP(C725,Customers!A:F,3,0),"")</f>
        <v>52</v>
      </c>
      <c r="P725">
        <f>IFERROR(VLOOKUP(D725,Products!A:F,4,0),"")</f>
        <v>1219</v>
      </c>
      <c r="Q725" t="b">
        <f>IFERROR(VLOOKUP(D725,Products!A:F,6,0),"")</f>
        <v>1</v>
      </c>
      <c r="R725">
        <f t="shared" si="33"/>
        <v>0.46768558951965067</v>
      </c>
      <c r="S725">
        <f t="shared" si="34"/>
        <v>1</v>
      </c>
      <c r="T725">
        <f>IF(AND(S725&gt;1,COUNTIF($A$2:A725,A725)=1),1,0)</f>
        <v>0</v>
      </c>
      <c r="U725">
        <f>COUNTIF(Customers!$A$2:$A$301,C725)</f>
        <v>1</v>
      </c>
      <c r="V725">
        <f t="shared" si="35"/>
        <v>0</v>
      </c>
    </row>
    <row r="726" spans="1:22" ht="14.25" customHeight="1" x14ac:dyDescent="0.35">
      <c r="A726" s="10" t="s">
        <v>1153</v>
      </c>
      <c r="B726" s="11">
        <v>45403</v>
      </c>
      <c r="C726" s="10" t="s">
        <v>950</v>
      </c>
      <c r="D726" s="10" t="s">
        <v>148</v>
      </c>
      <c r="E726" s="10" t="s">
        <v>62</v>
      </c>
      <c r="F726" s="12">
        <v>6</v>
      </c>
      <c r="G726" s="12">
        <v>4880</v>
      </c>
      <c r="H726" s="12">
        <v>11.1</v>
      </c>
      <c r="I726" s="12">
        <v>26029.919999999998</v>
      </c>
      <c r="J726" s="10" t="s">
        <v>57</v>
      </c>
      <c r="K726" s="10" t="s">
        <v>58</v>
      </c>
      <c r="L726" t="str">
        <f>IFERROR(VLOOKUP(D726,Products!A:F,3,0),"")</f>
        <v>Beauty</v>
      </c>
      <c r="M726" t="str">
        <f>IFERROR(VLOOKUP(E726,Sales_Reps!A:E,3,0),"")</f>
        <v>South</v>
      </c>
      <c r="N726" t="str">
        <f>IFERROR(VLOOKUP(C726,Customers!A:F,5,0),"")</f>
        <v>Corporate</v>
      </c>
      <c r="O726">
        <f>IFERROR(VLOOKUP(C726,Customers!A:F,3,0),"")</f>
        <v>52</v>
      </c>
      <c r="P726">
        <f>IFERROR(VLOOKUP(D726,Products!A:F,4,0),"")</f>
        <v>2768</v>
      </c>
      <c r="Q726" t="b">
        <f>IFERROR(VLOOKUP(D726,Products!A:F,6,0),"")</f>
        <v>1</v>
      </c>
      <c r="R726">
        <f t="shared" si="33"/>
        <v>0.43278688524590164</v>
      </c>
      <c r="S726">
        <f t="shared" si="34"/>
        <v>1</v>
      </c>
      <c r="T726">
        <f>IF(AND(S726&gt;1,COUNTIF($A$2:A726,A726)=1),1,0)</f>
        <v>0</v>
      </c>
      <c r="U726">
        <f>COUNTIF(Customers!$A$2:$A$301,C726)</f>
        <v>1</v>
      </c>
      <c r="V726">
        <f t="shared" si="35"/>
        <v>0</v>
      </c>
    </row>
    <row r="727" spans="1:22" ht="14.25" customHeight="1" x14ac:dyDescent="0.35">
      <c r="A727" s="10" t="s">
        <v>1154</v>
      </c>
      <c r="B727" s="11">
        <v>45562</v>
      </c>
      <c r="C727" s="10" t="s">
        <v>1155</v>
      </c>
      <c r="D727" s="10" t="s">
        <v>246</v>
      </c>
      <c r="E727" s="10" t="s">
        <v>50</v>
      </c>
      <c r="F727" s="12">
        <v>5</v>
      </c>
      <c r="G727" s="12">
        <v>300</v>
      </c>
      <c r="H727" s="12">
        <v>19.399999999999999</v>
      </c>
      <c r="I727" s="12">
        <v>1209</v>
      </c>
      <c r="J727" s="10" t="s">
        <v>51</v>
      </c>
      <c r="K727" s="10" t="s">
        <v>81</v>
      </c>
      <c r="L727" t="str">
        <f>IFERROR(VLOOKUP(D727,Products!A:F,3,0),"")</f>
        <v>Electronics</v>
      </c>
      <c r="M727" t="str">
        <f>IFERROR(VLOOKUP(E727,Sales_Reps!A:E,3,0),"")</f>
        <v>North</v>
      </c>
      <c r="N727" t="str">
        <f>IFERROR(VLOOKUP(C727,Customers!A:F,5,0),"")</f>
        <v>Retail</v>
      </c>
      <c r="O727">
        <f>IFERROR(VLOOKUP(C727,Customers!A:F,3,0),"")</f>
        <v>36</v>
      </c>
      <c r="P727">
        <f>IFERROR(VLOOKUP(D727,Products!A:F,4,0),"")</f>
        <v>128</v>
      </c>
      <c r="Q727" t="b">
        <f>IFERROR(VLOOKUP(D727,Products!A:F,6,0),"")</f>
        <v>1</v>
      </c>
      <c r="R727">
        <f t="shared" si="33"/>
        <v>0.57333333333333336</v>
      </c>
      <c r="S727">
        <f t="shared" si="34"/>
        <v>1</v>
      </c>
      <c r="T727">
        <f>IF(AND(S727&gt;1,COUNTIF($A$2:A727,A727)=1),1,0)</f>
        <v>0</v>
      </c>
      <c r="U727">
        <f>COUNTIF(Customers!$A$2:$A$301,C727)</f>
        <v>1</v>
      </c>
      <c r="V727">
        <f t="shared" si="35"/>
        <v>0</v>
      </c>
    </row>
    <row r="728" spans="1:22" ht="14.25" customHeight="1" x14ac:dyDescent="0.35">
      <c r="A728" s="10" t="s">
        <v>1156</v>
      </c>
      <c r="B728" s="11">
        <v>45635</v>
      </c>
      <c r="C728" s="10" t="s">
        <v>1157</v>
      </c>
      <c r="D728" s="10" t="s">
        <v>243</v>
      </c>
      <c r="E728" s="10" t="s">
        <v>134</v>
      </c>
      <c r="F728" s="12">
        <v>3</v>
      </c>
      <c r="G728" s="12">
        <v>2660</v>
      </c>
      <c r="H728" s="12">
        <v>28.5</v>
      </c>
      <c r="I728" s="12">
        <v>5705.7</v>
      </c>
      <c r="J728" s="10" t="s">
        <v>57</v>
      </c>
      <c r="K728" s="10" t="s">
        <v>97</v>
      </c>
      <c r="L728" t="str">
        <f>IFERROR(VLOOKUP(D728,Products!A:F,3,0),"")</f>
        <v>Electronics</v>
      </c>
      <c r="M728" t="str">
        <f>IFERROR(VLOOKUP(E728,Sales_Reps!A:E,3,0),"")</f>
        <v>West</v>
      </c>
      <c r="N728" t="str">
        <f>IFERROR(VLOOKUP(C728,Customers!A:F,5,0),"")</f>
        <v>SMB</v>
      </c>
      <c r="O728">
        <f>IFERROR(VLOOKUP(C728,Customers!A:F,3,0),"")</f>
        <v>25</v>
      </c>
      <c r="P728">
        <f>IFERROR(VLOOKUP(D728,Products!A:F,4,0),"")</f>
        <v>1259</v>
      </c>
      <c r="Q728" t="b">
        <f>IFERROR(VLOOKUP(D728,Products!A:F,6,0),"")</f>
        <v>0</v>
      </c>
      <c r="R728">
        <f t="shared" si="33"/>
        <v>0.52669172932330832</v>
      </c>
      <c r="S728">
        <f t="shared" si="34"/>
        <v>1</v>
      </c>
      <c r="T728">
        <f>IF(AND(S728&gt;1,COUNTIF($A$2:A728,A728)=1),1,0)</f>
        <v>0</v>
      </c>
      <c r="U728">
        <f>COUNTIF(Customers!$A$2:$A$301,C728)</f>
        <v>1</v>
      </c>
      <c r="V728">
        <f t="shared" si="35"/>
        <v>0</v>
      </c>
    </row>
    <row r="729" spans="1:22" ht="14.25" customHeight="1" x14ac:dyDescent="0.35">
      <c r="A729" s="10" t="s">
        <v>1158</v>
      </c>
      <c r="B729" s="11">
        <v>45434</v>
      </c>
      <c r="C729" s="10" t="s">
        <v>799</v>
      </c>
      <c r="D729" s="10" t="s">
        <v>466</v>
      </c>
      <c r="E729" s="10" t="s">
        <v>80</v>
      </c>
      <c r="F729" s="12">
        <v>7</v>
      </c>
      <c r="G729" s="12">
        <v>1090</v>
      </c>
      <c r="H729" s="12">
        <v>10.3</v>
      </c>
      <c r="I729" s="12">
        <v>6844.11</v>
      </c>
      <c r="J729" s="10" t="s">
        <v>51</v>
      </c>
      <c r="K729" s="10" t="s">
        <v>81</v>
      </c>
      <c r="L729" t="str">
        <f>IFERROR(VLOOKUP(D729,Products!A:F,3,0),"")</f>
        <v>Home</v>
      </c>
      <c r="M729" t="str">
        <f>IFERROR(VLOOKUP(E729,Sales_Reps!A:E,3,0),"")</f>
        <v>West</v>
      </c>
      <c r="N729" t="str">
        <f>IFERROR(VLOOKUP(C729,Customers!A:F,5,0),"")</f>
        <v>Retail</v>
      </c>
      <c r="O729">
        <f>IFERROR(VLOOKUP(C729,Customers!A:F,3,0),"")</f>
        <v>52</v>
      </c>
      <c r="P729">
        <f>IFERROR(VLOOKUP(D729,Products!A:F,4,0),"")</f>
        <v>464</v>
      </c>
      <c r="Q729" t="b">
        <f>IFERROR(VLOOKUP(D729,Products!A:F,6,0),"")</f>
        <v>1</v>
      </c>
      <c r="R729">
        <f t="shared" si="33"/>
        <v>0.57431192660550456</v>
      </c>
      <c r="S729">
        <f t="shared" si="34"/>
        <v>1</v>
      </c>
      <c r="T729">
        <f>IF(AND(S729&gt;1,COUNTIF($A$2:A729,A729)=1),1,0)</f>
        <v>0</v>
      </c>
      <c r="U729">
        <f>COUNTIF(Customers!$A$2:$A$301,C729)</f>
        <v>1</v>
      </c>
      <c r="V729">
        <f t="shared" si="35"/>
        <v>0</v>
      </c>
    </row>
    <row r="730" spans="1:22" ht="14.25" customHeight="1" x14ac:dyDescent="0.35">
      <c r="A730" s="10" t="s">
        <v>1159</v>
      </c>
      <c r="B730" s="11">
        <v>45350</v>
      </c>
      <c r="C730" s="10" t="s">
        <v>451</v>
      </c>
      <c r="D730" s="10" t="s">
        <v>84</v>
      </c>
      <c r="E730" s="10" t="s">
        <v>289</v>
      </c>
      <c r="F730" s="12">
        <v>9</v>
      </c>
      <c r="G730" s="12">
        <v>1430</v>
      </c>
      <c r="H730" s="12">
        <v>12.1</v>
      </c>
      <c r="I730" s="12">
        <v>11312.73</v>
      </c>
      <c r="J730" s="10" t="s">
        <v>104</v>
      </c>
      <c r="K730" s="10" t="s">
        <v>52</v>
      </c>
      <c r="L730" t="str">
        <f>IFERROR(VLOOKUP(D730,Products!A:F,3,0),"")</f>
        <v>Electronics</v>
      </c>
      <c r="M730" t="str">
        <f>IFERROR(VLOOKUP(E730,Sales_Reps!A:E,3,0),"")</f>
        <v>South</v>
      </c>
      <c r="N730" t="str">
        <f>IFERROR(VLOOKUP(C730,Customers!A:F,5,0),"")</f>
        <v>Corporate</v>
      </c>
      <c r="O730">
        <f>IFERROR(VLOOKUP(C730,Customers!A:F,3,0),"")</f>
        <v>29</v>
      </c>
      <c r="P730">
        <f>IFERROR(VLOOKUP(D730,Products!A:F,4,0),"")</f>
        <v>861</v>
      </c>
      <c r="Q730" t="b">
        <f>IFERROR(VLOOKUP(D730,Products!A:F,6,0),"")</f>
        <v>1</v>
      </c>
      <c r="R730">
        <f t="shared" si="33"/>
        <v>0.39790209790209791</v>
      </c>
      <c r="S730">
        <f t="shared" si="34"/>
        <v>1</v>
      </c>
      <c r="T730">
        <f>IF(AND(S730&gt;1,COUNTIF($A$2:A730,A730)=1),1,0)</f>
        <v>0</v>
      </c>
      <c r="U730">
        <f>COUNTIF(Customers!$A$2:$A$301,C730)</f>
        <v>1</v>
      </c>
      <c r="V730">
        <f t="shared" si="35"/>
        <v>0</v>
      </c>
    </row>
    <row r="731" spans="1:22" ht="14.25" customHeight="1" x14ac:dyDescent="0.35">
      <c r="A731" s="10" t="s">
        <v>1160</v>
      </c>
      <c r="B731" s="11">
        <v>45344</v>
      </c>
      <c r="C731" s="10" t="s">
        <v>189</v>
      </c>
      <c r="D731" s="10" t="s">
        <v>99</v>
      </c>
      <c r="E731" s="10" t="s">
        <v>56</v>
      </c>
      <c r="F731" s="12">
        <v>5</v>
      </c>
      <c r="G731" s="12">
        <v>2640</v>
      </c>
      <c r="H731" s="12">
        <v>26.8</v>
      </c>
      <c r="I731" s="12">
        <v>9662.4</v>
      </c>
      <c r="J731" s="10" t="s">
        <v>51</v>
      </c>
      <c r="K731" s="10" t="s">
        <v>58</v>
      </c>
      <c r="L731" t="str">
        <f>IFERROR(VLOOKUP(D731,Products!A:F,3,0),"")</f>
        <v>Electronics</v>
      </c>
      <c r="M731" t="str">
        <f>IFERROR(VLOOKUP(E731,Sales_Reps!A:E,3,0),"")</f>
        <v>North</v>
      </c>
      <c r="N731" t="str">
        <f>IFERROR(VLOOKUP(C731,Customers!A:F,5,0),"")</f>
        <v>Retail</v>
      </c>
      <c r="O731">
        <f>IFERROR(VLOOKUP(C731,Customers!A:F,3,0),"")</f>
        <v>37</v>
      </c>
      <c r="P731">
        <f>IFERROR(VLOOKUP(D731,Products!A:F,4,0),"")</f>
        <v>1149</v>
      </c>
      <c r="Q731" t="b">
        <f>IFERROR(VLOOKUP(D731,Products!A:F,6,0),"")</f>
        <v>1</v>
      </c>
      <c r="R731">
        <f t="shared" si="33"/>
        <v>0.56477272727272732</v>
      </c>
      <c r="S731">
        <f t="shared" si="34"/>
        <v>1</v>
      </c>
      <c r="T731">
        <f>IF(AND(S731&gt;1,COUNTIF($A$2:A731,A731)=1),1,0)</f>
        <v>0</v>
      </c>
      <c r="U731">
        <f>COUNTIF(Customers!$A$2:$A$301,C731)</f>
        <v>1</v>
      </c>
      <c r="V731">
        <f t="shared" si="35"/>
        <v>0</v>
      </c>
    </row>
    <row r="732" spans="1:22" ht="14.25" customHeight="1" x14ac:dyDescent="0.35">
      <c r="A732" s="10" t="s">
        <v>1161</v>
      </c>
      <c r="B732" s="11">
        <v>45498</v>
      </c>
      <c r="C732" s="10" t="s">
        <v>667</v>
      </c>
      <c r="D732" s="10" t="s">
        <v>137</v>
      </c>
      <c r="E732" s="10" t="s">
        <v>179</v>
      </c>
      <c r="F732" s="12">
        <v>8</v>
      </c>
      <c r="G732" s="12">
        <v>2720</v>
      </c>
      <c r="H732" s="12">
        <v>17.5</v>
      </c>
      <c r="I732" s="12">
        <v>17952</v>
      </c>
      <c r="J732" s="10" t="s">
        <v>51</v>
      </c>
      <c r="K732" s="10" t="s">
        <v>52</v>
      </c>
      <c r="L732" t="str">
        <f>IFERROR(VLOOKUP(D732,Products!A:F,3,0),"")</f>
        <v>Apparel</v>
      </c>
      <c r="M732" t="str">
        <f>IFERROR(VLOOKUP(E732,Sales_Reps!A:E,3,0),"")</f>
        <v>North</v>
      </c>
      <c r="N732" t="str">
        <f>IFERROR(VLOOKUP(C732,Customers!A:F,5,0),"")</f>
        <v>Corporate</v>
      </c>
      <c r="O732">
        <f>IFERROR(VLOOKUP(C732,Customers!A:F,3,0),"")</f>
        <v>52</v>
      </c>
      <c r="P732">
        <f>IFERROR(VLOOKUP(D732,Products!A:F,4,0),"")</f>
        <v>1962</v>
      </c>
      <c r="Q732" t="b">
        <f>IFERROR(VLOOKUP(D732,Products!A:F,6,0),"")</f>
        <v>1</v>
      </c>
      <c r="R732">
        <f t="shared" si="33"/>
        <v>0.2786764705882353</v>
      </c>
      <c r="S732">
        <f t="shared" si="34"/>
        <v>1</v>
      </c>
      <c r="T732">
        <f>IF(AND(S732&gt;1,COUNTIF($A$2:A732,A732)=1),1,0)</f>
        <v>0</v>
      </c>
      <c r="U732">
        <f>COUNTIF(Customers!$A$2:$A$301,C732)</f>
        <v>1</v>
      </c>
      <c r="V732">
        <f t="shared" si="35"/>
        <v>0</v>
      </c>
    </row>
    <row r="733" spans="1:22" ht="14.25" customHeight="1" x14ac:dyDescent="0.35">
      <c r="A733" s="10" t="s">
        <v>1162</v>
      </c>
      <c r="B733" s="11">
        <v>45520</v>
      </c>
      <c r="C733" s="10" t="s">
        <v>446</v>
      </c>
      <c r="D733" s="10" t="s">
        <v>201</v>
      </c>
      <c r="E733" s="10" t="s">
        <v>310</v>
      </c>
      <c r="F733" s="12">
        <v>9</v>
      </c>
      <c r="G733" s="12">
        <v>3640</v>
      </c>
      <c r="H733" s="12">
        <v>3.6</v>
      </c>
      <c r="I733" s="12">
        <v>31580.639999999999</v>
      </c>
      <c r="J733" s="10" t="s">
        <v>51</v>
      </c>
      <c r="K733" s="10" t="s">
        <v>97</v>
      </c>
      <c r="L733" t="str">
        <f>IFERROR(VLOOKUP(D733,Products!A:F,3,0),"")</f>
        <v>Apparel</v>
      </c>
      <c r="M733" t="str">
        <f>IFERROR(VLOOKUP(E733,Sales_Reps!A:E,3,0),"")</f>
        <v>South</v>
      </c>
      <c r="N733" t="str">
        <f>IFERROR(VLOOKUP(C733,Customers!A:F,5,0),"")</f>
        <v>Corporate</v>
      </c>
      <c r="O733">
        <f>IFERROR(VLOOKUP(C733,Customers!A:F,3,0),"")</f>
        <v>52</v>
      </c>
      <c r="P733">
        <f>IFERROR(VLOOKUP(D733,Products!A:F,4,0),"")</f>
        <v>2611</v>
      </c>
      <c r="Q733" t="b">
        <f>IFERROR(VLOOKUP(D733,Products!A:F,6,0),"")</f>
        <v>1</v>
      </c>
      <c r="R733">
        <f t="shared" si="33"/>
        <v>0.28269230769230769</v>
      </c>
      <c r="S733">
        <f t="shared" si="34"/>
        <v>1</v>
      </c>
      <c r="T733">
        <f>IF(AND(S733&gt;1,COUNTIF($A$2:A733,A733)=1),1,0)</f>
        <v>0</v>
      </c>
      <c r="U733">
        <f>COUNTIF(Customers!$A$2:$A$301,C733)</f>
        <v>1</v>
      </c>
      <c r="V733">
        <f t="shared" si="35"/>
        <v>0</v>
      </c>
    </row>
    <row r="734" spans="1:22" ht="14.25" customHeight="1" x14ac:dyDescent="0.35">
      <c r="A734" s="10" t="s">
        <v>1163</v>
      </c>
      <c r="B734" s="11">
        <v>45554</v>
      </c>
      <c r="C734" s="10" t="s">
        <v>1164</v>
      </c>
      <c r="D734" s="10" t="s">
        <v>205</v>
      </c>
      <c r="E734" s="10" t="s">
        <v>122</v>
      </c>
      <c r="F734" s="12">
        <v>7</v>
      </c>
      <c r="G734" s="12">
        <v>6080</v>
      </c>
      <c r="H734" s="12">
        <v>23.6</v>
      </c>
      <c r="I734" s="12">
        <v>32515.84</v>
      </c>
      <c r="J734" s="10" t="s">
        <v>51</v>
      </c>
      <c r="K734" s="10" t="s">
        <v>76</v>
      </c>
      <c r="L734" t="str">
        <f>IFERROR(VLOOKUP(D734,Products!A:F,3,0),"")</f>
        <v>Beauty</v>
      </c>
      <c r="M734" t="str">
        <f>IFERROR(VLOOKUP(E734,Sales_Reps!A:E,3,0),"")</f>
        <v>East</v>
      </c>
      <c r="N734" t="str">
        <f>IFERROR(VLOOKUP(C734,Customers!A:F,5,0),"")</f>
        <v/>
      </c>
      <c r="O734" t="str">
        <f>IFERROR(VLOOKUP(C734,Customers!A:F,3,0),"")</f>
        <v/>
      </c>
      <c r="P734">
        <f>IFERROR(VLOOKUP(D734,Products!A:F,4,0),"")</f>
        <v>2617</v>
      </c>
      <c r="Q734" t="b">
        <f>IFERROR(VLOOKUP(D734,Products!A:F,6,0),"")</f>
        <v>1</v>
      </c>
      <c r="R734">
        <f t="shared" si="33"/>
        <v>0.56957236842105263</v>
      </c>
      <c r="S734">
        <f t="shared" si="34"/>
        <v>1</v>
      </c>
      <c r="T734">
        <f>IF(AND(S734&gt;1,COUNTIF($A$2:A734,A734)=1),1,0)</f>
        <v>0</v>
      </c>
      <c r="U734">
        <f>COUNTIF(Customers!$A$2:$A$301,C734)</f>
        <v>0</v>
      </c>
      <c r="V734">
        <f t="shared" si="35"/>
        <v>0</v>
      </c>
    </row>
    <row r="735" spans="1:22" ht="14.25" customHeight="1" x14ac:dyDescent="0.35">
      <c r="A735" s="10" t="s">
        <v>1165</v>
      </c>
      <c r="B735" s="11">
        <v>45584</v>
      </c>
      <c r="C735" s="10" t="s">
        <v>626</v>
      </c>
      <c r="D735" s="10" t="s">
        <v>328</v>
      </c>
      <c r="E735" s="10" t="s">
        <v>152</v>
      </c>
      <c r="F735" s="12">
        <v>7</v>
      </c>
      <c r="G735" s="12">
        <v>5330</v>
      </c>
      <c r="H735" s="12">
        <v>19.7</v>
      </c>
      <c r="I735" s="12">
        <v>29959.93</v>
      </c>
      <c r="J735" s="10" t="s">
        <v>104</v>
      </c>
      <c r="K735" s="10" t="s">
        <v>58</v>
      </c>
      <c r="L735" t="str">
        <f>IFERROR(VLOOKUP(D735,Products!A:F,3,0),"")</f>
        <v>Electronics</v>
      </c>
      <c r="M735" t="str">
        <f>IFERROR(VLOOKUP(E735,Sales_Reps!A:E,3,0),"")</f>
        <v>South</v>
      </c>
      <c r="N735" t="str">
        <f>IFERROR(VLOOKUP(C735,Customers!A:F,5,0),"")</f>
        <v>Corporate</v>
      </c>
      <c r="O735">
        <f>IFERROR(VLOOKUP(C735,Customers!A:F,3,0),"")</f>
        <v>41</v>
      </c>
      <c r="P735">
        <f>IFERROR(VLOOKUP(D735,Products!A:F,4,0),"")</f>
        <v>2405</v>
      </c>
      <c r="Q735" t="b">
        <f>IFERROR(VLOOKUP(D735,Products!A:F,6,0),"")</f>
        <v>1</v>
      </c>
      <c r="R735">
        <f t="shared" si="33"/>
        <v>0.54878048780487809</v>
      </c>
      <c r="S735">
        <f t="shared" si="34"/>
        <v>1</v>
      </c>
      <c r="T735">
        <f>IF(AND(S735&gt;1,COUNTIF($A$2:A735,A735)=1),1,0)</f>
        <v>0</v>
      </c>
      <c r="U735">
        <f>COUNTIF(Customers!$A$2:$A$301,C735)</f>
        <v>1</v>
      </c>
      <c r="V735">
        <f t="shared" si="35"/>
        <v>0</v>
      </c>
    </row>
    <row r="736" spans="1:22" ht="14.25" customHeight="1" x14ac:dyDescent="0.35">
      <c r="A736" s="10" t="s">
        <v>1166</v>
      </c>
      <c r="B736" s="11">
        <v>45593</v>
      </c>
      <c r="C736" s="10" t="s">
        <v>476</v>
      </c>
      <c r="D736" s="10" t="s">
        <v>234</v>
      </c>
      <c r="E736" s="10" t="s">
        <v>80</v>
      </c>
      <c r="F736" s="12">
        <v>5</v>
      </c>
      <c r="G736" s="12">
        <v>4610</v>
      </c>
      <c r="H736" s="12">
        <v>3.6</v>
      </c>
      <c r="I736" s="12">
        <v>22220.2</v>
      </c>
      <c r="J736" s="10" t="s">
        <v>51</v>
      </c>
      <c r="K736" s="10" t="s">
        <v>97</v>
      </c>
      <c r="L736" t="str">
        <f>IFERROR(VLOOKUP(D736,Products!A:F,3,0),"")</f>
        <v>Home</v>
      </c>
      <c r="M736" t="str">
        <f>IFERROR(VLOOKUP(E736,Sales_Reps!A:E,3,0),"")</f>
        <v>West</v>
      </c>
      <c r="N736" t="str">
        <f>IFERROR(VLOOKUP(C736,Customers!A:F,5,0),"")</f>
        <v>Retail</v>
      </c>
      <c r="O736">
        <f>IFERROR(VLOOKUP(C736,Customers!A:F,3,0),"")</f>
        <v>61</v>
      </c>
      <c r="P736">
        <f>IFERROR(VLOOKUP(D736,Products!A:F,4,0),"")</f>
        <v>1850</v>
      </c>
      <c r="Q736" t="b">
        <f>IFERROR(VLOOKUP(D736,Products!A:F,6,0),"")</f>
        <v>1</v>
      </c>
      <c r="R736">
        <f t="shared" si="33"/>
        <v>0.59869848156182215</v>
      </c>
      <c r="S736">
        <f t="shared" si="34"/>
        <v>1</v>
      </c>
      <c r="T736">
        <f>IF(AND(S736&gt;1,COUNTIF($A$2:A736,A736)=1),1,0)</f>
        <v>0</v>
      </c>
      <c r="U736">
        <f>COUNTIF(Customers!$A$2:$A$301,C736)</f>
        <v>1</v>
      </c>
      <c r="V736">
        <f t="shared" si="35"/>
        <v>0</v>
      </c>
    </row>
    <row r="737" spans="1:22" ht="14.25" customHeight="1" x14ac:dyDescent="0.35">
      <c r="A737" s="10" t="s">
        <v>1167</v>
      </c>
      <c r="B737" s="11">
        <v>45302</v>
      </c>
      <c r="C737" s="10" t="s">
        <v>771</v>
      </c>
      <c r="D737" s="10" t="s">
        <v>328</v>
      </c>
      <c r="E737" s="10" t="s">
        <v>134</v>
      </c>
      <c r="F737" s="12">
        <v>9</v>
      </c>
      <c r="G737" s="12">
        <v>5330</v>
      </c>
      <c r="H737" s="12">
        <v>22.9</v>
      </c>
      <c r="I737" s="12">
        <v>36984.870000000003</v>
      </c>
      <c r="J737" s="10" t="s">
        <v>51</v>
      </c>
      <c r="K737" s="10" t="s">
        <v>52</v>
      </c>
      <c r="L737" t="str">
        <f>IFERROR(VLOOKUP(D737,Products!A:F,3,0),"")</f>
        <v>Electronics</v>
      </c>
      <c r="M737" t="str">
        <f>IFERROR(VLOOKUP(E737,Sales_Reps!A:E,3,0),"")</f>
        <v>West</v>
      </c>
      <c r="N737" t="str">
        <f>IFERROR(VLOOKUP(C737,Customers!A:F,5,0),"")</f>
        <v>Retail</v>
      </c>
      <c r="O737">
        <f>IFERROR(VLOOKUP(C737,Customers!A:F,3,0),"")</f>
        <v>36</v>
      </c>
      <c r="P737">
        <f>IFERROR(VLOOKUP(D737,Products!A:F,4,0),"")</f>
        <v>2405</v>
      </c>
      <c r="Q737" t="b">
        <f>IFERROR(VLOOKUP(D737,Products!A:F,6,0),"")</f>
        <v>1</v>
      </c>
      <c r="R737">
        <f t="shared" si="33"/>
        <v>0.54878048780487809</v>
      </c>
      <c r="S737">
        <f t="shared" si="34"/>
        <v>1</v>
      </c>
      <c r="T737">
        <f>IF(AND(S737&gt;1,COUNTIF($A$2:A737,A737)=1),1,0)</f>
        <v>0</v>
      </c>
      <c r="U737">
        <f>COUNTIF(Customers!$A$2:$A$301,C737)</f>
        <v>1</v>
      </c>
      <c r="V737">
        <f t="shared" si="35"/>
        <v>0</v>
      </c>
    </row>
    <row r="738" spans="1:22" ht="14.25" customHeight="1" x14ac:dyDescent="0.35">
      <c r="A738" s="10" t="s">
        <v>1168</v>
      </c>
      <c r="B738" s="11">
        <v>45440</v>
      </c>
      <c r="C738" s="10" t="s">
        <v>449</v>
      </c>
      <c r="D738" s="10" t="s">
        <v>205</v>
      </c>
      <c r="E738" s="10" t="s">
        <v>267</v>
      </c>
      <c r="F738" s="12">
        <v>5</v>
      </c>
      <c r="G738" s="12">
        <v>6080</v>
      </c>
      <c r="H738" s="12">
        <v>6</v>
      </c>
      <c r="I738" s="12">
        <v>28576</v>
      </c>
      <c r="J738" s="10" t="s">
        <v>108</v>
      </c>
      <c r="K738" s="10" t="s">
        <v>52</v>
      </c>
      <c r="L738" t="str">
        <f>IFERROR(VLOOKUP(D738,Products!A:F,3,0),"")</f>
        <v>Beauty</v>
      </c>
      <c r="M738" t="str">
        <f>IFERROR(VLOOKUP(E738,Sales_Reps!A:E,3,0),"")</f>
        <v>East</v>
      </c>
      <c r="N738" t="str">
        <f>IFERROR(VLOOKUP(C738,Customers!A:F,5,0),"")</f>
        <v>Retail</v>
      </c>
      <c r="O738">
        <f>IFERROR(VLOOKUP(C738,Customers!A:F,3,0),"")</f>
        <v>49</v>
      </c>
      <c r="P738">
        <f>IFERROR(VLOOKUP(D738,Products!A:F,4,0),"")</f>
        <v>2617</v>
      </c>
      <c r="Q738" t="b">
        <f>IFERROR(VLOOKUP(D738,Products!A:F,6,0),"")</f>
        <v>1</v>
      </c>
      <c r="R738">
        <f t="shared" si="33"/>
        <v>0.56957236842105263</v>
      </c>
      <c r="S738">
        <f t="shared" si="34"/>
        <v>1</v>
      </c>
      <c r="T738">
        <f>IF(AND(S738&gt;1,COUNTIF($A$2:A738,A738)=1),1,0)</f>
        <v>0</v>
      </c>
      <c r="U738">
        <f>COUNTIF(Customers!$A$2:$A$301,C738)</f>
        <v>1</v>
      </c>
      <c r="V738">
        <f t="shared" si="35"/>
        <v>0</v>
      </c>
    </row>
    <row r="739" spans="1:22" ht="14.25" customHeight="1" x14ac:dyDescent="0.35">
      <c r="A739" s="10" t="s">
        <v>1169</v>
      </c>
      <c r="B739" s="11">
        <v>45299</v>
      </c>
      <c r="C739" s="10" t="s">
        <v>676</v>
      </c>
      <c r="D739" s="10" t="s">
        <v>201</v>
      </c>
      <c r="E739" s="10" t="s">
        <v>202</v>
      </c>
      <c r="F739" s="12">
        <v>7</v>
      </c>
      <c r="G739" s="12">
        <v>3640</v>
      </c>
      <c r="H739" s="12">
        <v>5.5</v>
      </c>
      <c r="I739" s="12">
        <v>24078.6</v>
      </c>
      <c r="J739" s="10" t="s">
        <v>51</v>
      </c>
      <c r="K739" s="10" t="s">
        <v>76</v>
      </c>
      <c r="L739" t="str">
        <f>IFERROR(VLOOKUP(D739,Products!A:F,3,0),"")</f>
        <v>Apparel</v>
      </c>
      <c r="M739" t="str">
        <f>IFERROR(VLOOKUP(E739,Sales_Reps!A:E,3,0),"")</f>
        <v>East</v>
      </c>
      <c r="N739" t="str">
        <f>IFERROR(VLOOKUP(C739,Customers!A:F,5,0),"")</f>
        <v>Corporate</v>
      </c>
      <c r="O739">
        <f>IFERROR(VLOOKUP(C739,Customers!A:F,3,0),"")</f>
        <v>51</v>
      </c>
      <c r="P739">
        <f>IFERROR(VLOOKUP(D739,Products!A:F,4,0),"")</f>
        <v>2611</v>
      </c>
      <c r="Q739" t="b">
        <f>IFERROR(VLOOKUP(D739,Products!A:F,6,0),"")</f>
        <v>1</v>
      </c>
      <c r="R739">
        <f t="shared" si="33"/>
        <v>0.28269230769230769</v>
      </c>
      <c r="S739">
        <f t="shared" si="34"/>
        <v>1</v>
      </c>
      <c r="T739">
        <f>IF(AND(S739&gt;1,COUNTIF($A$2:A739,A739)=1),1,0)</f>
        <v>0</v>
      </c>
      <c r="U739">
        <f>COUNTIF(Customers!$A$2:$A$301,C739)</f>
        <v>1</v>
      </c>
      <c r="V739">
        <f t="shared" si="35"/>
        <v>0</v>
      </c>
    </row>
    <row r="740" spans="1:22" ht="14.25" customHeight="1" x14ac:dyDescent="0.35">
      <c r="A740" s="10" t="s">
        <v>1170</v>
      </c>
      <c r="B740" s="11">
        <v>45336</v>
      </c>
      <c r="C740" s="10" t="s">
        <v>436</v>
      </c>
      <c r="D740" s="10" t="s">
        <v>243</v>
      </c>
      <c r="E740" s="10" t="s">
        <v>216</v>
      </c>
      <c r="F740" s="12">
        <v>1</v>
      </c>
      <c r="G740" s="12">
        <v>2660</v>
      </c>
      <c r="H740" s="12">
        <v>6.1</v>
      </c>
      <c r="I740" s="12">
        <v>2497.7399999999998</v>
      </c>
      <c r="J740" s="10" t="s">
        <v>104</v>
      </c>
      <c r="K740" s="10" t="s">
        <v>58</v>
      </c>
      <c r="L740" t="str">
        <f>IFERROR(VLOOKUP(D740,Products!A:F,3,0),"")</f>
        <v>Electronics</v>
      </c>
      <c r="M740" t="str">
        <f>IFERROR(VLOOKUP(E740,Sales_Reps!A:E,3,0),"")</f>
        <v>South</v>
      </c>
      <c r="N740" t="str">
        <f>IFERROR(VLOOKUP(C740,Customers!A:F,5,0),"")</f>
        <v>Corporate</v>
      </c>
      <c r="O740">
        <f>IFERROR(VLOOKUP(C740,Customers!A:F,3,0),"")</f>
        <v>35</v>
      </c>
      <c r="P740">
        <f>IFERROR(VLOOKUP(D740,Products!A:F,4,0),"")</f>
        <v>1259</v>
      </c>
      <c r="Q740" t="b">
        <f>IFERROR(VLOOKUP(D740,Products!A:F,6,0),"")</f>
        <v>0</v>
      </c>
      <c r="R740">
        <f t="shared" si="33"/>
        <v>0.52669172932330832</v>
      </c>
      <c r="S740">
        <f t="shared" si="34"/>
        <v>1</v>
      </c>
      <c r="T740">
        <f>IF(AND(S740&gt;1,COUNTIF($A$2:A740,A740)=1),1,0)</f>
        <v>0</v>
      </c>
      <c r="U740">
        <f>COUNTIF(Customers!$A$2:$A$301,C740)</f>
        <v>1</v>
      </c>
      <c r="V740">
        <f t="shared" si="35"/>
        <v>0</v>
      </c>
    </row>
    <row r="741" spans="1:22" ht="14.25" customHeight="1" x14ac:dyDescent="0.35">
      <c r="A741" s="10" t="s">
        <v>1171</v>
      </c>
      <c r="B741" s="11">
        <v>45300</v>
      </c>
      <c r="C741" s="10" t="s">
        <v>197</v>
      </c>
      <c r="D741" s="10" t="s">
        <v>143</v>
      </c>
      <c r="E741" s="10" t="s">
        <v>152</v>
      </c>
      <c r="F741" s="12">
        <v>8</v>
      </c>
      <c r="G741" s="12">
        <v>3350</v>
      </c>
      <c r="H741" s="12">
        <v>19.5</v>
      </c>
      <c r="I741" s="12">
        <v>21574</v>
      </c>
      <c r="J741" s="10" t="s">
        <v>51</v>
      </c>
      <c r="K741" s="10" t="s">
        <v>52</v>
      </c>
      <c r="L741" t="str">
        <f>IFERROR(VLOOKUP(D741,Products!A:F,3,0),"")</f>
        <v>Beauty</v>
      </c>
      <c r="M741" t="str">
        <f>IFERROR(VLOOKUP(E741,Sales_Reps!A:E,3,0),"")</f>
        <v>South</v>
      </c>
      <c r="N741" t="str">
        <f>IFERROR(VLOOKUP(C741,Customers!A:F,5,0),"")</f>
        <v>SMB</v>
      </c>
      <c r="O741">
        <f>IFERROR(VLOOKUP(C741,Customers!A:F,3,0),"")</f>
        <v>29</v>
      </c>
      <c r="P741">
        <f>IFERROR(VLOOKUP(D741,Products!A:F,4,0),"")</f>
        <v>1728</v>
      </c>
      <c r="Q741" t="b">
        <f>IFERROR(VLOOKUP(D741,Products!A:F,6,0),"")</f>
        <v>1</v>
      </c>
      <c r="R741">
        <f t="shared" si="33"/>
        <v>0.48417910447761192</v>
      </c>
      <c r="S741">
        <f t="shared" si="34"/>
        <v>1</v>
      </c>
      <c r="T741">
        <f>IF(AND(S741&gt;1,COUNTIF($A$2:A741,A741)=1),1,0)</f>
        <v>0</v>
      </c>
      <c r="U741">
        <f>COUNTIF(Customers!$A$2:$A$301,C741)</f>
        <v>1</v>
      </c>
      <c r="V741">
        <f t="shared" si="35"/>
        <v>0</v>
      </c>
    </row>
    <row r="742" spans="1:22" ht="14.25" customHeight="1" x14ac:dyDescent="0.35">
      <c r="A742" s="10" t="s">
        <v>1172</v>
      </c>
      <c r="B742" s="11">
        <v>45648</v>
      </c>
      <c r="C742" s="10" t="s">
        <v>48</v>
      </c>
      <c r="D742" s="10" t="s">
        <v>234</v>
      </c>
      <c r="E742" s="10" t="s">
        <v>85</v>
      </c>
      <c r="F742" s="12">
        <v>4</v>
      </c>
      <c r="G742" s="12">
        <v>4610</v>
      </c>
      <c r="H742" s="12">
        <v>24</v>
      </c>
      <c r="I742" s="12">
        <v>14014.4</v>
      </c>
      <c r="J742" s="10" t="s">
        <v>51</v>
      </c>
      <c r="K742" s="10" t="s">
        <v>52</v>
      </c>
      <c r="L742" t="str">
        <f>IFERROR(VLOOKUP(D742,Products!A:F,3,0),"")</f>
        <v>Home</v>
      </c>
      <c r="M742" t="str">
        <f>IFERROR(VLOOKUP(E742,Sales_Reps!A:E,3,0),"")</f>
        <v>East</v>
      </c>
      <c r="N742" t="str">
        <f>IFERROR(VLOOKUP(C742,Customers!A:F,5,0),"")</f>
        <v>SMB</v>
      </c>
      <c r="O742">
        <f>IFERROR(VLOOKUP(C742,Customers!A:F,3,0),"")</f>
        <v>44</v>
      </c>
      <c r="P742">
        <f>IFERROR(VLOOKUP(D742,Products!A:F,4,0),"")</f>
        <v>1850</v>
      </c>
      <c r="Q742" t="b">
        <f>IFERROR(VLOOKUP(D742,Products!A:F,6,0),"")</f>
        <v>1</v>
      </c>
      <c r="R742">
        <f t="shared" si="33"/>
        <v>0.59869848156182215</v>
      </c>
      <c r="S742">
        <f t="shared" si="34"/>
        <v>1</v>
      </c>
      <c r="T742">
        <f>IF(AND(S742&gt;1,COUNTIF($A$2:A742,A742)=1),1,0)</f>
        <v>0</v>
      </c>
      <c r="U742">
        <f>COUNTIF(Customers!$A$2:$A$301,C742)</f>
        <v>1</v>
      </c>
      <c r="V742">
        <f t="shared" si="35"/>
        <v>0</v>
      </c>
    </row>
    <row r="743" spans="1:22" ht="14.25" customHeight="1" x14ac:dyDescent="0.35">
      <c r="A743" s="10" t="s">
        <v>1173</v>
      </c>
      <c r="B743" s="11">
        <v>45293</v>
      </c>
      <c r="C743" s="10" t="s">
        <v>544</v>
      </c>
      <c r="D743" s="10" t="s">
        <v>159</v>
      </c>
      <c r="E743" s="10" t="s">
        <v>62</v>
      </c>
      <c r="F743" s="12">
        <v>7</v>
      </c>
      <c r="G743" s="12">
        <v>2860</v>
      </c>
      <c r="H743" s="12">
        <v>23.2</v>
      </c>
      <c r="I743" s="12">
        <v>15375.36</v>
      </c>
      <c r="J743" s="10" t="s">
        <v>51</v>
      </c>
      <c r="K743" s="10" t="s">
        <v>52</v>
      </c>
      <c r="L743" t="str">
        <f>IFERROR(VLOOKUP(D743,Products!A:F,3,0),"")</f>
        <v>Sports</v>
      </c>
      <c r="M743" t="str">
        <f>IFERROR(VLOOKUP(E743,Sales_Reps!A:E,3,0),"")</f>
        <v>South</v>
      </c>
      <c r="N743" t="str">
        <f>IFERROR(VLOOKUP(C743,Customers!A:F,5,0),"")</f>
        <v>Corporate</v>
      </c>
      <c r="O743">
        <f>IFERROR(VLOOKUP(C743,Customers!A:F,3,0),"")</f>
        <v>40</v>
      </c>
      <c r="P743">
        <f>IFERROR(VLOOKUP(D743,Products!A:F,4,0),"")</f>
        <v>2028</v>
      </c>
      <c r="Q743" t="b">
        <f>IFERROR(VLOOKUP(D743,Products!A:F,6,0),"")</f>
        <v>1</v>
      </c>
      <c r="R743">
        <f t="shared" si="33"/>
        <v>0.29090909090909089</v>
      </c>
      <c r="S743">
        <f t="shared" si="34"/>
        <v>1</v>
      </c>
      <c r="T743">
        <f>IF(AND(S743&gt;1,COUNTIF($A$2:A743,A743)=1),1,0)</f>
        <v>0</v>
      </c>
      <c r="U743">
        <f>COUNTIF(Customers!$A$2:$A$301,C743)</f>
        <v>1</v>
      </c>
      <c r="V743">
        <f t="shared" si="35"/>
        <v>0</v>
      </c>
    </row>
    <row r="744" spans="1:22" ht="14.25" customHeight="1" x14ac:dyDescent="0.35">
      <c r="A744" s="10" t="s">
        <v>1174</v>
      </c>
      <c r="B744" s="11">
        <v>45644</v>
      </c>
      <c r="C744" s="10" t="s">
        <v>771</v>
      </c>
      <c r="D744" s="10" t="s">
        <v>143</v>
      </c>
      <c r="E744" s="10" t="s">
        <v>216</v>
      </c>
      <c r="F744" s="12">
        <v>7</v>
      </c>
      <c r="G744" s="12">
        <v>3350</v>
      </c>
      <c r="H744" s="12">
        <v>10.6</v>
      </c>
      <c r="I744" s="12">
        <v>20964.3</v>
      </c>
      <c r="J744" s="10" t="s">
        <v>57</v>
      </c>
      <c r="K744" s="10" t="s">
        <v>52</v>
      </c>
      <c r="L744" t="str">
        <f>IFERROR(VLOOKUP(D744,Products!A:F,3,0),"")</f>
        <v>Beauty</v>
      </c>
      <c r="M744" t="str">
        <f>IFERROR(VLOOKUP(E744,Sales_Reps!A:E,3,0),"")</f>
        <v>South</v>
      </c>
      <c r="N744" t="str">
        <f>IFERROR(VLOOKUP(C744,Customers!A:F,5,0),"")</f>
        <v>Retail</v>
      </c>
      <c r="O744">
        <f>IFERROR(VLOOKUP(C744,Customers!A:F,3,0),"")</f>
        <v>36</v>
      </c>
      <c r="P744">
        <f>IFERROR(VLOOKUP(D744,Products!A:F,4,0),"")</f>
        <v>1728</v>
      </c>
      <c r="Q744" t="b">
        <f>IFERROR(VLOOKUP(D744,Products!A:F,6,0),"")</f>
        <v>1</v>
      </c>
      <c r="R744">
        <f t="shared" si="33"/>
        <v>0.48417910447761192</v>
      </c>
      <c r="S744">
        <f t="shared" si="34"/>
        <v>1</v>
      </c>
      <c r="T744">
        <f>IF(AND(S744&gt;1,COUNTIF($A$2:A744,A744)=1),1,0)</f>
        <v>0</v>
      </c>
      <c r="U744">
        <f>COUNTIF(Customers!$A$2:$A$301,C744)</f>
        <v>1</v>
      </c>
      <c r="V744">
        <f t="shared" si="35"/>
        <v>0</v>
      </c>
    </row>
    <row r="745" spans="1:22" ht="14.25" customHeight="1" x14ac:dyDescent="0.35">
      <c r="A745" s="10" t="s">
        <v>1175</v>
      </c>
      <c r="B745" s="11">
        <v>45589</v>
      </c>
      <c r="C745" s="10" t="s">
        <v>292</v>
      </c>
      <c r="D745" s="10" t="s">
        <v>302</v>
      </c>
      <c r="E745" s="10" t="s">
        <v>92</v>
      </c>
      <c r="F745" s="12">
        <v>5</v>
      </c>
      <c r="G745" s="12">
        <v>2210</v>
      </c>
      <c r="H745" s="12">
        <v>12.1</v>
      </c>
      <c r="I745" s="12">
        <v>9712.9500000000007</v>
      </c>
      <c r="J745" s="10" t="s">
        <v>51</v>
      </c>
      <c r="K745" s="10" t="s">
        <v>58</v>
      </c>
      <c r="L745" t="str">
        <f>IFERROR(VLOOKUP(D745,Products!A:F,3,0),"")</f>
        <v>Grocery</v>
      </c>
      <c r="M745" t="str">
        <f>IFERROR(VLOOKUP(E745,Sales_Reps!A:E,3,0),"")</f>
        <v>West</v>
      </c>
      <c r="N745" t="str">
        <f>IFERROR(VLOOKUP(C745,Customers!A:F,5,0),"")</f>
        <v>Retail</v>
      </c>
      <c r="O745">
        <f>IFERROR(VLOOKUP(C745,Customers!A:F,3,0),"")</f>
        <v>28</v>
      </c>
      <c r="P745">
        <f>IFERROR(VLOOKUP(D745,Products!A:F,4,0),"")</f>
        <v>1010</v>
      </c>
      <c r="Q745" t="b">
        <f>IFERROR(VLOOKUP(D745,Products!A:F,6,0),"")</f>
        <v>1</v>
      </c>
      <c r="R745">
        <f t="shared" si="33"/>
        <v>0.54298642533936647</v>
      </c>
      <c r="S745">
        <f t="shared" si="34"/>
        <v>1</v>
      </c>
      <c r="T745">
        <f>IF(AND(S745&gt;1,COUNTIF($A$2:A745,A745)=1),1,0)</f>
        <v>0</v>
      </c>
      <c r="U745">
        <f>COUNTIF(Customers!$A$2:$A$301,C745)</f>
        <v>1</v>
      </c>
      <c r="V745">
        <f t="shared" si="35"/>
        <v>0</v>
      </c>
    </row>
    <row r="746" spans="1:22" ht="14.25" customHeight="1" x14ac:dyDescent="0.35">
      <c r="A746" s="10" t="s">
        <v>1176</v>
      </c>
      <c r="B746" s="11">
        <v>45329</v>
      </c>
      <c r="C746" s="10" t="s">
        <v>424</v>
      </c>
      <c r="D746" s="10" t="s">
        <v>121</v>
      </c>
      <c r="E746" s="10" t="s">
        <v>216</v>
      </c>
      <c r="F746" s="12">
        <v>1</v>
      </c>
      <c r="G746" s="12">
        <v>3450</v>
      </c>
      <c r="H746" s="12">
        <v>19.100000000000001</v>
      </c>
      <c r="I746" s="12">
        <v>2791.05</v>
      </c>
      <c r="J746" s="10" t="s">
        <v>57</v>
      </c>
      <c r="K746" s="10" t="s">
        <v>52</v>
      </c>
      <c r="L746" t="str">
        <f>IFERROR(VLOOKUP(D746,Products!A:F,3,0),"")</f>
        <v>Beauty</v>
      </c>
      <c r="M746" t="str">
        <f>IFERROR(VLOOKUP(E746,Sales_Reps!A:E,3,0),"")</f>
        <v>South</v>
      </c>
      <c r="N746" t="str">
        <f>IFERROR(VLOOKUP(C746,Customers!A:F,5,0),"")</f>
        <v>Corporate</v>
      </c>
      <c r="O746">
        <f>IFERROR(VLOOKUP(C746,Customers!A:F,3,0),"")</f>
        <v>37</v>
      </c>
      <c r="P746">
        <f>IFERROR(VLOOKUP(D746,Products!A:F,4,0),"")</f>
        <v>2420</v>
      </c>
      <c r="Q746" t="b">
        <f>IFERROR(VLOOKUP(D746,Products!A:F,6,0),"")</f>
        <v>1</v>
      </c>
      <c r="R746">
        <f t="shared" si="33"/>
        <v>0.29855072463768118</v>
      </c>
      <c r="S746">
        <f t="shared" si="34"/>
        <v>1</v>
      </c>
      <c r="T746">
        <f>IF(AND(S746&gt;1,COUNTIF($A$2:A746,A746)=1),1,0)</f>
        <v>0</v>
      </c>
      <c r="U746">
        <f>COUNTIF(Customers!$A$2:$A$301,C746)</f>
        <v>1</v>
      </c>
      <c r="V746">
        <f t="shared" si="35"/>
        <v>0</v>
      </c>
    </row>
    <row r="747" spans="1:22" ht="14.25" customHeight="1" x14ac:dyDescent="0.35">
      <c r="A747" s="10" t="s">
        <v>1177</v>
      </c>
      <c r="B747" s="11">
        <v>45587</v>
      </c>
      <c r="C747" s="10" t="s">
        <v>503</v>
      </c>
      <c r="D747" s="10" t="s">
        <v>155</v>
      </c>
      <c r="E747" s="10" t="s">
        <v>92</v>
      </c>
      <c r="F747" s="12">
        <v>5</v>
      </c>
      <c r="G747" s="12">
        <v>5100</v>
      </c>
      <c r="H747" s="12">
        <v>2.8</v>
      </c>
      <c r="I747" s="12">
        <v>24786</v>
      </c>
      <c r="J747" s="10" t="s">
        <v>51</v>
      </c>
      <c r="K747" s="10" t="s">
        <v>97</v>
      </c>
      <c r="L747" t="str">
        <f>IFERROR(VLOOKUP(D747,Products!A:F,3,0),"")</f>
        <v>Beauty</v>
      </c>
      <c r="M747" t="str">
        <f>IFERROR(VLOOKUP(E747,Sales_Reps!A:E,3,0),"")</f>
        <v>West</v>
      </c>
      <c r="N747" t="str">
        <f>IFERROR(VLOOKUP(C747,Customers!A:F,5,0),"")</f>
        <v>Retail</v>
      </c>
      <c r="O747">
        <f>IFERROR(VLOOKUP(C747,Customers!A:F,3,0),"")</f>
        <v>38</v>
      </c>
      <c r="P747">
        <f>IFERROR(VLOOKUP(D747,Products!A:F,4,0),"")</f>
        <v>2237</v>
      </c>
      <c r="Q747" t="b">
        <f>IFERROR(VLOOKUP(D747,Products!A:F,6,0),"")</f>
        <v>1</v>
      </c>
      <c r="R747">
        <f t="shared" si="33"/>
        <v>0.56137254901960787</v>
      </c>
      <c r="S747">
        <f t="shared" si="34"/>
        <v>1</v>
      </c>
      <c r="T747">
        <f>IF(AND(S747&gt;1,COUNTIF($A$2:A747,A747)=1),1,0)</f>
        <v>0</v>
      </c>
      <c r="U747">
        <f>COUNTIF(Customers!$A$2:$A$301,C747)</f>
        <v>1</v>
      </c>
      <c r="V747">
        <f t="shared" si="35"/>
        <v>0</v>
      </c>
    </row>
    <row r="748" spans="1:22" ht="14.25" customHeight="1" x14ac:dyDescent="0.35">
      <c r="A748" s="10" t="s">
        <v>1178</v>
      </c>
      <c r="B748" s="11">
        <v>45423</v>
      </c>
      <c r="C748" s="10" t="s">
        <v>263</v>
      </c>
      <c r="D748" s="10" t="s">
        <v>155</v>
      </c>
      <c r="E748" s="10" t="s">
        <v>112</v>
      </c>
      <c r="F748" s="12">
        <v>9</v>
      </c>
      <c r="G748" s="12">
        <v>5100</v>
      </c>
      <c r="H748" s="12">
        <v>24.4</v>
      </c>
      <c r="I748" s="12">
        <v>34700.400000000001</v>
      </c>
      <c r="J748" s="10" t="s">
        <v>51</v>
      </c>
      <c r="K748" s="10" t="s">
        <v>97</v>
      </c>
      <c r="L748" t="str">
        <f>IFERROR(VLOOKUP(D748,Products!A:F,3,0),"")</f>
        <v>Beauty</v>
      </c>
      <c r="M748" t="str">
        <f>IFERROR(VLOOKUP(E748,Sales_Reps!A:E,3,0),"")</f>
        <v>North</v>
      </c>
      <c r="N748" t="str">
        <f>IFERROR(VLOOKUP(C748,Customers!A:F,5,0),"")</f>
        <v>Retail</v>
      </c>
      <c r="O748">
        <f>IFERROR(VLOOKUP(C748,Customers!A:F,3,0),"")</f>
        <v>29</v>
      </c>
      <c r="P748">
        <f>IFERROR(VLOOKUP(D748,Products!A:F,4,0),"")</f>
        <v>2237</v>
      </c>
      <c r="Q748" t="b">
        <f>IFERROR(VLOOKUP(D748,Products!A:F,6,0),"")</f>
        <v>1</v>
      </c>
      <c r="R748">
        <f t="shared" si="33"/>
        <v>0.56137254901960787</v>
      </c>
      <c r="S748">
        <f t="shared" si="34"/>
        <v>1</v>
      </c>
      <c r="T748">
        <f>IF(AND(S748&gt;1,COUNTIF($A$2:A748,A748)=1),1,0)</f>
        <v>0</v>
      </c>
      <c r="U748">
        <f>COUNTIF(Customers!$A$2:$A$301,C748)</f>
        <v>1</v>
      </c>
      <c r="V748">
        <f t="shared" si="35"/>
        <v>0</v>
      </c>
    </row>
    <row r="749" spans="1:22" ht="14.25" customHeight="1" x14ac:dyDescent="0.35">
      <c r="A749" s="10" t="s">
        <v>1179</v>
      </c>
      <c r="B749" s="11">
        <v>45568</v>
      </c>
      <c r="C749" s="10" t="s">
        <v>265</v>
      </c>
      <c r="D749" s="10" t="s">
        <v>167</v>
      </c>
      <c r="E749" s="10" t="s">
        <v>67</v>
      </c>
      <c r="F749" s="12">
        <v>9</v>
      </c>
      <c r="G749" s="12">
        <v>660</v>
      </c>
      <c r="H749" s="12">
        <v>19.8</v>
      </c>
      <c r="I749" s="12">
        <v>4763.88</v>
      </c>
      <c r="J749" s="10" t="s">
        <v>51</v>
      </c>
      <c r="K749" s="10" t="s">
        <v>58</v>
      </c>
      <c r="L749" t="str">
        <f>IFERROR(VLOOKUP(D749,Products!A:F,3,0),"")</f>
        <v>Home</v>
      </c>
      <c r="M749" t="str">
        <f>IFERROR(VLOOKUP(E749,Sales_Reps!A:E,3,0),"")</f>
        <v>North</v>
      </c>
      <c r="N749" t="str">
        <f>IFERROR(VLOOKUP(C749,Customers!A:F,5,0),"")</f>
        <v>Retail</v>
      </c>
      <c r="O749">
        <f>IFERROR(VLOOKUP(C749,Customers!A:F,3,0),"")</f>
        <v>41</v>
      </c>
      <c r="P749">
        <f>IFERROR(VLOOKUP(D749,Products!A:F,4,0),"")</f>
        <v>329</v>
      </c>
      <c r="Q749" t="b">
        <f>IFERROR(VLOOKUP(D749,Products!A:F,6,0),"")</f>
        <v>1</v>
      </c>
      <c r="R749">
        <f t="shared" si="33"/>
        <v>0.50151515151515147</v>
      </c>
      <c r="S749">
        <f t="shared" si="34"/>
        <v>1</v>
      </c>
      <c r="T749">
        <f>IF(AND(S749&gt;1,COUNTIF($A$2:A749,A749)=1),1,0)</f>
        <v>0</v>
      </c>
      <c r="U749">
        <f>COUNTIF(Customers!$A$2:$A$301,C749)</f>
        <v>1</v>
      </c>
      <c r="V749">
        <f t="shared" si="35"/>
        <v>0</v>
      </c>
    </row>
    <row r="750" spans="1:22" ht="14.25" customHeight="1" x14ac:dyDescent="0.35">
      <c r="A750" s="10" t="s">
        <v>1180</v>
      </c>
      <c r="B750" s="11">
        <v>45549</v>
      </c>
      <c r="C750" s="10" t="s">
        <v>1181</v>
      </c>
      <c r="D750" s="10" t="s">
        <v>228</v>
      </c>
      <c r="E750" s="10" t="s">
        <v>67</v>
      </c>
      <c r="F750" s="12">
        <v>3</v>
      </c>
      <c r="G750" s="12">
        <v>4070</v>
      </c>
      <c r="H750" s="12">
        <v>27.1</v>
      </c>
      <c r="I750" s="12">
        <v>8901.09</v>
      </c>
      <c r="J750" s="10" t="s">
        <v>51</v>
      </c>
      <c r="K750" s="10" t="s">
        <v>76</v>
      </c>
      <c r="L750" t="str">
        <f>IFERROR(VLOOKUP(D750,Products!A:F,3,0),"")</f>
        <v>Grocery</v>
      </c>
      <c r="M750" t="str">
        <f>IFERROR(VLOOKUP(E750,Sales_Reps!A:E,3,0),"")</f>
        <v>North</v>
      </c>
      <c r="N750" t="str">
        <f>IFERROR(VLOOKUP(C750,Customers!A:F,5,0),"")</f>
        <v>Retail</v>
      </c>
      <c r="O750">
        <f>IFERROR(VLOOKUP(C750,Customers!A:F,3,0),"")</f>
        <v>44</v>
      </c>
      <c r="P750">
        <f>IFERROR(VLOOKUP(D750,Products!A:F,4,0),"")</f>
        <v>2027</v>
      </c>
      <c r="Q750" t="b">
        <f>IFERROR(VLOOKUP(D750,Products!A:F,6,0),"")</f>
        <v>1</v>
      </c>
      <c r="R750">
        <f t="shared" si="33"/>
        <v>0.50196560196560192</v>
      </c>
      <c r="S750">
        <f t="shared" si="34"/>
        <v>1</v>
      </c>
      <c r="T750">
        <f>IF(AND(S750&gt;1,COUNTIF($A$2:A750,A750)=1),1,0)</f>
        <v>0</v>
      </c>
      <c r="U750">
        <f>COUNTIF(Customers!$A$2:$A$301,C750)</f>
        <v>1</v>
      </c>
      <c r="V750">
        <f t="shared" si="35"/>
        <v>0</v>
      </c>
    </row>
    <row r="751" spans="1:22" ht="14.25" customHeight="1" x14ac:dyDescent="0.35">
      <c r="A751" s="10" t="s">
        <v>1182</v>
      </c>
      <c r="B751" s="11">
        <v>45504</v>
      </c>
      <c r="C751" s="10" t="s">
        <v>314</v>
      </c>
      <c r="D751" s="10" t="s">
        <v>319</v>
      </c>
      <c r="E751" s="10" t="s">
        <v>50</v>
      </c>
      <c r="F751" s="12">
        <v>2</v>
      </c>
      <c r="G751" s="12">
        <v>2510</v>
      </c>
      <c r="H751" s="12">
        <v>29.1</v>
      </c>
      <c r="I751" s="12">
        <v>3559.18</v>
      </c>
      <c r="J751" s="10" t="s">
        <v>51</v>
      </c>
      <c r="K751" s="10" t="s">
        <v>76</v>
      </c>
      <c r="L751" t="str">
        <f>IFERROR(VLOOKUP(D751,Products!A:F,3,0),"")</f>
        <v>Apparel</v>
      </c>
      <c r="M751" t="str">
        <f>IFERROR(VLOOKUP(E751,Sales_Reps!A:E,3,0),"")</f>
        <v>North</v>
      </c>
      <c r="N751" t="str">
        <f>IFERROR(VLOOKUP(C751,Customers!A:F,5,0),"")</f>
        <v>SMB</v>
      </c>
      <c r="O751">
        <f>IFERROR(VLOOKUP(C751,Customers!A:F,3,0),"")</f>
        <v>22</v>
      </c>
      <c r="P751">
        <f>IFERROR(VLOOKUP(D751,Products!A:F,4,0),"")</f>
        <v>1075</v>
      </c>
      <c r="Q751" t="b">
        <f>IFERROR(VLOOKUP(D751,Products!A:F,6,0),"")</f>
        <v>0</v>
      </c>
      <c r="R751">
        <f t="shared" si="33"/>
        <v>0.57171314741035861</v>
      </c>
      <c r="S751">
        <f t="shared" si="34"/>
        <v>1</v>
      </c>
      <c r="T751">
        <f>IF(AND(S751&gt;1,COUNTIF($A$2:A751,A751)=1),1,0)</f>
        <v>0</v>
      </c>
      <c r="U751">
        <f>COUNTIF(Customers!$A$2:$A$301,C751)</f>
        <v>1</v>
      </c>
      <c r="V751">
        <f t="shared" si="35"/>
        <v>0</v>
      </c>
    </row>
    <row r="752" spans="1:22" ht="14.25" customHeight="1" x14ac:dyDescent="0.35">
      <c r="A752" s="10" t="s">
        <v>1183</v>
      </c>
      <c r="B752" s="11">
        <v>45449</v>
      </c>
      <c r="C752" s="10" t="s">
        <v>197</v>
      </c>
      <c r="D752" s="10" t="s">
        <v>107</v>
      </c>
      <c r="E752" s="10" t="s">
        <v>134</v>
      </c>
      <c r="F752" s="12">
        <v>4</v>
      </c>
      <c r="G752" s="12">
        <v>3250</v>
      </c>
      <c r="H752" s="12">
        <v>21.1</v>
      </c>
      <c r="I752" s="12">
        <v>10257</v>
      </c>
      <c r="J752" s="10" t="s">
        <v>51</v>
      </c>
      <c r="K752" s="10" t="s">
        <v>52</v>
      </c>
      <c r="L752" t="str">
        <f>IFERROR(VLOOKUP(D752,Products!A:F,3,0),"")</f>
        <v>Home</v>
      </c>
      <c r="M752" t="str">
        <f>IFERROR(VLOOKUP(E752,Sales_Reps!A:E,3,0),"")</f>
        <v>West</v>
      </c>
      <c r="N752" t="str">
        <f>IFERROR(VLOOKUP(C752,Customers!A:F,5,0),"")</f>
        <v>SMB</v>
      </c>
      <c r="O752">
        <f>IFERROR(VLOOKUP(C752,Customers!A:F,3,0),"")</f>
        <v>29</v>
      </c>
      <c r="P752">
        <f>IFERROR(VLOOKUP(D752,Products!A:F,4,0),"")</f>
        <v>1556</v>
      </c>
      <c r="Q752" t="b">
        <f>IFERROR(VLOOKUP(D752,Products!A:F,6,0),"")</f>
        <v>1</v>
      </c>
      <c r="R752">
        <f t="shared" si="33"/>
        <v>0.52123076923076928</v>
      </c>
      <c r="S752">
        <f t="shared" si="34"/>
        <v>1</v>
      </c>
      <c r="T752">
        <f>IF(AND(S752&gt;1,COUNTIF($A$2:A752,A752)=1),1,0)</f>
        <v>0</v>
      </c>
      <c r="U752">
        <f>COUNTIF(Customers!$A$2:$A$301,C752)</f>
        <v>1</v>
      </c>
      <c r="V752">
        <f t="shared" si="35"/>
        <v>0</v>
      </c>
    </row>
    <row r="753" spans="1:22" ht="14.25" customHeight="1" x14ac:dyDescent="0.35">
      <c r="A753" s="10" t="s">
        <v>1184</v>
      </c>
      <c r="B753" s="11">
        <v>45600</v>
      </c>
      <c r="C753" s="10" t="s">
        <v>563</v>
      </c>
      <c r="D753" s="10" t="s">
        <v>74</v>
      </c>
      <c r="E753" s="10" t="s">
        <v>56</v>
      </c>
      <c r="F753" s="12">
        <v>3</v>
      </c>
      <c r="G753" s="12">
        <v>370</v>
      </c>
      <c r="H753" s="12">
        <v>7.7</v>
      </c>
      <c r="I753" s="12">
        <v>1024.53</v>
      </c>
      <c r="J753" s="10" t="s">
        <v>51</v>
      </c>
      <c r="K753" s="10" t="s">
        <v>81</v>
      </c>
      <c r="L753" t="str">
        <f>IFERROR(VLOOKUP(D753,Products!A:F,3,0),"")</f>
        <v>Home</v>
      </c>
      <c r="M753" t="str">
        <f>IFERROR(VLOOKUP(E753,Sales_Reps!A:E,3,0),"")</f>
        <v>North</v>
      </c>
      <c r="N753" t="str">
        <f>IFERROR(VLOOKUP(C753,Customers!A:F,5,0),"")</f>
        <v>Corporate</v>
      </c>
      <c r="O753">
        <f>IFERROR(VLOOKUP(C753,Customers!A:F,3,0),"")</f>
        <v>26</v>
      </c>
      <c r="P753">
        <f>IFERROR(VLOOKUP(D753,Products!A:F,4,0),"")</f>
        <v>288</v>
      </c>
      <c r="Q753" t="b">
        <f>IFERROR(VLOOKUP(D753,Products!A:F,6,0),"")</f>
        <v>1</v>
      </c>
      <c r="R753">
        <f t="shared" si="33"/>
        <v>0.22162162162162163</v>
      </c>
      <c r="S753">
        <f t="shared" si="34"/>
        <v>1</v>
      </c>
      <c r="T753">
        <f>IF(AND(S753&gt;1,COUNTIF($A$2:A753,A753)=1),1,0)</f>
        <v>0</v>
      </c>
      <c r="U753">
        <f>COUNTIF(Customers!$A$2:$A$301,C753)</f>
        <v>1</v>
      </c>
      <c r="V753">
        <f t="shared" si="35"/>
        <v>0</v>
      </c>
    </row>
    <row r="754" spans="1:22" ht="14.25" customHeight="1" x14ac:dyDescent="0.35">
      <c r="A754" s="10" t="s">
        <v>1185</v>
      </c>
      <c r="B754" s="11">
        <v>45479</v>
      </c>
      <c r="C754" s="10" t="s">
        <v>941</v>
      </c>
      <c r="D754" s="10" t="s">
        <v>55</v>
      </c>
      <c r="E754" s="10" t="s">
        <v>67</v>
      </c>
      <c r="F754" s="12">
        <v>10</v>
      </c>
      <c r="G754" s="12">
        <v>820</v>
      </c>
      <c r="H754" s="12">
        <v>3.5</v>
      </c>
      <c r="I754" s="12">
        <v>7913</v>
      </c>
      <c r="J754" s="10" t="s">
        <v>51</v>
      </c>
      <c r="K754" s="10" t="s">
        <v>52</v>
      </c>
      <c r="L754" t="str">
        <f>IFERROR(VLOOKUP(D754,Products!A:F,3,0),"")</f>
        <v>Apparel</v>
      </c>
      <c r="M754" t="str">
        <f>IFERROR(VLOOKUP(E754,Sales_Reps!A:E,3,0),"")</f>
        <v>North</v>
      </c>
      <c r="N754" t="str">
        <f>IFERROR(VLOOKUP(C754,Customers!A:F,5,0),"")</f>
        <v>Corporate</v>
      </c>
      <c r="O754">
        <f>IFERROR(VLOOKUP(C754,Customers!A:F,3,0),"")</f>
        <v>29</v>
      </c>
      <c r="P754">
        <f>IFERROR(VLOOKUP(D754,Products!A:F,4,0),"")</f>
        <v>391</v>
      </c>
      <c r="Q754" t="b">
        <f>IFERROR(VLOOKUP(D754,Products!A:F,6,0),"")</f>
        <v>1</v>
      </c>
      <c r="R754">
        <f t="shared" si="33"/>
        <v>0.52317073170731709</v>
      </c>
      <c r="S754">
        <f t="shared" si="34"/>
        <v>1</v>
      </c>
      <c r="T754">
        <f>IF(AND(S754&gt;1,COUNTIF($A$2:A754,A754)=1),1,0)</f>
        <v>0</v>
      </c>
      <c r="U754">
        <f>COUNTIF(Customers!$A$2:$A$301,C754)</f>
        <v>1</v>
      </c>
      <c r="V754">
        <f t="shared" si="35"/>
        <v>0</v>
      </c>
    </row>
    <row r="755" spans="1:22" ht="14.25" customHeight="1" x14ac:dyDescent="0.35">
      <c r="A755" s="10" t="s">
        <v>1186</v>
      </c>
      <c r="B755" s="11">
        <v>45531</v>
      </c>
      <c r="C755" s="10" t="s">
        <v>393</v>
      </c>
      <c r="D755" s="10" t="s">
        <v>228</v>
      </c>
      <c r="E755" s="10" t="s">
        <v>193</v>
      </c>
      <c r="F755" s="12">
        <v>4</v>
      </c>
      <c r="G755" s="12">
        <v>4070</v>
      </c>
      <c r="H755" s="12">
        <v>23.8</v>
      </c>
      <c r="I755" s="12">
        <v>12405.36</v>
      </c>
      <c r="J755" s="10" t="s">
        <v>51</v>
      </c>
      <c r="K755" s="10" t="s">
        <v>81</v>
      </c>
      <c r="L755" t="str">
        <f>IFERROR(VLOOKUP(D755,Products!A:F,3,0),"")</f>
        <v>Grocery</v>
      </c>
      <c r="M755" t="str">
        <f>IFERROR(VLOOKUP(E755,Sales_Reps!A:E,3,0),"")</f>
        <v>West</v>
      </c>
      <c r="N755" t="str">
        <f>IFERROR(VLOOKUP(C755,Customers!A:F,5,0),"")</f>
        <v>Retail</v>
      </c>
      <c r="O755">
        <f>IFERROR(VLOOKUP(C755,Customers!A:F,3,0),"")</f>
        <v>55</v>
      </c>
      <c r="P755">
        <f>IFERROR(VLOOKUP(D755,Products!A:F,4,0),"")</f>
        <v>2027</v>
      </c>
      <c r="Q755" t="b">
        <f>IFERROR(VLOOKUP(D755,Products!A:F,6,0),"")</f>
        <v>1</v>
      </c>
      <c r="R755">
        <f t="shared" si="33"/>
        <v>0.50196560196560192</v>
      </c>
      <c r="S755">
        <f t="shared" si="34"/>
        <v>1</v>
      </c>
      <c r="T755">
        <f>IF(AND(S755&gt;1,COUNTIF($A$2:A755,A755)=1),1,0)</f>
        <v>0</v>
      </c>
      <c r="U755">
        <f>COUNTIF(Customers!$A$2:$A$301,C755)</f>
        <v>1</v>
      </c>
      <c r="V755">
        <f t="shared" si="35"/>
        <v>12405.36</v>
      </c>
    </row>
    <row r="756" spans="1:22" ht="14.25" customHeight="1" x14ac:dyDescent="0.35">
      <c r="A756" s="10" t="s">
        <v>1187</v>
      </c>
      <c r="B756" s="11">
        <v>45356</v>
      </c>
      <c r="C756" s="10" t="s">
        <v>723</v>
      </c>
      <c r="D756" s="10" t="s">
        <v>331</v>
      </c>
      <c r="E756" s="10" t="s">
        <v>237</v>
      </c>
      <c r="F756" s="12">
        <v>1</v>
      </c>
      <c r="G756" s="12">
        <v>2380</v>
      </c>
      <c r="H756" s="12">
        <v>19.600000000000001</v>
      </c>
      <c r="I756" s="12">
        <v>1913.52</v>
      </c>
      <c r="J756" s="10" t="s">
        <v>104</v>
      </c>
      <c r="K756" s="10" t="s">
        <v>81</v>
      </c>
      <c r="L756" t="str">
        <f>IFERROR(VLOOKUP(D756,Products!A:F,3,0),"")</f>
        <v>Grocery</v>
      </c>
      <c r="M756" t="str">
        <f>IFERROR(VLOOKUP(E756,Sales_Reps!A:E,3,0),"")</f>
        <v>South</v>
      </c>
      <c r="N756" t="str">
        <f>IFERROR(VLOOKUP(C756,Customers!A:F,5,0),"")</f>
        <v>Retail</v>
      </c>
      <c r="O756">
        <f>IFERROR(VLOOKUP(C756,Customers!A:F,3,0),"")</f>
        <v>29</v>
      </c>
      <c r="P756">
        <f>IFERROR(VLOOKUP(D756,Products!A:F,4,0),"")</f>
        <v>1182</v>
      </c>
      <c r="Q756" t="b">
        <f>IFERROR(VLOOKUP(D756,Products!A:F,6,0),"")</f>
        <v>1</v>
      </c>
      <c r="R756">
        <f t="shared" si="33"/>
        <v>0.50336134453781511</v>
      </c>
      <c r="S756">
        <f t="shared" si="34"/>
        <v>1</v>
      </c>
      <c r="T756">
        <f>IF(AND(S756&gt;1,COUNTIF($A$2:A756,A756)=1),1,0)</f>
        <v>0</v>
      </c>
      <c r="U756">
        <f>COUNTIF(Customers!$A$2:$A$301,C756)</f>
        <v>1</v>
      </c>
      <c r="V756">
        <f t="shared" si="35"/>
        <v>1913.52</v>
      </c>
    </row>
    <row r="757" spans="1:22" ht="14.25" customHeight="1" x14ac:dyDescent="0.35">
      <c r="A757" s="10" t="s">
        <v>1188</v>
      </c>
      <c r="B757" s="11">
        <v>45553</v>
      </c>
      <c r="C757" s="10" t="s">
        <v>912</v>
      </c>
      <c r="D757" s="10" t="s">
        <v>88</v>
      </c>
      <c r="E757" s="10" t="s">
        <v>134</v>
      </c>
      <c r="F757" s="12">
        <v>3</v>
      </c>
      <c r="G757" s="12">
        <v>5490</v>
      </c>
      <c r="H757" s="12">
        <v>2.5</v>
      </c>
      <c r="I757" s="12">
        <v>16058.25</v>
      </c>
      <c r="J757" s="10" t="s">
        <v>51</v>
      </c>
      <c r="K757" s="10" t="s">
        <v>52</v>
      </c>
      <c r="L757" t="str">
        <f>IFERROR(VLOOKUP(D757,Products!A:F,3,0),"")</f>
        <v>Home</v>
      </c>
      <c r="M757" t="str">
        <f>IFERROR(VLOOKUP(E757,Sales_Reps!A:E,3,0),"")</f>
        <v>West</v>
      </c>
      <c r="N757" t="str">
        <f>IFERROR(VLOOKUP(C757,Customers!A:F,5,0),"")</f>
        <v>Retail</v>
      </c>
      <c r="O757">
        <f>IFERROR(VLOOKUP(C757,Customers!A:F,3,0),"")</f>
        <v>65</v>
      </c>
      <c r="P757">
        <f>IFERROR(VLOOKUP(D757,Products!A:F,4,0),"")</f>
        <v>2549</v>
      </c>
      <c r="Q757" t="b">
        <f>IFERROR(VLOOKUP(D757,Products!A:F,6,0),"")</f>
        <v>1</v>
      </c>
      <c r="R757">
        <f t="shared" si="33"/>
        <v>0.53570127504553733</v>
      </c>
      <c r="S757">
        <f t="shared" si="34"/>
        <v>1</v>
      </c>
      <c r="T757">
        <f>IF(AND(S757&gt;1,COUNTIF($A$2:A757,A757)=1),1,0)</f>
        <v>0</v>
      </c>
      <c r="U757">
        <f>COUNTIF(Customers!$A$2:$A$301,C757)</f>
        <v>1</v>
      </c>
      <c r="V757">
        <f t="shared" si="35"/>
        <v>0</v>
      </c>
    </row>
    <row r="758" spans="1:22" ht="14.25" customHeight="1" x14ac:dyDescent="0.35">
      <c r="A758" s="10" t="s">
        <v>1189</v>
      </c>
      <c r="B758" s="11">
        <v>45492</v>
      </c>
      <c r="C758" s="10" t="s">
        <v>300</v>
      </c>
      <c r="D758" s="10" t="s">
        <v>201</v>
      </c>
      <c r="E758" s="10" t="s">
        <v>307</v>
      </c>
      <c r="F758" s="12">
        <v>3</v>
      </c>
      <c r="G758" s="12">
        <v>3640</v>
      </c>
      <c r="H758" s="12">
        <v>23.3</v>
      </c>
      <c r="I758" s="12">
        <v>8375.64</v>
      </c>
      <c r="J758" s="10" t="s">
        <v>51</v>
      </c>
      <c r="K758" s="10" t="s">
        <v>76</v>
      </c>
      <c r="L758" t="str">
        <f>IFERROR(VLOOKUP(D758,Products!A:F,3,0),"")</f>
        <v>Apparel</v>
      </c>
      <c r="M758" t="str">
        <f>IFERROR(VLOOKUP(E758,Sales_Reps!A:E,3,0),"")</f>
        <v>West</v>
      </c>
      <c r="N758" t="str">
        <f>IFERROR(VLOOKUP(C758,Customers!A:F,5,0),"")</f>
        <v>Retail</v>
      </c>
      <c r="O758">
        <f>IFERROR(VLOOKUP(C758,Customers!A:F,3,0),"")</f>
        <v>49</v>
      </c>
      <c r="P758">
        <f>IFERROR(VLOOKUP(D758,Products!A:F,4,0),"")</f>
        <v>2611</v>
      </c>
      <c r="Q758" t="b">
        <f>IFERROR(VLOOKUP(D758,Products!A:F,6,0),"")</f>
        <v>1</v>
      </c>
      <c r="R758">
        <f t="shared" si="33"/>
        <v>0.28269230769230769</v>
      </c>
      <c r="S758">
        <f t="shared" si="34"/>
        <v>1</v>
      </c>
      <c r="T758">
        <f>IF(AND(S758&gt;1,COUNTIF($A$2:A758,A758)=1),1,0)</f>
        <v>0</v>
      </c>
      <c r="U758">
        <f>COUNTIF(Customers!$A$2:$A$301,C758)</f>
        <v>1</v>
      </c>
      <c r="V758">
        <f t="shared" si="35"/>
        <v>0</v>
      </c>
    </row>
    <row r="759" spans="1:22" ht="14.25" customHeight="1" x14ac:dyDescent="0.35">
      <c r="A759" s="10" t="s">
        <v>1190</v>
      </c>
      <c r="B759" s="11">
        <v>45388</v>
      </c>
      <c r="C759" s="10" t="s">
        <v>369</v>
      </c>
      <c r="D759" s="10" t="s">
        <v>234</v>
      </c>
      <c r="E759" s="10" t="s">
        <v>267</v>
      </c>
      <c r="F759" s="12">
        <v>2</v>
      </c>
      <c r="G759" s="12">
        <v>4610</v>
      </c>
      <c r="H759" s="12">
        <v>5</v>
      </c>
      <c r="I759" s="12">
        <v>8759</v>
      </c>
      <c r="J759" s="10" t="s">
        <v>57</v>
      </c>
      <c r="K759" s="10" t="s">
        <v>58</v>
      </c>
      <c r="L759" t="str">
        <f>IFERROR(VLOOKUP(D759,Products!A:F,3,0),"")</f>
        <v>Home</v>
      </c>
      <c r="M759" t="str">
        <f>IFERROR(VLOOKUP(E759,Sales_Reps!A:E,3,0),"")</f>
        <v>East</v>
      </c>
      <c r="N759" t="str">
        <f>IFERROR(VLOOKUP(C759,Customers!A:F,5,0),"")</f>
        <v>Corporate</v>
      </c>
      <c r="O759">
        <f>IFERROR(VLOOKUP(C759,Customers!A:F,3,0),"")</f>
        <v>24</v>
      </c>
      <c r="P759">
        <f>IFERROR(VLOOKUP(D759,Products!A:F,4,0),"")</f>
        <v>1850</v>
      </c>
      <c r="Q759" t="b">
        <f>IFERROR(VLOOKUP(D759,Products!A:F,6,0),"")</f>
        <v>1</v>
      </c>
      <c r="R759">
        <f t="shared" si="33"/>
        <v>0.59869848156182215</v>
      </c>
      <c r="S759">
        <f t="shared" si="34"/>
        <v>1</v>
      </c>
      <c r="T759">
        <f>IF(AND(S759&gt;1,COUNTIF($A$2:A759,A759)=1),1,0)</f>
        <v>0</v>
      </c>
      <c r="U759">
        <f>COUNTIF(Customers!$A$2:$A$301,C759)</f>
        <v>1</v>
      </c>
      <c r="V759">
        <f t="shared" si="35"/>
        <v>0</v>
      </c>
    </row>
    <row r="760" spans="1:22" ht="14.25" customHeight="1" x14ac:dyDescent="0.35">
      <c r="A760" s="10" t="s">
        <v>1191</v>
      </c>
      <c r="B760" s="11">
        <v>45369</v>
      </c>
      <c r="C760" s="10" t="s">
        <v>471</v>
      </c>
      <c r="D760" s="10" t="s">
        <v>115</v>
      </c>
      <c r="E760" s="10" t="s">
        <v>179</v>
      </c>
      <c r="F760" s="12">
        <v>8</v>
      </c>
      <c r="G760" s="12">
        <v>2400</v>
      </c>
      <c r="H760" s="12">
        <v>10</v>
      </c>
      <c r="I760" s="12">
        <v>17280</v>
      </c>
      <c r="J760" s="10" t="s">
        <v>57</v>
      </c>
      <c r="K760" s="10" t="s">
        <v>52</v>
      </c>
      <c r="L760" t="str">
        <f>IFERROR(VLOOKUP(D760,Products!A:F,3,0),"")</f>
        <v>Sports</v>
      </c>
      <c r="M760" t="str">
        <f>IFERROR(VLOOKUP(E760,Sales_Reps!A:E,3,0),"")</f>
        <v>North</v>
      </c>
      <c r="N760" t="str">
        <f>IFERROR(VLOOKUP(C760,Customers!A:F,5,0),"")</f>
        <v>Retail</v>
      </c>
      <c r="O760">
        <f>IFERROR(VLOOKUP(C760,Customers!A:F,3,0),"")</f>
        <v>59</v>
      </c>
      <c r="P760">
        <f>IFERROR(VLOOKUP(D760,Products!A:F,4,0),"")</f>
        <v>974</v>
      </c>
      <c r="Q760" t="b">
        <f>IFERROR(VLOOKUP(D760,Products!A:F,6,0),"")</f>
        <v>1</v>
      </c>
      <c r="R760">
        <f t="shared" si="33"/>
        <v>0.59416666666666662</v>
      </c>
      <c r="S760">
        <f t="shared" si="34"/>
        <v>1</v>
      </c>
      <c r="T760">
        <f>IF(AND(S760&gt;1,COUNTIF($A$2:A760,A760)=1),1,0)</f>
        <v>0</v>
      </c>
      <c r="U760">
        <f>COUNTIF(Customers!$A$2:$A$301,C760)</f>
        <v>1</v>
      </c>
      <c r="V760">
        <f t="shared" si="35"/>
        <v>0</v>
      </c>
    </row>
    <row r="761" spans="1:22" ht="14.25" customHeight="1" x14ac:dyDescent="0.35">
      <c r="A761" s="10" t="s">
        <v>1192</v>
      </c>
      <c r="B761" s="11">
        <v>45597</v>
      </c>
      <c r="C761" s="10" t="s">
        <v>361</v>
      </c>
      <c r="D761" s="10" t="s">
        <v>143</v>
      </c>
      <c r="E761" s="10" t="s">
        <v>261</v>
      </c>
      <c r="F761" s="12">
        <v>7</v>
      </c>
      <c r="G761" s="12">
        <v>3350</v>
      </c>
      <c r="H761" s="12">
        <v>23.7</v>
      </c>
      <c r="I761" s="12">
        <v>17892.349999999999</v>
      </c>
      <c r="J761" s="10" t="s">
        <v>51</v>
      </c>
      <c r="K761" s="10" t="s">
        <v>63</v>
      </c>
      <c r="L761" t="str">
        <f>IFERROR(VLOOKUP(D761,Products!A:F,3,0),"")</f>
        <v>Beauty</v>
      </c>
      <c r="M761" t="str">
        <f>IFERROR(VLOOKUP(E761,Sales_Reps!A:E,3,0),"")</f>
        <v>North</v>
      </c>
      <c r="N761" t="str">
        <f>IFERROR(VLOOKUP(C761,Customers!A:F,5,0),"")</f>
        <v>Retail</v>
      </c>
      <c r="O761">
        <f>IFERROR(VLOOKUP(C761,Customers!A:F,3,0),"")</f>
        <v>30</v>
      </c>
      <c r="P761">
        <f>IFERROR(VLOOKUP(D761,Products!A:F,4,0),"")</f>
        <v>1728</v>
      </c>
      <c r="Q761" t="b">
        <f>IFERROR(VLOOKUP(D761,Products!A:F,6,0),"")</f>
        <v>1</v>
      </c>
      <c r="R761">
        <f t="shared" si="33"/>
        <v>0.48417910447761192</v>
      </c>
      <c r="S761">
        <f t="shared" si="34"/>
        <v>1</v>
      </c>
      <c r="T761">
        <f>IF(AND(S761&gt;1,COUNTIF($A$2:A761,A761)=1),1,0)</f>
        <v>0</v>
      </c>
      <c r="U761">
        <f>COUNTIF(Customers!$A$2:$A$301,C761)</f>
        <v>1</v>
      </c>
      <c r="V761">
        <f t="shared" si="35"/>
        <v>0</v>
      </c>
    </row>
    <row r="762" spans="1:22" ht="14.25" customHeight="1" x14ac:dyDescent="0.35">
      <c r="A762" s="10" t="s">
        <v>1193</v>
      </c>
      <c r="B762" s="11">
        <v>45611</v>
      </c>
      <c r="C762" s="10" t="s">
        <v>619</v>
      </c>
      <c r="D762" s="10" t="s">
        <v>201</v>
      </c>
      <c r="E762" s="10" t="s">
        <v>289</v>
      </c>
      <c r="F762" s="12">
        <v>4</v>
      </c>
      <c r="G762" s="12">
        <v>3640</v>
      </c>
      <c r="H762" s="12">
        <v>9.3000000000000007</v>
      </c>
      <c r="I762" s="12">
        <v>13205.92</v>
      </c>
      <c r="J762" s="10" t="s">
        <v>104</v>
      </c>
      <c r="K762" s="10" t="s">
        <v>97</v>
      </c>
      <c r="L762" t="str">
        <f>IFERROR(VLOOKUP(D762,Products!A:F,3,0),"")</f>
        <v>Apparel</v>
      </c>
      <c r="M762" t="str">
        <f>IFERROR(VLOOKUP(E762,Sales_Reps!A:E,3,0),"")</f>
        <v>South</v>
      </c>
      <c r="N762" t="str">
        <f>IFERROR(VLOOKUP(C762,Customers!A:F,5,0),"")</f>
        <v>Retail</v>
      </c>
      <c r="O762">
        <f>IFERROR(VLOOKUP(C762,Customers!A:F,3,0),"")</f>
        <v>27</v>
      </c>
      <c r="P762">
        <f>IFERROR(VLOOKUP(D762,Products!A:F,4,0),"")</f>
        <v>2611</v>
      </c>
      <c r="Q762" t="b">
        <f>IFERROR(VLOOKUP(D762,Products!A:F,6,0),"")</f>
        <v>1</v>
      </c>
      <c r="R762">
        <f t="shared" si="33"/>
        <v>0.28269230769230769</v>
      </c>
      <c r="S762">
        <f t="shared" si="34"/>
        <v>1</v>
      </c>
      <c r="T762">
        <f>IF(AND(S762&gt;1,COUNTIF($A$2:A762,A762)=1),1,0)</f>
        <v>0</v>
      </c>
      <c r="U762">
        <f>COUNTIF(Customers!$A$2:$A$301,C762)</f>
        <v>1</v>
      </c>
      <c r="V762">
        <f t="shared" si="35"/>
        <v>0</v>
      </c>
    </row>
    <row r="763" spans="1:22" ht="14.25" customHeight="1" x14ac:dyDescent="0.35">
      <c r="A763" s="10" t="s">
        <v>1194</v>
      </c>
      <c r="B763" s="11">
        <v>45579</v>
      </c>
      <c r="C763" s="10" t="s">
        <v>1195</v>
      </c>
      <c r="D763" s="10" t="s">
        <v>201</v>
      </c>
      <c r="E763" s="10" t="s">
        <v>92</v>
      </c>
      <c r="F763" s="12">
        <v>9</v>
      </c>
      <c r="G763" s="12">
        <v>3640</v>
      </c>
      <c r="H763" s="12">
        <v>13.1</v>
      </c>
      <c r="I763" s="12">
        <v>28468.44</v>
      </c>
      <c r="J763" s="10" t="s">
        <v>57</v>
      </c>
      <c r="K763" s="10" t="s">
        <v>52</v>
      </c>
      <c r="L763" t="str">
        <f>IFERROR(VLOOKUP(D763,Products!A:F,3,0),"")</f>
        <v>Apparel</v>
      </c>
      <c r="M763" t="str">
        <f>IFERROR(VLOOKUP(E763,Sales_Reps!A:E,3,0),"")</f>
        <v>West</v>
      </c>
      <c r="N763" t="str">
        <f>IFERROR(VLOOKUP(C763,Customers!A:F,5,0),"")</f>
        <v>Retail</v>
      </c>
      <c r="O763">
        <f>IFERROR(VLOOKUP(C763,Customers!A:F,3,0),"")</f>
        <v>42</v>
      </c>
      <c r="P763">
        <f>IFERROR(VLOOKUP(D763,Products!A:F,4,0),"")</f>
        <v>2611</v>
      </c>
      <c r="Q763" t="b">
        <f>IFERROR(VLOOKUP(D763,Products!A:F,6,0),"")</f>
        <v>1</v>
      </c>
      <c r="R763">
        <f t="shared" si="33"/>
        <v>0.28269230769230769</v>
      </c>
      <c r="S763">
        <f t="shared" si="34"/>
        <v>1</v>
      </c>
      <c r="T763">
        <f>IF(AND(S763&gt;1,COUNTIF($A$2:A763,A763)=1),1,0)</f>
        <v>0</v>
      </c>
      <c r="U763">
        <f>COUNTIF(Customers!$A$2:$A$301,C763)</f>
        <v>1</v>
      </c>
      <c r="V763">
        <f t="shared" si="35"/>
        <v>0</v>
      </c>
    </row>
    <row r="764" spans="1:22" ht="14.25" customHeight="1" x14ac:dyDescent="0.35">
      <c r="A764" s="10" t="s">
        <v>1196</v>
      </c>
      <c r="B764" s="11">
        <v>45634</v>
      </c>
      <c r="C764" s="10" t="s">
        <v>136</v>
      </c>
      <c r="D764" s="10" t="s">
        <v>259</v>
      </c>
      <c r="E764" s="10" t="s">
        <v>62</v>
      </c>
      <c r="F764" s="12">
        <v>2</v>
      </c>
      <c r="G764" s="12">
        <v>2030</v>
      </c>
      <c r="H764" s="12">
        <v>12.2</v>
      </c>
      <c r="I764" s="12">
        <v>3564.68</v>
      </c>
      <c r="J764" s="10" t="s">
        <v>51</v>
      </c>
      <c r="K764" s="10" t="s">
        <v>52</v>
      </c>
      <c r="L764" t="str">
        <f>IFERROR(VLOOKUP(D764,Products!A:F,3,0),"")</f>
        <v>Home</v>
      </c>
      <c r="M764" t="str">
        <f>IFERROR(VLOOKUP(E764,Sales_Reps!A:E,3,0),"")</f>
        <v>South</v>
      </c>
      <c r="N764" t="str">
        <f>IFERROR(VLOOKUP(C764,Customers!A:F,5,0),"")</f>
        <v>Retail</v>
      </c>
      <c r="O764">
        <f>IFERROR(VLOOKUP(C764,Customers!A:F,3,0),"")</f>
        <v>50</v>
      </c>
      <c r="P764">
        <f>IFERROR(VLOOKUP(D764,Products!A:F,4,0),"")</f>
        <v>1143</v>
      </c>
      <c r="Q764" t="b">
        <f>IFERROR(VLOOKUP(D764,Products!A:F,6,0),"")</f>
        <v>1</v>
      </c>
      <c r="R764">
        <f t="shared" si="33"/>
        <v>0.43694581280788175</v>
      </c>
      <c r="S764">
        <f t="shared" si="34"/>
        <v>1</v>
      </c>
      <c r="T764">
        <f>IF(AND(S764&gt;1,COUNTIF($A$2:A764,A764)=1),1,0)</f>
        <v>0</v>
      </c>
      <c r="U764">
        <f>COUNTIF(Customers!$A$2:$A$301,C764)</f>
        <v>1</v>
      </c>
      <c r="V764">
        <f t="shared" si="35"/>
        <v>0</v>
      </c>
    </row>
    <row r="765" spans="1:22" ht="14.25" customHeight="1" x14ac:dyDescent="0.35">
      <c r="A765" s="10" t="s">
        <v>1197</v>
      </c>
      <c r="B765" s="11">
        <v>45471</v>
      </c>
      <c r="C765" s="10" t="s">
        <v>1198</v>
      </c>
      <c r="D765" s="10" t="s">
        <v>70</v>
      </c>
      <c r="E765" s="10" t="s">
        <v>261</v>
      </c>
      <c r="F765" s="12">
        <v>4</v>
      </c>
      <c r="G765" s="12">
        <v>3160</v>
      </c>
      <c r="H765" s="12">
        <v>7.5</v>
      </c>
      <c r="I765" s="12">
        <v>11692</v>
      </c>
      <c r="J765" s="10" t="s">
        <v>51</v>
      </c>
      <c r="K765" s="10" t="s">
        <v>76</v>
      </c>
      <c r="L765" t="str">
        <f>IFERROR(VLOOKUP(D765,Products!A:F,3,0),"")</f>
        <v>Apparel</v>
      </c>
      <c r="M765" t="str">
        <f>IFERROR(VLOOKUP(E765,Sales_Reps!A:E,3,0),"")</f>
        <v>North</v>
      </c>
      <c r="N765" t="str">
        <f>IFERROR(VLOOKUP(C765,Customers!A:F,5,0),"")</f>
        <v>Retail</v>
      </c>
      <c r="O765">
        <f>IFERROR(VLOOKUP(C765,Customers!A:F,3,0),"")</f>
        <v>29</v>
      </c>
      <c r="P765">
        <f>IFERROR(VLOOKUP(D765,Products!A:F,4,0),"")</f>
        <v>1886</v>
      </c>
      <c r="Q765" t="b">
        <f>IFERROR(VLOOKUP(D765,Products!A:F,6,0),"")</f>
        <v>1</v>
      </c>
      <c r="R765">
        <f t="shared" si="33"/>
        <v>0.4031645569620253</v>
      </c>
      <c r="S765">
        <f t="shared" si="34"/>
        <v>1</v>
      </c>
      <c r="T765">
        <f>IF(AND(S765&gt;1,COUNTIF($A$2:A765,A765)=1),1,0)</f>
        <v>0</v>
      </c>
      <c r="U765">
        <f>COUNTIF(Customers!$A$2:$A$301,C765)</f>
        <v>1</v>
      </c>
      <c r="V765">
        <f t="shared" si="35"/>
        <v>0</v>
      </c>
    </row>
    <row r="766" spans="1:22" ht="14.25" customHeight="1" x14ac:dyDescent="0.35">
      <c r="A766" s="10" t="s">
        <v>1199</v>
      </c>
      <c r="B766" s="11">
        <v>45327</v>
      </c>
      <c r="C766" s="10" t="s">
        <v>728</v>
      </c>
      <c r="D766" s="10" t="s">
        <v>228</v>
      </c>
      <c r="E766" s="10" t="s">
        <v>193</v>
      </c>
      <c r="F766" s="12">
        <v>10</v>
      </c>
      <c r="G766" s="12">
        <v>4070</v>
      </c>
      <c r="H766" s="12">
        <v>8.3000000000000007</v>
      </c>
      <c r="I766" s="12">
        <v>37321.9</v>
      </c>
      <c r="J766" s="10" t="s">
        <v>51</v>
      </c>
      <c r="K766" s="10" t="s">
        <v>58</v>
      </c>
      <c r="L766" t="str">
        <f>IFERROR(VLOOKUP(D766,Products!A:F,3,0),"")</f>
        <v>Grocery</v>
      </c>
      <c r="M766" t="str">
        <f>IFERROR(VLOOKUP(E766,Sales_Reps!A:E,3,0),"")</f>
        <v>West</v>
      </c>
      <c r="N766" t="str">
        <f>IFERROR(VLOOKUP(C766,Customers!A:F,5,0),"")</f>
        <v>SMB</v>
      </c>
      <c r="O766">
        <f>IFERROR(VLOOKUP(C766,Customers!A:F,3,0),"")</f>
        <v>26</v>
      </c>
      <c r="P766">
        <f>IFERROR(VLOOKUP(D766,Products!A:F,4,0),"")</f>
        <v>2027</v>
      </c>
      <c r="Q766" t="b">
        <f>IFERROR(VLOOKUP(D766,Products!A:F,6,0),"")</f>
        <v>1</v>
      </c>
      <c r="R766">
        <f t="shared" si="33"/>
        <v>0.50196560196560192</v>
      </c>
      <c r="S766">
        <f t="shared" si="34"/>
        <v>1</v>
      </c>
      <c r="T766">
        <f>IF(AND(S766&gt;1,COUNTIF($A$2:A766,A766)=1),1,0)</f>
        <v>0</v>
      </c>
      <c r="U766">
        <f>COUNTIF(Customers!$A$2:$A$301,C766)</f>
        <v>1</v>
      </c>
      <c r="V766">
        <f t="shared" si="35"/>
        <v>0</v>
      </c>
    </row>
    <row r="767" spans="1:22" ht="14.25" customHeight="1" x14ac:dyDescent="0.35">
      <c r="A767" s="10" t="s">
        <v>1200</v>
      </c>
      <c r="B767" s="11">
        <v>45343</v>
      </c>
      <c r="C767" s="10" t="s">
        <v>590</v>
      </c>
      <c r="D767" s="10" t="s">
        <v>315</v>
      </c>
      <c r="E767" s="10" t="s">
        <v>80</v>
      </c>
      <c r="F767" s="12">
        <v>8</v>
      </c>
      <c r="G767" s="12">
        <v>4060</v>
      </c>
      <c r="H767" s="12">
        <v>8.5</v>
      </c>
      <c r="I767" s="12">
        <v>29719.200000000001</v>
      </c>
      <c r="J767" s="10" t="s">
        <v>51</v>
      </c>
      <c r="K767" s="10" t="s">
        <v>63</v>
      </c>
      <c r="L767" t="str">
        <f>IFERROR(VLOOKUP(D767,Products!A:F,3,0),"")</f>
        <v>Grocery</v>
      </c>
      <c r="M767" t="str">
        <f>IFERROR(VLOOKUP(E767,Sales_Reps!A:E,3,0),"")</f>
        <v>West</v>
      </c>
      <c r="N767" t="str">
        <f>IFERROR(VLOOKUP(C767,Customers!A:F,5,0),"")</f>
        <v>Retail</v>
      </c>
      <c r="O767">
        <f>IFERROR(VLOOKUP(C767,Customers!A:F,3,0),"")</f>
        <v>40</v>
      </c>
      <c r="P767">
        <f>IFERROR(VLOOKUP(D767,Products!A:F,4,0),"")</f>
        <v>2911</v>
      </c>
      <c r="Q767" t="b">
        <f>IFERROR(VLOOKUP(D767,Products!A:F,6,0),"")</f>
        <v>1</v>
      </c>
      <c r="R767">
        <f t="shared" si="33"/>
        <v>0.28300492610837441</v>
      </c>
      <c r="S767">
        <f t="shared" si="34"/>
        <v>1</v>
      </c>
      <c r="T767">
        <f>IF(AND(S767&gt;1,COUNTIF($A$2:A767,A767)=1),1,0)</f>
        <v>0</v>
      </c>
      <c r="U767">
        <f>COUNTIF(Customers!$A$2:$A$301,C767)</f>
        <v>1</v>
      </c>
      <c r="V767">
        <f t="shared" si="35"/>
        <v>0</v>
      </c>
    </row>
    <row r="768" spans="1:22" ht="14.25" customHeight="1" x14ac:dyDescent="0.35">
      <c r="A768" s="10" t="s">
        <v>1201</v>
      </c>
      <c r="B768" s="11">
        <v>45334</v>
      </c>
      <c r="C768" s="10" t="s">
        <v>693</v>
      </c>
      <c r="D768" s="10" t="s">
        <v>79</v>
      </c>
      <c r="E768" s="10" t="s">
        <v>267</v>
      </c>
      <c r="F768" s="12">
        <v>8</v>
      </c>
      <c r="G768" s="12">
        <v>960</v>
      </c>
      <c r="H768" s="12">
        <v>8.6999999999999993</v>
      </c>
      <c r="I768" s="12">
        <v>7011.84</v>
      </c>
      <c r="J768" s="10" t="s">
        <v>51</v>
      </c>
      <c r="K768" s="10" t="s">
        <v>76</v>
      </c>
      <c r="L768" t="str">
        <f>IFERROR(VLOOKUP(D768,Products!A:F,3,0),"")</f>
        <v>Sports</v>
      </c>
      <c r="M768" t="str">
        <f>IFERROR(VLOOKUP(E768,Sales_Reps!A:E,3,0),"")</f>
        <v>East</v>
      </c>
      <c r="N768" t="str">
        <f>IFERROR(VLOOKUP(C768,Customers!A:F,5,0),"")</f>
        <v>Retail</v>
      </c>
      <c r="O768">
        <f>IFERROR(VLOOKUP(C768,Customers!A:F,3,0),"")</f>
        <v>56</v>
      </c>
      <c r="P768">
        <f>IFERROR(VLOOKUP(D768,Products!A:F,4,0),"")</f>
        <v>705</v>
      </c>
      <c r="Q768" t="b">
        <f>IFERROR(VLOOKUP(D768,Products!A:F,6,0),"")</f>
        <v>1</v>
      </c>
      <c r="R768">
        <f t="shared" si="33"/>
        <v>0.265625</v>
      </c>
      <c r="S768">
        <f t="shared" si="34"/>
        <v>1</v>
      </c>
      <c r="T768">
        <f>IF(AND(S768&gt;1,COUNTIF($A$2:A768,A768)=1),1,0)</f>
        <v>0</v>
      </c>
      <c r="U768">
        <f>COUNTIF(Customers!$A$2:$A$301,C768)</f>
        <v>1</v>
      </c>
      <c r="V768">
        <f t="shared" si="35"/>
        <v>0</v>
      </c>
    </row>
    <row r="769" spans="1:22" ht="14.25" customHeight="1" x14ac:dyDescent="0.35">
      <c r="A769" s="10" t="s">
        <v>1202</v>
      </c>
      <c r="B769" s="11">
        <v>45306</v>
      </c>
      <c r="C769" s="10" t="s">
        <v>640</v>
      </c>
      <c r="D769" s="10" t="s">
        <v>209</v>
      </c>
      <c r="E769" s="10" t="s">
        <v>307</v>
      </c>
      <c r="F769" s="12">
        <v>2</v>
      </c>
      <c r="G769" s="12">
        <v>2270</v>
      </c>
      <c r="H769" s="12">
        <v>10.199999999999999</v>
      </c>
      <c r="I769" s="12">
        <v>4076.92</v>
      </c>
      <c r="J769" s="10" t="s">
        <v>51</v>
      </c>
      <c r="K769" s="10" t="s">
        <v>52</v>
      </c>
      <c r="L769" t="str">
        <f>IFERROR(VLOOKUP(D769,Products!A:F,3,0),"")</f>
        <v>Grocery</v>
      </c>
      <c r="M769" t="str">
        <f>IFERROR(VLOOKUP(E769,Sales_Reps!A:E,3,0),"")</f>
        <v>West</v>
      </c>
      <c r="N769" t="str">
        <f>IFERROR(VLOOKUP(C769,Customers!A:F,5,0),"")</f>
        <v>SMB</v>
      </c>
      <c r="O769">
        <f>IFERROR(VLOOKUP(C769,Customers!A:F,3,0),"")</f>
        <v>35</v>
      </c>
      <c r="P769">
        <f>IFERROR(VLOOKUP(D769,Products!A:F,4,0),"")</f>
        <v>1412</v>
      </c>
      <c r="Q769" t="b">
        <f>IFERROR(VLOOKUP(D769,Products!A:F,6,0),"")</f>
        <v>1</v>
      </c>
      <c r="R769">
        <f t="shared" si="33"/>
        <v>0.37797356828193834</v>
      </c>
      <c r="S769">
        <f t="shared" si="34"/>
        <v>1</v>
      </c>
      <c r="T769">
        <f>IF(AND(S769&gt;1,COUNTIF($A$2:A769,A769)=1),1,0)</f>
        <v>0</v>
      </c>
      <c r="U769">
        <f>COUNTIF(Customers!$A$2:$A$301,C769)</f>
        <v>1</v>
      </c>
      <c r="V769">
        <f t="shared" si="35"/>
        <v>0</v>
      </c>
    </row>
    <row r="770" spans="1:22" ht="14.25" customHeight="1" x14ac:dyDescent="0.35">
      <c r="A770" s="10" t="s">
        <v>1203</v>
      </c>
      <c r="B770" s="11">
        <v>45296</v>
      </c>
      <c r="C770" s="10" t="s">
        <v>263</v>
      </c>
      <c r="D770" s="10" t="s">
        <v>198</v>
      </c>
      <c r="E770" s="10" t="s">
        <v>50</v>
      </c>
      <c r="F770" s="12">
        <v>1</v>
      </c>
      <c r="G770" s="12">
        <v>3780</v>
      </c>
      <c r="H770" s="12">
        <v>15.3</v>
      </c>
      <c r="I770" s="12">
        <v>3201.66</v>
      </c>
      <c r="J770" s="10" t="s">
        <v>104</v>
      </c>
      <c r="K770" s="10" t="s">
        <v>97</v>
      </c>
      <c r="L770" t="str">
        <f>IFERROR(VLOOKUP(D770,Products!A:F,3,0),"")</f>
        <v>Grocery</v>
      </c>
      <c r="M770" t="str">
        <f>IFERROR(VLOOKUP(E770,Sales_Reps!A:E,3,0),"")</f>
        <v>North</v>
      </c>
      <c r="N770" t="str">
        <f>IFERROR(VLOOKUP(C770,Customers!A:F,5,0),"")</f>
        <v>Retail</v>
      </c>
      <c r="O770">
        <f>IFERROR(VLOOKUP(C770,Customers!A:F,3,0),"")</f>
        <v>29</v>
      </c>
      <c r="P770">
        <f>IFERROR(VLOOKUP(D770,Products!A:F,4,0),"")</f>
        <v>2436</v>
      </c>
      <c r="Q770" t="b">
        <f>IFERROR(VLOOKUP(D770,Products!A:F,6,0),"")</f>
        <v>1</v>
      </c>
      <c r="R770">
        <f t="shared" ref="R770:R833" si="36">IFERROR((G770-P770)/G770,"")</f>
        <v>0.35555555555555557</v>
      </c>
      <c r="S770">
        <f t="shared" ref="S770:S833" si="37">COUNTIF($A$2:$A$2001,A770)</f>
        <v>1</v>
      </c>
      <c r="T770">
        <f>IF(AND(S770&gt;1,COUNTIF($A$2:A770,A770)=1),1,0)</f>
        <v>0</v>
      </c>
      <c r="U770">
        <f>COUNTIF(Customers!$A$2:$A$301,C770)</f>
        <v>1</v>
      </c>
      <c r="V770">
        <f t="shared" ref="V770:V833" si="38">IF(AND(K770="Bengaluru",L770="Grocery"),I770,0)</f>
        <v>0</v>
      </c>
    </row>
    <row r="771" spans="1:22" ht="14.25" customHeight="1" x14ac:dyDescent="0.35">
      <c r="A771" s="10" t="s">
        <v>1204</v>
      </c>
      <c r="B771" s="11">
        <v>45489</v>
      </c>
      <c r="C771" s="10" t="s">
        <v>838</v>
      </c>
      <c r="D771" s="10" t="s">
        <v>350</v>
      </c>
      <c r="E771" s="10" t="s">
        <v>92</v>
      </c>
      <c r="F771" s="12">
        <v>10</v>
      </c>
      <c r="G771" s="12">
        <v>2290</v>
      </c>
      <c r="H771" s="12">
        <v>2.4</v>
      </c>
      <c r="I771" s="12">
        <v>22350.400000000001</v>
      </c>
      <c r="J771" s="10" t="s">
        <v>57</v>
      </c>
      <c r="K771" s="10" t="s">
        <v>76</v>
      </c>
      <c r="L771" t="str">
        <f>IFERROR(VLOOKUP(D771,Products!A:F,3,0),"")</f>
        <v>Beauty</v>
      </c>
      <c r="M771" t="str">
        <f>IFERROR(VLOOKUP(E771,Sales_Reps!A:E,3,0),"")</f>
        <v>West</v>
      </c>
      <c r="N771" t="str">
        <f>IFERROR(VLOOKUP(C771,Customers!A:F,5,0),"")</f>
        <v>Retail</v>
      </c>
      <c r="O771">
        <f>IFERROR(VLOOKUP(C771,Customers!A:F,3,0),"")</f>
        <v>57</v>
      </c>
      <c r="P771">
        <f>IFERROR(VLOOKUP(D771,Products!A:F,4,0),"")</f>
        <v>1219</v>
      </c>
      <c r="Q771" t="b">
        <f>IFERROR(VLOOKUP(D771,Products!A:F,6,0),"")</f>
        <v>1</v>
      </c>
      <c r="R771">
        <f t="shared" si="36"/>
        <v>0.46768558951965067</v>
      </c>
      <c r="S771">
        <f t="shared" si="37"/>
        <v>1</v>
      </c>
      <c r="T771">
        <f>IF(AND(S771&gt;1,COUNTIF($A$2:A771,A771)=1),1,0)</f>
        <v>0</v>
      </c>
      <c r="U771">
        <f>COUNTIF(Customers!$A$2:$A$301,C771)</f>
        <v>1</v>
      </c>
      <c r="V771">
        <f t="shared" si="38"/>
        <v>0</v>
      </c>
    </row>
    <row r="772" spans="1:22" ht="14.25" customHeight="1" x14ac:dyDescent="0.35">
      <c r="A772" s="10" t="s">
        <v>1205</v>
      </c>
      <c r="B772" s="11">
        <v>45416</v>
      </c>
      <c r="C772" s="10" t="s">
        <v>1195</v>
      </c>
      <c r="D772" s="10" t="s">
        <v>143</v>
      </c>
      <c r="E772" s="10" t="s">
        <v>202</v>
      </c>
      <c r="F772" s="12">
        <v>5</v>
      </c>
      <c r="G772" s="12">
        <v>3350</v>
      </c>
      <c r="H772" s="12">
        <v>18.5</v>
      </c>
      <c r="I772" s="12">
        <v>13651.25</v>
      </c>
      <c r="J772" s="10" t="s">
        <v>104</v>
      </c>
      <c r="K772" s="10" t="s">
        <v>52</v>
      </c>
      <c r="L772" t="str">
        <f>IFERROR(VLOOKUP(D772,Products!A:F,3,0),"")</f>
        <v>Beauty</v>
      </c>
      <c r="M772" t="str">
        <f>IFERROR(VLOOKUP(E772,Sales_Reps!A:E,3,0),"")</f>
        <v>East</v>
      </c>
      <c r="N772" t="str">
        <f>IFERROR(VLOOKUP(C772,Customers!A:F,5,0),"")</f>
        <v>Retail</v>
      </c>
      <c r="O772">
        <f>IFERROR(VLOOKUP(C772,Customers!A:F,3,0),"")</f>
        <v>42</v>
      </c>
      <c r="P772">
        <f>IFERROR(VLOOKUP(D772,Products!A:F,4,0),"")</f>
        <v>1728</v>
      </c>
      <c r="Q772" t="b">
        <f>IFERROR(VLOOKUP(D772,Products!A:F,6,0),"")</f>
        <v>1</v>
      </c>
      <c r="R772">
        <f t="shared" si="36"/>
        <v>0.48417910447761192</v>
      </c>
      <c r="S772">
        <f t="shared" si="37"/>
        <v>1</v>
      </c>
      <c r="T772">
        <f>IF(AND(S772&gt;1,COUNTIF($A$2:A772,A772)=1),1,0)</f>
        <v>0</v>
      </c>
      <c r="U772">
        <f>COUNTIF(Customers!$A$2:$A$301,C772)</f>
        <v>1</v>
      </c>
      <c r="V772">
        <f t="shared" si="38"/>
        <v>0</v>
      </c>
    </row>
    <row r="773" spans="1:22" ht="14.25" customHeight="1" x14ac:dyDescent="0.35">
      <c r="A773" s="10" t="s">
        <v>1206</v>
      </c>
      <c r="B773" s="11">
        <v>45347</v>
      </c>
      <c r="C773" s="10" t="s">
        <v>272</v>
      </c>
      <c r="D773" s="10" t="s">
        <v>319</v>
      </c>
      <c r="E773" s="10" t="s">
        <v>122</v>
      </c>
      <c r="F773" s="12">
        <v>7</v>
      </c>
      <c r="G773" s="12">
        <v>2510</v>
      </c>
      <c r="H773" s="12">
        <v>4.2</v>
      </c>
      <c r="I773" s="12">
        <v>16832.060000000001</v>
      </c>
      <c r="J773" s="10" t="s">
        <v>104</v>
      </c>
      <c r="K773" s="10" t="s">
        <v>52</v>
      </c>
      <c r="L773" t="str">
        <f>IFERROR(VLOOKUP(D773,Products!A:F,3,0),"")</f>
        <v>Apparel</v>
      </c>
      <c r="M773" t="str">
        <f>IFERROR(VLOOKUP(E773,Sales_Reps!A:E,3,0),"")</f>
        <v>East</v>
      </c>
      <c r="N773" t="str">
        <f>IFERROR(VLOOKUP(C773,Customers!A:F,5,0),"")</f>
        <v>SMB</v>
      </c>
      <c r="O773">
        <f>IFERROR(VLOOKUP(C773,Customers!A:F,3,0),"")</f>
        <v>54</v>
      </c>
      <c r="P773">
        <f>IFERROR(VLOOKUP(D773,Products!A:F,4,0),"")</f>
        <v>1075</v>
      </c>
      <c r="Q773" t="b">
        <f>IFERROR(VLOOKUP(D773,Products!A:F,6,0),"")</f>
        <v>0</v>
      </c>
      <c r="R773">
        <f t="shared" si="36"/>
        <v>0.57171314741035861</v>
      </c>
      <c r="S773">
        <f t="shared" si="37"/>
        <v>1</v>
      </c>
      <c r="T773">
        <f>IF(AND(S773&gt;1,COUNTIF($A$2:A773,A773)=1),1,0)</f>
        <v>0</v>
      </c>
      <c r="U773">
        <f>COUNTIF(Customers!$A$2:$A$301,C773)</f>
        <v>1</v>
      </c>
      <c r="V773">
        <f t="shared" si="38"/>
        <v>0</v>
      </c>
    </row>
    <row r="774" spans="1:22" ht="14.25" customHeight="1" x14ac:dyDescent="0.35">
      <c r="A774" s="10" t="s">
        <v>1207</v>
      </c>
      <c r="B774" s="11">
        <v>45652</v>
      </c>
      <c r="C774" s="10" t="s">
        <v>127</v>
      </c>
      <c r="D774" s="10" t="s">
        <v>102</v>
      </c>
      <c r="E774" s="10" t="s">
        <v>267</v>
      </c>
      <c r="F774" s="12">
        <v>1</v>
      </c>
      <c r="G774" s="12">
        <v>2600</v>
      </c>
      <c r="H774" s="12">
        <v>2.2000000000000002</v>
      </c>
      <c r="I774" s="12">
        <v>2542.8000000000002</v>
      </c>
      <c r="J774" s="10" t="s">
        <v>51</v>
      </c>
      <c r="K774" s="10" t="s">
        <v>58</v>
      </c>
      <c r="L774" t="str">
        <f>IFERROR(VLOOKUP(D774,Products!A:F,3,0),"")</f>
        <v>Electronics</v>
      </c>
      <c r="M774" t="str">
        <f>IFERROR(VLOOKUP(E774,Sales_Reps!A:E,3,0),"")</f>
        <v>East</v>
      </c>
      <c r="N774" t="str">
        <f>IFERROR(VLOOKUP(C774,Customers!A:F,5,0),"")</f>
        <v>Retail</v>
      </c>
      <c r="O774">
        <f>IFERROR(VLOOKUP(C774,Customers!A:F,3,0),"")</f>
        <v>49</v>
      </c>
      <c r="P774">
        <f>IFERROR(VLOOKUP(D774,Products!A:F,4,0),"")</f>
        <v>1052</v>
      </c>
      <c r="Q774" t="b">
        <f>IFERROR(VLOOKUP(D774,Products!A:F,6,0),"")</f>
        <v>1</v>
      </c>
      <c r="R774">
        <f t="shared" si="36"/>
        <v>0.5953846153846154</v>
      </c>
      <c r="S774">
        <f t="shared" si="37"/>
        <v>1</v>
      </c>
      <c r="T774">
        <f>IF(AND(S774&gt;1,COUNTIF($A$2:A774,A774)=1),1,0)</f>
        <v>0</v>
      </c>
      <c r="U774">
        <f>COUNTIF(Customers!$A$2:$A$301,C774)</f>
        <v>1</v>
      </c>
      <c r="V774">
        <f t="shared" si="38"/>
        <v>0</v>
      </c>
    </row>
    <row r="775" spans="1:22" ht="14.25" customHeight="1" x14ac:dyDescent="0.35">
      <c r="A775" s="10" t="s">
        <v>1208</v>
      </c>
      <c r="B775" s="11">
        <v>45467</v>
      </c>
      <c r="C775" s="10" t="s">
        <v>393</v>
      </c>
      <c r="D775" s="10" t="s">
        <v>61</v>
      </c>
      <c r="E775" s="10" t="s">
        <v>112</v>
      </c>
      <c r="F775" s="12">
        <v>8</v>
      </c>
      <c r="G775" s="12">
        <v>470</v>
      </c>
      <c r="H775" s="12">
        <v>25.2</v>
      </c>
      <c r="I775" s="12">
        <v>2812.48</v>
      </c>
      <c r="J775" s="10" t="s">
        <v>51</v>
      </c>
      <c r="K775" s="10" t="s">
        <v>81</v>
      </c>
      <c r="L775" t="str">
        <f>IFERROR(VLOOKUP(D775,Products!A:F,3,0),"")</f>
        <v>Sports</v>
      </c>
      <c r="M775" t="str">
        <f>IFERROR(VLOOKUP(E775,Sales_Reps!A:E,3,0),"")</f>
        <v>North</v>
      </c>
      <c r="N775" t="str">
        <f>IFERROR(VLOOKUP(C775,Customers!A:F,5,0),"")</f>
        <v>Retail</v>
      </c>
      <c r="O775">
        <f>IFERROR(VLOOKUP(C775,Customers!A:F,3,0),"")</f>
        <v>55</v>
      </c>
      <c r="P775">
        <f>IFERROR(VLOOKUP(D775,Products!A:F,4,0),"")</f>
        <v>302</v>
      </c>
      <c r="Q775" t="b">
        <f>IFERROR(VLOOKUP(D775,Products!A:F,6,0),"")</f>
        <v>0</v>
      </c>
      <c r="R775">
        <f t="shared" si="36"/>
        <v>0.35744680851063831</v>
      </c>
      <c r="S775">
        <f t="shared" si="37"/>
        <v>1</v>
      </c>
      <c r="T775">
        <f>IF(AND(S775&gt;1,COUNTIF($A$2:A775,A775)=1),1,0)</f>
        <v>0</v>
      </c>
      <c r="U775">
        <f>COUNTIF(Customers!$A$2:$A$301,C775)</f>
        <v>1</v>
      </c>
      <c r="V775">
        <f t="shared" si="38"/>
        <v>0</v>
      </c>
    </row>
    <row r="776" spans="1:22" ht="14.25" customHeight="1" x14ac:dyDescent="0.35">
      <c r="A776" s="10" t="s">
        <v>1209</v>
      </c>
      <c r="B776" s="11">
        <v>45558</v>
      </c>
      <c r="C776" s="10" t="s">
        <v>161</v>
      </c>
      <c r="D776" s="10" t="s">
        <v>128</v>
      </c>
      <c r="E776" s="10" t="s">
        <v>289</v>
      </c>
      <c r="F776" s="12">
        <v>6</v>
      </c>
      <c r="G776" s="12">
        <v>1080</v>
      </c>
      <c r="H776" s="12">
        <v>25</v>
      </c>
      <c r="I776" s="12">
        <v>4860</v>
      </c>
      <c r="J776" s="10" t="s">
        <v>51</v>
      </c>
      <c r="K776" s="10" t="s">
        <v>52</v>
      </c>
      <c r="L776" t="str">
        <f>IFERROR(VLOOKUP(D776,Products!A:F,3,0),"")</f>
        <v>Home</v>
      </c>
      <c r="M776" t="str">
        <f>IFERROR(VLOOKUP(E776,Sales_Reps!A:E,3,0),"")</f>
        <v>South</v>
      </c>
      <c r="N776" t="str">
        <f>IFERROR(VLOOKUP(C776,Customers!A:F,5,0),"")</f>
        <v>Corporate</v>
      </c>
      <c r="O776">
        <f>IFERROR(VLOOKUP(C776,Customers!A:F,3,0),"")</f>
        <v>47</v>
      </c>
      <c r="P776">
        <f>IFERROR(VLOOKUP(D776,Products!A:F,4,0),"")</f>
        <v>519</v>
      </c>
      <c r="Q776" t="b">
        <f>IFERROR(VLOOKUP(D776,Products!A:F,6,0),"")</f>
        <v>1</v>
      </c>
      <c r="R776">
        <f t="shared" si="36"/>
        <v>0.51944444444444449</v>
      </c>
      <c r="S776">
        <f t="shared" si="37"/>
        <v>1</v>
      </c>
      <c r="T776">
        <f>IF(AND(S776&gt;1,COUNTIF($A$2:A776,A776)=1),1,0)</f>
        <v>0</v>
      </c>
      <c r="U776">
        <f>COUNTIF(Customers!$A$2:$A$301,C776)</f>
        <v>1</v>
      </c>
      <c r="V776">
        <f t="shared" si="38"/>
        <v>0</v>
      </c>
    </row>
    <row r="777" spans="1:22" ht="14.25" customHeight="1" x14ac:dyDescent="0.35">
      <c r="A777" s="10" t="s">
        <v>1210</v>
      </c>
      <c r="B777" s="11">
        <v>45645</v>
      </c>
      <c r="C777" s="10" t="s">
        <v>48</v>
      </c>
      <c r="D777" s="10" t="s">
        <v>146</v>
      </c>
      <c r="E777" s="10" t="s">
        <v>85</v>
      </c>
      <c r="F777" s="12">
        <v>2</v>
      </c>
      <c r="G777" s="12">
        <v>1010</v>
      </c>
      <c r="H777" s="12">
        <v>16.100000000000001</v>
      </c>
      <c r="I777" s="12">
        <v>1694.78</v>
      </c>
      <c r="J777" s="10" t="s">
        <v>51</v>
      </c>
      <c r="K777" s="10" t="s">
        <v>52</v>
      </c>
      <c r="L777" t="str">
        <f>IFERROR(VLOOKUP(D777,Products!A:F,3,0),"")</f>
        <v>Sports</v>
      </c>
      <c r="M777" t="str">
        <f>IFERROR(VLOOKUP(E777,Sales_Reps!A:E,3,0),"")</f>
        <v>East</v>
      </c>
      <c r="N777" t="str">
        <f>IFERROR(VLOOKUP(C777,Customers!A:F,5,0),"")</f>
        <v>SMB</v>
      </c>
      <c r="O777">
        <f>IFERROR(VLOOKUP(C777,Customers!A:F,3,0),"")</f>
        <v>44</v>
      </c>
      <c r="P777">
        <f>IFERROR(VLOOKUP(D777,Products!A:F,4,0),"")</f>
        <v>516</v>
      </c>
      <c r="Q777" t="b">
        <f>IFERROR(VLOOKUP(D777,Products!A:F,6,0),"")</f>
        <v>1</v>
      </c>
      <c r="R777">
        <f t="shared" si="36"/>
        <v>0.4891089108910891</v>
      </c>
      <c r="S777">
        <f t="shared" si="37"/>
        <v>1</v>
      </c>
      <c r="T777">
        <f>IF(AND(S777&gt;1,COUNTIF($A$2:A777,A777)=1),1,0)</f>
        <v>0</v>
      </c>
      <c r="U777">
        <f>COUNTIF(Customers!$A$2:$A$301,C777)</f>
        <v>1</v>
      </c>
      <c r="V777">
        <f t="shared" si="38"/>
        <v>0</v>
      </c>
    </row>
    <row r="778" spans="1:22" ht="14.25" customHeight="1" x14ac:dyDescent="0.35">
      <c r="A778" s="10" t="s">
        <v>1211</v>
      </c>
      <c r="B778" s="11">
        <v>45418</v>
      </c>
      <c r="C778" s="10" t="s">
        <v>689</v>
      </c>
      <c r="D778" s="10" t="s">
        <v>212</v>
      </c>
      <c r="E778" s="10" t="s">
        <v>261</v>
      </c>
      <c r="F778" s="12">
        <v>6</v>
      </c>
      <c r="G778" s="12">
        <v>3870</v>
      </c>
      <c r="H778" s="12">
        <v>22.4</v>
      </c>
      <c r="I778" s="12">
        <v>18018.72</v>
      </c>
      <c r="J778" s="10" t="s">
        <v>104</v>
      </c>
      <c r="K778" s="10" t="s">
        <v>63</v>
      </c>
      <c r="L778" t="str">
        <f>IFERROR(VLOOKUP(D778,Products!A:F,3,0),"")</f>
        <v>Electronics</v>
      </c>
      <c r="M778" t="str">
        <f>IFERROR(VLOOKUP(E778,Sales_Reps!A:E,3,0),"")</f>
        <v>North</v>
      </c>
      <c r="N778" t="str">
        <f>IFERROR(VLOOKUP(C778,Customers!A:F,5,0),"")</f>
        <v>SMB</v>
      </c>
      <c r="O778">
        <f>IFERROR(VLOOKUP(C778,Customers!A:F,3,0),"")</f>
        <v>26</v>
      </c>
      <c r="P778">
        <f>IFERROR(VLOOKUP(D778,Products!A:F,4,0),"")</f>
        <v>1559</v>
      </c>
      <c r="Q778" t="b">
        <f>IFERROR(VLOOKUP(D778,Products!A:F,6,0),"")</f>
        <v>1</v>
      </c>
      <c r="R778">
        <f t="shared" si="36"/>
        <v>0.59715762273901807</v>
      </c>
      <c r="S778">
        <f t="shared" si="37"/>
        <v>1</v>
      </c>
      <c r="T778">
        <f>IF(AND(S778&gt;1,COUNTIF($A$2:A778,A778)=1),1,0)</f>
        <v>0</v>
      </c>
      <c r="U778">
        <f>COUNTIF(Customers!$A$2:$A$301,C778)</f>
        <v>1</v>
      </c>
      <c r="V778">
        <f t="shared" si="38"/>
        <v>0</v>
      </c>
    </row>
    <row r="779" spans="1:22" ht="14.25" customHeight="1" x14ac:dyDescent="0.35">
      <c r="A779" s="10" t="s">
        <v>1212</v>
      </c>
      <c r="B779" s="11">
        <v>45655</v>
      </c>
      <c r="C779" s="10" t="s">
        <v>577</v>
      </c>
      <c r="D779" s="10" t="s">
        <v>259</v>
      </c>
      <c r="E779" s="10" t="s">
        <v>307</v>
      </c>
      <c r="F779" s="12">
        <v>3</v>
      </c>
      <c r="G779" s="12">
        <v>2030</v>
      </c>
      <c r="H779" s="12">
        <v>18.5</v>
      </c>
      <c r="I779" s="12">
        <v>4963.3500000000004</v>
      </c>
      <c r="J779" s="10" t="s">
        <v>51</v>
      </c>
      <c r="K779" s="10" t="s">
        <v>76</v>
      </c>
      <c r="L779" t="str">
        <f>IFERROR(VLOOKUP(D779,Products!A:F,3,0),"")</f>
        <v>Home</v>
      </c>
      <c r="M779" t="str">
        <f>IFERROR(VLOOKUP(E779,Sales_Reps!A:E,3,0),"")</f>
        <v>West</v>
      </c>
      <c r="N779" t="str">
        <f>IFERROR(VLOOKUP(C779,Customers!A:F,5,0),"")</f>
        <v>Retail</v>
      </c>
      <c r="O779">
        <f>IFERROR(VLOOKUP(C779,Customers!A:F,3,0),"")</f>
        <v>44</v>
      </c>
      <c r="P779">
        <f>IFERROR(VLOOKUP(D779,Products!A:F,4,0),"")</f>
        <v>1143</v>
      </c>
      <c r="Q779" t="b">
        <f>IFERROR(VLOOKUP(D779,Products!A:F,6,0),"")</f>
        <v>1</v>
      </c>
      <c r="R779">
        <f t="shared" si="36"/>
        <v>0.43694581280788175</v>
      </c>
      <c r="S779">
        <f t="shared" si="37"/>
        <v>1</v>
      </c>
      <c r="T779">
        <f>IF(AND(S779&gt;1,COUNTIF($A$2:A779,A779)=1),1,0)</f>
        <v>0</v>
      </c>
      <c r="U779">
        <f>COUNTIF(Customers!$A$2:$A$301,C779)</f>
        <v>1</v>
      </c>
      <c r="V779">
        <f t="shared" si="38"/>
        <v>0</v>
      </c>
    </row>
    <row r="780" spans="1:22" ht="14.25" customHeight="1" x14ac:dyDescent="0.35">
      <c r="A780" s="10" t="s">
        <v>1213</v>
      </c>
      <c r="B780" s="11">
        <v>45540</v>
      </c>
      <c r="C780" s="10" t="s">
        <v>1214</v>
      </c>
      <c r="D780" s="10" t="s">
        <v>128</v>
      </c>
      <c r="E780" s="10" t="s">
        <v>307</v>
      </c>
      <c r="F780" s="12">
        <v>7</v>
      </c>
      <c r="G780" s="12">
        <v>1080</v>
      </c>
      <c r="H780" s="12">
        <v>6.8</v>
      </c>
      <c r="I780" s="12">
        <v>7045.92</v>
      </c>
      <c r="J780" s="10" t="s">
        <v>57</v>
      </c>
      <c r="K780" s="10" t="s">
        <v>52</v>
      </c>
      <c r="L780" t="str">
        <f>IFERROR(VLOOKUP(D780,Products!A:F,3,0),"")</f>
        <v>Home</v>
      </c>
      <c r="M780" t="str">
        <f>IFERROR(VLOOKUP(E780,Sales_Reps!A:E,3,0),"")</f>
        <v>West</v>
      </c>
      <c r="N780" t="str">
        <f>IFERROR(VLOOKUP(C780,Customers!A:F,5,0),"")</f>
        <v>Retail</v>
      </c>
      <c r="O780">
        <f>IFERROR(VLOOKUP(C780,Customers!A:F,3,0),"")</f>
        <v>44</v>
      </c>
      <c r="P780">
        <f>IFERROR(VLOOKUP(D780,Products!A:F,4,0),"")</f>
        <v>519</v>
      </c>
      <c r="Q780" t="b">
        <f>IFERROR(VLOOKUP(D780,Products!A:F,6,0),"")</f>
        <v>1</v>
      </c>
      <c r="R780">
        <f t="shared" si="36"/>
        <v>0.51944444444444449</v>
      </c>
      <c r="S780">
        <f t="shared" si="37"/>
        <v>1</v>
      </c>
      <c r="T780">
        <f>IF(AND(S780&gt;1,COUNTIF($A$2:A780,A780)=1),1,0)</f>
        <v>0</v>
      </c>
      <c r="U780">
        <f>COUNTIF(Customers!$A$2:$A$301,C780)</f>
        <v>1</v>
      </c>
      <c r="V780">
        <f t="shared" si="38"/>
        <v>0</v>
      </c>
    </row>
    <row r="781" spans="1:22" ht="14.25" customHeight="1" x14ac:dyDescent="0.35">
      <c r="A781" s="10" t="s">
        <v>1215</v>
      </c>
      <c r="B781" s="11">
        <v>45609</v>
      </c>
      <c r="C781" s="10" t="s">
        <v>326</v>
      </c>
      <c r="D781" s="10" t="s">
        <v>466</v>
      </c>
      <c r="E781" s="10" t="s">
        <v>168</v>
      </c>
      <c r="F781" s="12">
        <v>1</v>
      </c>
      <c r="G781" s="12">
        <v>1090</v>
      </c>
      <c r="H781" s="12">
        <v>20.6</v>
      </c>
      <c r="I781" s="12">
        <v>865.46</v>
      </c>
      <c r="J781" s="10" t="s">
        <v>51</v>
      </c>
      <c r="K781" s="10" t="s">
        <v>58</v>
      </c>
      <c r="L781" t="str">
        <f>IFERROR(VLOOKUP(D781,Products!A:F,3,0),"")</f>
        <v>Home</v>
      </c>
      <c r="M781" t="str">
        <f>IFERROR(VLOOKUP(E781,Sales_Reps!A:E,3,0),"")</f>
        <v>South</v>
      </c>
      <c r="N781" t="str">
        <f>IFERROR(VLOOKUP(C781,Customers!A:F,5,0),"")</f>
        <v>Corporate</v>
      </c>
      <c r="O781">
        <f>IFERROR(VLOOKUP(C781,Customers!A:F,3,0),"")</f>
        <v>51</v>
      </c>
      <c r="P781">
        <f>IFERROR(VLOOKUP(D781,Products!A:F,4,0),"")</f>
        <v>464</v>
      </c>
      <c r="Q781" t="b">
        <f>IFERROR(VLOOKUP(D781,Products!A:F,6,0),"")</f>
        <v>1</v>
      </c>
      <c r="R781">
        <f t="shared" si="36"/>
        <v>0.57431192660550456</v>
      </c>
      <c r="S781">
        <f t="shared" si="37"/>
        <v>1</v>
      </c>
      <c r="T781">
        <f>IF(AND(S781&gt;1,COUNTIF($A$2:A781,A781)=1),1,0)</f>
        <v>0</v>
      </c>
      <c r="U781">
        <f>COUNTIF(Customers!$A$2:$A$301,C781)</f>
        <v>1</v>
      </c>
      <c r="V781">
        <f t="shared" si="38"/>
        <v>0</v>
      </c>
    </row>
    <row r="782" spans="1:22" ht="14.25" customHeight="1" x14ac:dyDescent="0.35">
      <c r="A782" s="10" t="s">
        <v>1216</v>
      </c>
      <c r="B782" s="11">
        <v>45528</v>
      </c>
      <c r="C782" s="10" t="s">
        <v>292</v>
      </c>
      <c r="D782" s="10" t="s">
        <v>74</v>
      </c>
      <c r="E782" s="10" t="s">
        <v>237</v>
      </c>
      <c r="F782" s="12">
        <v>8</v>
      </c>
      <c r="G782" s="12">
        <v>370</v>
      </c>
      <c r="H782" s="12">
        <v>1.7</v>
      </c>
      <c r="I782" s="12">
        <v>2909.68</v>
      </c>
      <c r="J782" s="10" t="s">
        <v>51</v>
      </c>
      <c r="K782" s="10" t="s">
        <v>58</v>
      </c>
      <c r="L782" t="str">
        <f>IFERROR(VLOOKUP(D782,Products!A:F,3,0),"")</f>
        <v>Home</v>
      </c>
      <c r="M782" t="str">
        <f>IFERROR(VLOOKUP(E782,Sales_Reps!A:E,3,0),"")</f>
        <v>South</v>
      </c>
      <c r="N782" t="str">
        <f>IFERROR(VLOOKUP(C782,Customers!A:F,5,0),"")</f>
        <v>Retail</v>
      </c>
      <c r="O782">
        <f>IFERROR(VLOOKUP(C782,Customers!A:F,3,0),"")</f>
        <v>28</v>
      </c>
      <c r="P782">
        <f>IFERROR(VLOOKUP(D782,Products!A:F,4,0),"")</f>
        <v>288</v>
      </c>
      <c r="Q782" t="b">
        <f>IFERROR(VLOOKUP(D782,Products!A:F,6,0),"")</f>
        <v>1</v>
      </c>
      <c r="R782">
        <f t="shared" si="36"/>
        <v>0.22162162162162163</v>
      </c>
      <c r="S782">
        <f t="shared" si="37"/>
        <v>1</v>
      </c>
      <c r="T782">
        <f>IF(AND(S782&gt;1,COUNTIF($A$2:A782,A782)=1),1,0)</f>
        <v>0</v>
      </c>
      <c r="U782">
        <f>COUNTIF(Customers!$A$2:$A$301,C782)</f>
        <v>1</v>
      </c>
      <c r="V782">
        <f t="shared" si="38"/>
        <v>0</v>
      </c>
    </row>
    <row r="783" spans="1:22" ht="14.25" customHeight="1" x14ac:dyDescent="0.35">
      <c r="A783" s="10" t="s">
        <v>1217</v>
      </c>
      <c r="B783" s="11">
        <v>45625</v>
      </c>
      <c r="C783" s="10" t="s">
        <v>1015</v>
      </c>
      <c r="D783" s="10" t="s">
        <v>623</v>
      </c>
      <c r="E783" s="10" t="s">
        <v>267</v>
      </c>
      <c r="F783" s="12">
        <v>7</v>
      </c>
      <c r="G783" s="12">
        <v>3560</v>
      </c>
      <c r="H783" s="12">
        <v>28.7</v>
      </c>
      <c r="I783" s="12">
        <v>17767.96</v>
      </c>
      <c r="J783" s="10" t="s">
        <v>51</v>
      </c>
      <c r="K783" s="10" t="s">
        <v>76</v>
      </c>
      <c r="L783" t="str">
        <f>IFERROR(VLOOKUP(D783,Products!A:F,3,0),"")</f>
        <v>Apparel</v>
      </c>
      <c r="M783" t="str">
        <f>IFERROR(VLOOKUP(E783,Sales_Reps!A:E,3,0),"")</f>
        <v>East</v>
      </c>
      <c r="N783" t="str">
        <f>IFERROR(VLOOKUP(C783,Customers!A:F,5,0),"")</f>
        <v>Retail</v>
      </c>
      <c r="O783">
        <f>IFERROR(VLOOKUP(C783,Customers!A:F,3,0),"")</f>
        <v>54</v>
      </c>
      <c r="P783">
        <f>IFERROR(VLOOKUP(D783,Products!A:F,4,0),"")</f>
        <v>2629</v>
      </c>
      <c r="Q783" t="b">
        <f>IFERROR(VLOOKUP(D783,Products!A:F,6,0),"")</f>
        <v>1</v>
      </c>
      <c r="R783">
        <f t="shared" si="36"/>
        <v>0.26151685393258428</v>
      </c>
      <c r="S783">
        <f t="shared" si="37"/>
        <v>1</v>
      </c>
      <c r="T783">
        <f>IF(AND(S783&gt;1,COUNTIF($A$2:A783,A783)=1),1,0)</f>
        <v>0</v>
      </c>
      <c r="U783">
        <f>COUNTIF(Customers!$A$2:$A$301,C783)</f>
        <v>1</v>
      </c>
      <c r="V783">
        <f t="shared" si="38"/>
        <v>0</v>
      </c>
    </row>
    <row r="784" spans="1:22" ht="14.25" customHeight="1" x14ac:dyDescent="0.35">
      <c r="A784" s="10" t="s">
        <v>1218</v>
      </c>
      <c r="B784" s="11">
        <v>45444</v>
      </c>
      <c r="C784" s="10" t="s">
        <v>523</v>
      </c>
      <c r="D784" s="10" t="s">
        <v>205</v>
      </c>
      <c r="E784" s="10" t="s">
        <v>310</v>
      </c>
      <c r="F784" s="12">
        <v>9</v>
      </c>
      <c r="G784" s="12">
        <v>6080</v>
      </c>
      <c r="H784" s="12">
        <v>16.3</v>
      </c>
      <c r="I784" s="12">
        <v>45800.639999999999</v>
      </c>
      <c r="J784" s="10" t="s">
        <v>104</v>
      </c>
      <c r="K784" s="10" t="s">
        <v>52</v>
      </c>
      <c r="L784" t="str">
        <f>IFERROR(VLOOKUP(D784,Products!A:F,3,0),"")</f>
        <v>Beauty</v>
      </c>
      <c r="M784" t="str">
        <f>IFERROR(VLOOKUP(E784,Sales_Reps!A:E,3,0),"")</f>
        <v>South</v>
      </c>
      <c r="N784" t="str">
        <f>IFERROR(VLOOKUP(C784,Customers!A:F,5,0),"")</f>
        <v>Retail</v>
      </c>
      <c r="O784">
        <f>IFERROR(VLOOKUP(C784,Customers!A:F,3,0),"")</f>
        <v>62</v>
      </c>
      <c r="P784">
        <f>IFERROR(VLOOKUP(D784,Products!A:F,4,0),"")</f>
        <v>2617</v>
      </c>
      <c r="Q784" t="b">
        <f>IFERROR(VLOOKUP(D784,Products!A:F,6,0),"")</f>
        <v>1</v>
      </c>
      <c r="R784">
        <f t="shared" si="36"/>
        <v>0.56957236842105263</v>
      </c>
      <c r="S784">
        <f t="shared" si="37"/>
        <v>1</v>
      </c>
      <c r="T784">
        <f>IF(AND(S784&gt;1,COUNTIF($A$2:A784,A784)=1),1,0)</f>
        <v>0</v>
      </c>
      <c r="U784">
        <f>COUNTIF(Customers!$A$2:$A$301,C784)</f>
        <v>1</v>
      </c>
      <c r="V784">
        <f t="shared" si="38"/>
        <v>0</v>
      </c>
    </row>
    <row r="785" spans="1:22" ht="14.25" customHeight="1" x14ac:dyDescent="0.35">
      <c r="A785" s="10" t="s">
        <v>1219</v>
      </c>
      <c r="B785" s="11">
        <v>45505</v>
      </c>
      <c r="C785" s="10" t="s">
        <v>120</v>
      </c>
      <c r="D785" s="10" t="s">
        <v>125</v>
      </c>
      <c r="E785" s="10" t="s">
        <v>152</v>
      </c>
      <c r="F785" s="12">
        <v>2</v>
      </c>
      <c r="G785" s="12">
        <v>3450</v>
      </c>
      <c r="H785" s="12">
        <v>17.600000000000001</v>
      </c>
      <c r="I785" s="12">
        <v>5685.6</v>
      </c>
      <c r="J785" s="10" t="s">
        <v>57</v>
      </c>
      <c r="K785" s="10" t="s">
        <v>97</v>
      </c>
      <c r="L785" t="str">
        <f>IFERROR(VLOOKUP(D785,Products!A:F,3,0),"")</f>
        <v>Sports</v>
      </c>
      <c r="M785" t="str">
        <f>IFERROR(VLOOKUP(E785,Sales_Reps!A:E,3,0),"")</f>
        <v>South</v>
      </c>
      <c r="N785" t="str">
        <f>IFERROR(VLOOKUP(C785,Customers!A:F,5,0),"")</f>
        <v>Corporate</v>
      </c>
      <c r="O785">
        <f>IFERROR(VLOOKUP(C785,Customers!A:F,3,0),"")</f>
        <v>32</v>
      </c>
      <c r="P785">
        <f>IFERROR(VLOOKUP(D785,Products!A:F,4,0),"")</f>
        <v>2467</v>
      </c>
      <c r="Q785" t="b">
        <f>IFERROR(VLOOKUP(D785,Products!A:F,6,0),"")</f>
        <v>1</v>
      </c>
      <c r="R785">
        <f t="shared" si="36"/>
        <v>0.28492753623188405</v>
      </c>
      <c r="S785">
        <f t="shared" si="37"/>
        <v>1</v>
      </c>
      <c r="T785">
        <f>IF(AND(S785&gt;1,COUNTIF($A$2:A785,A785)=1),1,0)</f>
        <v>0</v>
      </c>
      <c r="U785">
        <f>COUNTIF(Customers!$A$2:$A$301,C785)</f>
        <v>1</v>
      </c>
      <c r="V785">
        <f t="shared" si="38"/>
        <v>0</v>
      </c>
    </row>
    <row r="786" spans="1:22" ht="14.25" customHeight="1" x14ac:dyDescent="0.35">
      <c r="A786" s="10" t="s">
        <v>1220</v>
      </c>
      <c r="B786" s="11">
        <v>45401</v>
      </c>
      <c r="C786" s="10" t="s">
        <v>181</v>
      </c>
      <c r="D786" s="10" t="s">
        <v>407</v>
      </c>
      <c r="E786" s="10" t="s">
        <v>168</v>
      </c>
      <c r="F786" s="12">
        <v>1</v>
      </c>
      <c r="G786" s="12">
        <v>5080</v>
      </c>
      <c r="H786" s="12">
        <v>5.9</v>
      </c>
      <c r="I786" s="12">
        <v>4780.28</v>
      </c>
      <c r="J786" s="10" t="s">
        <v>51</v>
      </c>
      <c r="K786" s="10" t="s">
        <v>58</v>
      </c>
      <c r="L786" t="str">
        <f>IFERROR(VLOOKUP(D786,Products!A:F,3,0),"")</f>
        <v>Home</v>
      </c>
      <c r="M786" t="str">
        <f>IFERROR(VLOOKUP(E786,Sales_Reps!A:E,3,0),"")</f>
        <v>South</v>
      </c>
      <c r="N786" t="str">
        <f>IFERROR(VLOOKUP(C786,Customers!A:F,5,0),"")</f>
        <v>Retail</v>
      </c>
      <c r="O786">
        <f>IFERROR(VLOOKUP(C786,Customers!A:F,3,0),"")</f>
        <v>51</v>
      </c>
      <c r="P786">
        <f>IFERROR(VLOOKUP(D786,Products!A:F,4,0),"")</f>
        <v>2459</v>
      </c>
      <c r="Q786" t="b">
        <f>IFERROR(VLOOKUP(D786,Products!A:F,6,0),"")</f>
        <v>1</v>
      </c>
      <c r="R786">
        <f t="shared" si="36"/>
        <v>0.51594488188976373</v>
      </c>
      <c r="S786">
        <f t="shared" si="37"/>
        <v>1</v>
      </c>
      <c r="T786">
        <f>IF(AND(S786&gt;1,COUNTIF($A$2:A786,A786)=1),1,0)</f>
        <v>0</v>
      </c>
      <c r="U786">
        <f>COUNTIF(Customers!$A$2:$A$301,C786)</f>
        <v>1</v>
      </c>
      <c r="V786">
        <f t="shared" si="38"/>
        <v>0</v>
      </c>
    </row>
    <row r="787" spans="1:22" ht="14.25" customHeight="1" x14ac:dyDescent="0.35">
      <c r="A787" s="10" t="s">
        <v>1221</v>
      </c>
      <c r="B787" s="11">
        <v>45364</v>
      </c>
      <c r="C787" s="10" t="s">
        <v>847</v>
      </c>
      <c r="D787" s="10" t="s">
        <v>416</v>
      </c>
      <c r="E787" s="10" t="s">
        <v>118</v>
      </c>
      <c r="F787" s="12">
        <v>7</v>
      </c>
      <c r="G787" s="12">
        <v>3450</v>
      </c>
      <c r="H787" s="12">
        <v>17.399999999999999</v>
      </c>
      <c r="I787" s="12">
        <v>19947.900000000001</v>
      </c>
      <c r="J787" s="10" t="s">
        <v>51</v>
      </c>
      <c r="K787" s="10" t="s">
        <v>97</v>
      </c>
      <c r="L787" t="str">
        <f>IFERROR(VLOOKUP(D787,Products!A:F,3,0),"")</f>
        <v>Apparel</v>
      </c>
      <c r="M787" t="str">
        <f>IFERROR(VLOOKUP(E787,Sales_Reps!A:E,3,0),"")</f>
        <v>East</v>
      </c>
      <c r="N787" t="str">
        <f>IFERROR(VLOOKUP(C787,Customers!A:F,5,0),"")</f>
        <v>SMB</v>
      </c>
      <c r="O787">
        <f>IFERROR(VLOOKUP(C787,Customers!A:F,3,0),"")</f>
        <v>28</v>
      </c>
      <c r="P787">
        <f>IFERROR(VLOOKUP(D787,Products!A:F,4,0),"")</f>
        <v>1748</v>
      </c>
      <c r="Q787" t="b">
        <f>IFERROR(VLOOKUP(D787,Products!A:F,6,0),"")</f>
        <v>1</v>
      </c>
      <c r="R787">
        <f t="shared" si="36"/>
        <v>0.49333333333333335</v>
      </c>
      <c r="S787">
        <f t="shared" si="37"/>
        <v>1</v>
      </c>
      <c r="T787">
        <f>IF(AND(S787&gt;1,COUNTIF($A$2:A787,A787)=1),1,0)</f>
        <v>0</v>
      </c>
      <c r="U787">
        <f>COUNTIF(Customers!$A$2:$A$301,C787)</f>
        <v>1</v>
      </c>
      <c r="V787">
        <f t="shared" si="38"/>
        <v>0</v>
      </c>
    </row>
    <row r="788" spans="1:22" ht="14.25" customHeight="1" x14ac:dyDescent="0.35">
      <c r="A788" s="10" t="s">
        <v>1222</v>
      </c>
      <c r="B788" s="11">
        <v>45403</v>
      </c>
      <c r="C788" s="10" t="s">
        <v>1136</v>
      </c>
      <c r="D788" s="10" t="s">
        <v>95</v>
      </c>
      <c r="E788" s="10" t="s">
        <v>168</v>
      </c>
      <c r="F788" s="12">
        <v>8</v>
      </c>
      <c r="G788" s="12">
        <v>2270</v>
      </c>
      <c r="H788" s="12">
        <v>24.7</v>
      </c>
      <c r="I788" s="12">
        <v>13674.48</v>
      </c>
      <c r="J788" s="10" t="s">
        <v>51</v>
      </c>
      <c r="K788" s="10" t="s">
        <v>52</v>
      </c>
      <c r="L788" t="str">
        <f>IFERROR(VLOOKUP(D788,Products!A:F,3,0),"")</f>
        <v>Grocery</v>
      </c>
      <c r="M788" t="str">
        <f>IFERROR(VLOOKUP(E788,Sales_Reps!A:E,3,0),"")</f>
        <v>South</v>
      </c>
      <c r="N788" t="str">
        <f>IFERROR(VLOOKUP(C788,Customers!A:F,5,0),"")</f>
        <v>Retail</v>
      </c>
      <c r="O788">
        <f>IFERROR(VLOOKUP(C788,Customers!A:F,3,0),"")</f>
        <v>39</v>
      </c>
      <c r="P788">
        <f>IFERROR(VLOOKUP(D788,Products!A:F,4,0),"")</f>
        <v>1203</v>
      </c>
      <c r="Q788" t="b">
        <f>IFERROR(VLOOKUP(D788,Products!A:F,6,0),"")</f>
        <v>1</v>
      </c>
      <c r="R788">
        <f t="shared" si="36"/>
        <v>0.47004405286343615</v>
      </c>
      <c r="S788">
        <f t="shared" si="37"/>
        <v>1</v>
      </c>
      <c r="T788">
        <f>IF(AND(S788&gt;1,COUNTIF($A$2:A788,A788)=1),1,0)</f>
        <v>0</v>
      </c>
      <c r="U788">
        <f>COUNTIF(Customers!$A$2:$A$301,C788)</f>
        <v>1</v>
      </c>
      <c r="V788">
        <f t="shared" si="38"/>
        <v>0</v>
      </c>
    </row>
    <row r="789" spans="1:22" ht="14.25" customHeight="1" x14ac:dyDescent="0.35">
      <c r="A789" s="10" t="s">
        <v>1223</v>
      </c>
      <c r="B789" s="11">
        <v>45599</v>
      </c>
      <c r="C789" s="10" t="s">
        <v>48</v>
      </c>
      <c r="D789" s="10" t="s">
        <v>70</v>
      </c>
      <c r="E789" s="10" t="s">
        <v>118</v>
      </c>
      <c r="F789" s="12">
        <v>3</v>
      </c>
      <c r="G789" s="12">
        <v>3160</v>
      </c>
      <c r="H789" s="12">
        <v>1.5</v>
      </c>
      <c r="I789" s="12">
        <v>9337.7999999999993</v>
      </c>
      <c r="J789" s="10" t="s">
        <v>57</v>
      </c>
      <c r="K789" s="10" t="s">
        <v>52</v>
      </c>
      <c r="L789" t="str">
        <f>IFERROR(VLOOKUP(D789,Products!A:F,3,0),"")</f>
        <v>Apparel</v>
      </c>
      <c r="M789" t="str">
        <f>IFERROR(VLOOKUP(E789,Sales_Reps!A:E,3,0),"")</f>
        <v>East</v>
      </c>
      <c r="N789" t="str">
        <f>IFERROR(VLOOKUP(C789,Customers!A:F,5,0),"")</f>
        <v>SMB</v>
      </c>
      <c r="O789">
        <f>IFERROR(VLOOKUP(C789,Customers!A:F,3,0),"")</f>
        <v>44</v>
      </c>
      <c r="P789">
        <f>IFERROR(VLOOKUP(D789,Products!A:F,4,0),"")</f>
        <v>1886</v>
      </c>
      <c r="Q789" t="b">
        <f>IFERROR(VLOOKUP(D789,Products!A:F,6,0),"")</f>
        <v>1</v>
      </c>
      <c r="R789">
        <f t="shared" si="36"/>
        <v>0.4031645569620253</v>
      </c>
      <c r="S789">
        <f t="shared" si="37"/>
        <v>1</v>
      </c>
      <c r="T789">
        <f>IF(AND(S789&gt;1,COUNTIF($A$2:A789,A789)=1),1,0)</f>
        <v>0</v>
      </c>
      <c r="U789">
        <f>COUNTIF(Customers!$A$2:$A$301,C789)</f>
        <v>1</v>
      </c>
      <c r="V789">
        <f t="shared" si="38"/>
        <v>0</v>
      </c>
    </row>
    <row r="790" spans="1:22" ht="14.25" customHeight="1" x14ac:dyDescent="0.35">
      <c r="A790" s="10" t="s">
        <v>1224</v>
      </c>
      <c r="B790" s="11">
        <v>45389</v>
      </c>
      <c r="C790" s="10" t="s">
        <v>1225</v>
      </c>
      <c r="D790" s="10" t="s">
        <v>143</v>
      </c>
      <c r="E790" s="10" t="s">
        <v>193</v>
      </c>
      <c r="F790" s="12">
        <v>6</v>
      </c>
      <c r="G790" s="12">
        <v>3350</v>
      </c>
      <c r="H790" s="12">
        <v>0.9</v>
      </c>
      <c r="I790" s="12">
        <v>19919.099999999999</v>
      </c>
      <c r="J790" s="10" t="s">
        <v>57</v>
      </c>
      <c r="K790" s="10" t="s">
        <v>81</v>
      </c>
      <c r="L790" t="str">
        <f>IFERROR(VLOOKUP(D790,Products!A:F,3,0),"")</f>
        <v>Beauty</v>
      </c>
      <c r="M790" t="str">
        <f>IFERROR(VLOOKUP(E790,Sales_Reps!A:E,3,0),"")</f>
        <v>West</v>
      </c>
      <c r="N790" t="str">
        <f>IFERROR(VLOOKUP(C790,Customers!A:F,5,0),"")</f>
        <v>Retail</v>
      </c>
      <c r="O790">
        <f>IFERROR(VLOOKUP(C790,Customers!A:F,3,0),"")</f>
        <v>54</v>
      </c>
      <c r="P790">
        <f>IFERROR(VLOOKUP(D790,Products!A:F,4,0),"")</f>
        <v>1728</v>
      </c>
      <c r="Q790" t="b">
        <f>IFERROR(VLOOKUP(D790,Products!A:F,6,0),"")</f>
        <v>1</v>
      </c>
      <c r="R790">
        <f t="shared" si="36"/>
        <v>0.48417910447761192</v>
      </c>
      <c r="S790">
        <f t="shared" si="37"/>
        <v>1</v>
      </c>
      <c r="T790">
        <f>IF(AND(S790&gt;1,COUNTIF($A$2:A790,A790)=1),1,0)</f>
        <v>0</v>
      </c>
      <c r="U790">
        <f>COUNTIF(Customers!$A$2:$A$301,C790)</f>
        <v>1</v>
      </c>
      <c r="V790">
        <f t="shared" si="38"/>
        <v>0</v>
      </c>
    </row>
    <row r="791" spans="1:22" ht="14.25" customHeight="1" x14ac:dyDescent="0.35">
      <c r="A791" s="10" t="s">
        <v>1226</v>
      </c>
      <c r="B791" s="11">
        <v>45506</v>
      </c>
      <c r="C791" s="10" t="s">
        <v>909</v>
      </c>
      <c r="D791" s="10" t="s">
        <v>140</v>
      </c>
      <c r="E791" s="10" t="s">
        <v>193</v>
      </c>
      <c r="F791" s="12">
        <v>7</v>
      </c>
      <c r="G791" s="12">
        <v>1650</v>
      </c>
      <c r="H791" s="12">
        <v>5.6</v>
      </c>
      <c r="I791" s="12">
        <v>10903.2</v>
      </c>
      <c r="J791" s="10" t="s">
        <v>108</v>
      </c>
      <c r="K791" s="10" t="s">
        <v>52</v>
      </c>
      <c r="L791" t="str">
        <f>IFERROR(VLOOKUP(D791,Products!A:F,3,0),"")</f>
        <v>Beauty</v>
      </c>
      <c r="M791" t="str">
        <f>IFERROR(VLOOKUP(E791,Sales_Reps!A:E,3,0),"")</f>
        <v>West</v>
      </c>
      <c r="N791" t="str">
        <f>IFERROR(VLOOKUP(C791,Customers!A:F,5,0),"")</f>
        <v>Retail</v>
      </c>
      <c r="O791">
        <f>IFERROR(VLOOKUP(C791,Customers!A:F,3,0),"")</f>
        <v>54</v>
      </c>
      <c r="P791">
        <f>IFERROR(VLOOKUP(D791,Products!A:F,4,0),"")</f>
        <v>1222</v>
      </c>
      <c r="Q791" t="b">
        <f>IFERROR(VLOOKUP(D791,Products!A:F,6,0),"")</f>
        <v>1</v>
      </c>
      <c r="R791">
        <f t="shared" si="36"/>
        <v>0.2593939393939394</v>
      </c>
      <c r="S791">
        <f t="shared" si="37"/>
        <v>1</v>
      </c>
      <c r="T791">
        <f>IF(AND(S791&gt;1,COUNTIF($A$2:A791,A791)=1),1,0)</f>
        <v>0</v>
      </c>
      <c r="U791">
        <f>COUNTIF(Customers!$A$2:$A$301,C791)</f>
        <v>1</v>
      </c>
      <c r="V791">
        <f t="shared" si="38"/>
        <v>0</v>
      </c>
    </row>
    <row r="792" spans="1:22" ht="14.25" customHeight="1" x14ac:dyDescent="0.35">
      <c r="A792" s="10" t="s">
        <v>1227</v>
      </c>
      <c r="B792" s="11">
        <v>45402</v>
      </c>
      <c r="C792" s="10" t="s">
        <v>689</v>
      </c>
      <c r="D792" s="10" t="s">
        <v>88</v>
      </c>
      <c r="E792" s="10" t="s">
        <v>112</v>
      </c>
      <c r="F792" s="12">
        <v>1</v>
      </c>
      <c r="G792" s="12">
        <v>5490</v>
      </c>
      <c r="H792" s="12">
        <v>5.8</v>
      </c>
      <c r="I792" s="12">
        <v>5171.58</v>
      </c>
      <c r="J792" s="10" t="s">
        <v>51</v>
      </c>
      <c r="K792" s="10" t="s">
        <v>63</v>
      </c>
      <c r="L792" t="str">
        <f>IFERROR(VLOOKUP(D792,Products!A:F,3,0),"")</f>
        <v>Home</v>
      </c>
      <c r="M792" t="str">
        <f>IFERROR(VLOOKUP(E792,Sales_Reps!A:E,3,0),"")</f>
        <v>North</v>
      </c>
      <c r="N792" t="str">
        <f>IFERROR(VLOOKUP(C792,Customers!A:F,5,0),"")</f>
        <v>SMB</v>
      </c>
      <c r="O792">
        <f>IFERROR(VLOOKUP(C792,Customers!A:F,3,0),"")</f>
        <v>26</v>
      </c>
      <c r="P792">
        <f>IFERROR(VLOOKUP(D792,Products!A:F,4,0),"")</f>
        <v>2549</v>
      </c>
      <c r="Q792" t="b">
        <f>IFERROR(VLOOKUP(D792,Products!A:F,6,0),"")</f>
        <v>1</v>
      </c>
      <c r="R792">
        <f t="shared" si="36"/>
        <v>0.53570127504553733</v>
      </c>
      <c r="S792">
        <f t="shared" si="37"/>
        <v>1</v>
      </c>
      <c r="T792">
        <f>IF(AND(S792&gt;1,COUNTIF($A$2:A792,A792)=1),1,0)</f>
        <v>0</v>
      </c>
      <c r="U792">
        <f>COUNTIF(Customers!$A$2:$A$301,C792)</f>
        <v>1</v>
      </c>
      <c r="V792">
        <f t="shared" si="38"/>
        <v>0</v>
      </c>
    </row>
    <row r="793" spans="1:22" ht="14.25" customHeight="1" x14ac:dyDescent="0.35">
      <c r="A793" s="10" t="s">
        <v>1228</v>
      </c>
      <c r="B793" s="11">
        <v>45405</v>
      </c>
      <c r="C793" s="10" t="s">
        <v>114</v>
      </c>
      <c r="D793" s="10" t="s">
        <v>128</v>
      </c>
      <c r="E793" s="10" t="s">
        <v>80</v>
      </c>
      <c r="F793" s="12">
        <v>3</v>
      </c>
      <c r="G793" s="12">
        <v>1080</v>
      </c>
      <c r="H793" s="12">
        <v>20.9</v>
      </c>
      <c r="I793" s="12">
        <v>2562.84</v>
      </c>
      <c r="J793" s="10" t="s">
        <v>51</v>
      </c>
      <c r="K793" s="10" t="s">
        <v>52</v>
      </c>
      <c r="L793" t="str">
        <f>IFERROR(VLOOKUP(D793,Products!A:F,3,0),"")</f>
        <v>Home</v>
      </c>
      <c r="M793" t="str">
        <f>IFERROR(VLOOKUP(E793,Sales_Reps!A:E,3,0),"")</f>
        <v>West</v>
      </c>
      <c r="N793" t="str">
        <f>IFERROR(VLOOKUP(C793,Customers!A:F,5,0),"")</f>
        <v>Retail</v>
      </c>
      <c r="O793">
        <f>IFERROR(VLOOKUP(C793,Customers!A:F,3,0),"")</f>
        <v>63</v>
      </c>
      <c r="P793">
        <f>IFERROR(VLOOKUP(D793,Products!A:F,4,0),"")</f>
        <v>519</v>
      </c>
      <c r="Q793" t="b">
        <f>IFERROR(VLOOKUP(D793,Products!A:F,6,0),"")</f>
        <v>1</v>
      </c>
      <c r="R793">
        <f t="shared" si="36"/>
        <v>0.51944444444444449</v>
      </c>
      <c r="S793">
        <f t="shared" si="37"/>
        <v>1</v>
      </c>
      <c r="T793">
        <f>IF(AND(S793&gt;1,COUNTIF($A$2:A793,A793)=1),1,0)</f>
        <v>0</v>
      </c>
      <c r="U793">
        <f>COUNTIF(Customers!$A$2:$A$301,C793)</f>
        <v>1</v>
      </c>
      <c r="V793">
        <f t="shared" si="38"/>
        <v>0</v>
      </c>
    </row>
    <row r="794" spans="1:22" ht="14.25" customHeight="1" x14ac:dyDescent="0.35">
      <c r="A794" s="10" t="s">
        <v>1229</v>
      </c>
      <c r="B794" s="11">
        <v>45434</v>
      </c>
      <c r="C794" s="10" t="s">
        <v>1230</v>
      </c>
      <c r="D794" s="10" t="s">
        <v>198</v>
      </c>
      <c r="E794" s="10" t="s">
        <v>267</v>
      </c>
      <c r="F794" s="12">
        <v>10</v>
      </c>
      <c r="G794" s="12">
        <v>3780</v>
      </c>
      <c r="H794" s="12">
        <v>5.5</v>
      </c>
      <c r="I794" s="12">
        <v>35721</v>
      </c>
      <c r="J794" s="10" t="s">
        <v>51</v>
      </c>
      <c r="K794" s="10" t="s">
        <v>97</v>
      </c>
      <c r="L794" t="str">
        <f>IFERROR(VLOOKUP(D794,Products!A:F,3,0),"")</f>
        <v>Grocery</v>
      </c>
      <c r="M794" t="str">
        <f>IFERROR(VLOOKUP(E794,Sales_Reps!A:E,3,0),"")</f>
        <v>East</v>
      </c>
      <c r="N794" t="str">
        <f>IFERROR(VLOOKUP(C794,Customers!A:F,5,0),"")</f>
        <v/>
      </c>
      <c r="O794" t="str">
        <f>IFERROR(VLOOKUP(C794,Customers!A:F,3,0),"")</f>
        <v/>
      </c>
      <c r="P794">
        <f>IFERROR(VLOOKUP(D794,Products!A:F,4,0),"")</f>
        <v>2436</v>
      </c>
      <c r="Q794" t="b">
        <f>IFERROR(VLOOKUP(D794,Products!A:F,6,0),"")</f>
        <v>1</v>
      </c>
      <c r="R794">
        <f t="shared" si="36"/>
        <v>0.35555555555555557</v>
      </c>
      <c r="S794">
        <f t="shared" si="37"/>
        <v>1</v>
      </c>
      <c r="T794">
        <f>IF(AND(S794&gt;1,COUNTIF($A$2:A794,A794)=1),1,0)</f>
        <v>0</v>
      </c>
      <c r="U794">
        <f>COUNTIF(Customers!$A$2:$A$301,C794)</f>
        <v>0</v>
      </c>
      <c r="V794">
        <f t="shared" si="38"/>
        <v>0</v>
      </c>
    </row>
    <row r="795" spans="1:22" ht="14.25" customHeight="1" x14ac:dyDescent="0.35">
      <c r="A795" s="10" t="s">
        <v>1231</v>
      </c>
      <c r="B795" s="11">
        <v>45558</v>
      </c>
      <c r="C795" s="10" t="s">
        <v>172</v>
      </c>
      <c r="D795" s="10" t="s">
        <v>259</v>
      </c>
      <c r="E795" s="10" t="s">
        <v>134</v>
      </c>
      <c r="F795" s="12">
        <v>2</v>
      </c>
      <c r="G795" s="12">
        <v>2030</v>
      </c>
      <c r="H795" s="12">
        <v>2</v>
      </c>
      <c r="I795" s="12">
        <v>3978.8</v>
      </c>
      <c r="J795" s="10" t="s">
        <v>57</v>
      </c>
      <c r="K795" s="10" t="s">
        <v>97</v>
      </c>
      <c r="L795" t="str">
        <f>IFERROR(VLOOKUP(D795,Products!A:F,3,0),"")</f>
        <v>Home</v>
      </c>
      <c r="M795" t="str">
        <f>IFERROR(VLOOKUP(E795,Sales_Reps!A:E,3,0),"")</f>
        <v>West</v>
      </c>
      <c r="N795" t="str">
        <f>IFERROR(VLOOKUP(C795,Customers!A:F,5,0),"")</f>
        <v>Retail</v>
      </c>
      <c r="O795">
        <f>IFERROR(VLOOKUP(C795,Customers!A:F,3,0),"")</f>
        <v>26</v>
      </c>
      <c r="P795">
        <f>IFERROR(VLOOKUP(D795,Products!A:F,4,0),"")</f>
        <v>1143</v>
      </c>
      <c r="Q795" t="b">
        <f>IFERROR(VLOOKUP(D795,Products!A:F,6,0),"")</f>
        <v>1</v>
      </c>
      <c r="R795">
        <f t="shared" si="36"/>
        <v>0.43694581280788175</v>
      </c>
      <c r="S795">
        <f t="shared" si="37"/>
        <v>1</v>
      </c>
      <c r="T795">
        <f>IF(AND(S795&gt;1,COUNTIF($A$2:A795,A795)=1),1,0)</f>
        <v>0</v>
      </c>
      <c r="U795">
        <f>COUNTIF(Customers!$A$2:$A$301,C795)</f>
        <v>1</v>
      </c>
      <c r="V795">
        <f t="shared" si="38"/>
        <v>0</v>
      </c>
    </row>
    <row r="796" spans="1:22" ht="14.25" customHeight="1" x14ac:dyDescent="0.35">
      <c r="A796" s="10" t="s">
        <v>1232</v>
      </c>
      <c r="B796" s="11">
        <v>45582</v>
      </c>
      <c r="C796" s="10" t="s">
        <v>531</v>
      </c>
      <c r="D796" s="10" t="s">
        <v>223</v>
      </c>
      <c r="E796" s="10" t="s">
        <v>85</v>
      </c>
      <c r="F796" s="12">
        <v>8</v>
      </c>
      <c r="G796" s="12">
        <v>1540</v>
      </c>
      <c r="H796" s="12">
        <v>9</v>
      </c>
      <c r="I796" s="12">
        <v>11211.2</v>
      </c>
      <c r="J796" s="10" t="s">
        <v>104</v>
      </c>
      <c r="K796" s="10" t="s">
        <v>81</v>
      </c>
      <c r="L796" t="str">
        <f>IFERROR(VLOOKUP(D796,Products!A:F,3,0),"")</f>
        <v>Beauty</v>
      </c>
      <c r="M796" t="str">
        <f>IFERROR(VLOOKUP(E796,Sales_Reps!A:E,3,0),"")</f>
        <v>East</v>
      </c>
      <c r="N796" t="str">
        <f>IFERROR(VLOOKUP(C796,Customers!A:F,5,0),"")</f>
        <v>Corporate</v>
      </c>
      <c r="O796">
        <f>IFERROR(VLOOKUP(C796,Customers!A:F,3,0),"")</f>
        <v>41</v>
      </c>
      <c r="P796">
        <f>IFERROR(VLOOKUP(D796,Products!A:F,4,0),"")</f>
        <v>647</v>
      </c>
      <c r="Q796" t="b">
        <f>IFERROR(VLOOKUP(D796,Products!A:F,6,0),"")</f>
        <v>0</v>
      </c>
      <c r="R796">
        <f t="shared" si="36"/>
        <v>0.57987012987012987</v>
      </c>
      <c r="S796">
        <f t="shared" si="37"/>
        <v>1</v>
      </c>
      <c r="T796">
        <f>IF(AND(S796&gt;1,COUNTIF($A$2:A796,A796)=1),1,0)</f>
        <v>0</v>
      </c>
      <c r="U796">
        <f>COUNTIF(Customers!$A$2:$A$301,C796)</f>
        <v>1</v>
      </c>
      <c r="V796">
        <f t="shared" si="38"/>
        <v>0</v>
      </c>
    </row>
    <row r="797" spans="1:22" ht="14.25" customHeight="1" x14ac:dyDescent="0.35">
      <c r="A797" s="10" t="s">
        <v>1233</v>
      </c>
      <c r="B797" s="11">
        <v>45601</v>
      </c>
      <c r="C797" s="10" t="s">
        <v>90</v>
      </c>
      <c r="D797" s="10" t="s">
        <v>107</v>
      </c>
      <c r="E797" s="10" t="s">
        <v>152</v>
      </c>
      <c r="F797" s="12">
        <v>9</v>
      </c>
      <c r="G797" s="12">
        <v>3250</v>
      </c>
      <c r="H797" s="12">
        <v>20.5</v>
      </c>
      <c r="I797" s="12">
        <v>23253.75</v>
      </c>
      <c r="J797" s="10" t="s">
        <v>51</v>
      </c>
      <c r="K797" s="10" t="s">
        <v>52</v>
      </c>
      <c r="L797" t="str">
        <f>IFERROR(VLOOKUP(D797,Products!A:F,3,0),"")</f>
        <v>Home</v>
      </c>
      <c r="M797" t="str">
        <f>IFERROR(VLOOKUP(E797,Sales_Reps!A:E,3,0),"")</f>
        <v>South</v>
      </c>
      <c r="N797" t="str">
        <f>IFERROR(VLOOKUP(C797,Customers!A:F,5,0),"")</f>
        <v>Retail</v>
      </c>
      <c r="O797">
        <f>IFERROR(VLOOKUP(C797,Customers!A:F,3,0),"")</f>
        <v>56</v>
      </c>
      <c r="P797">
        <f>IFERROR(VLOOKUP(D797,Products!A:F,4,0),"")</f>
        <v>1556</v>
      </c>
      <c r="Q797" t="b">
        <f>IFERROR(VLOOKUP(D797,Products!A:F,6,0),"")</f>
        <v>1</v>
      </c>
      <c r="R797">
        <f t="shared" si="36"/>
        <v>0.52123076923076928</v>
      </c>
      <c r="S797">
        <f t="shared" si="37"/>
        <v>1</v>
      </c>
      <c r="T797">
        <f>IF(AND(S797&gt;1,COUNTIF($A$2:A797,A797)=1),1,0)</f>
        <v>0</v>
      </c>
      <c r="U797">
        <f>COUNTIF(Customers!$A$2:$A$301,C797)</f>
        <v>1</v>
      </c>
      <c r="V797">
        <f t="shared" si="38"/>
        <v>0</v>
      </c>
    </row>
    <row r="798" spans="1:22" ht="14.25" customHeight="1" x14ac:dyDescent="0.35">
      <c r="A798" s="10" t="s">
        <v>1234</v>
      </c>
      <c r="B798" s="11">
        <v>45344</v>
      </c>
      <c r="C798" s="10" t="s">
        <v>363</v>
      </c>
      <c r="D798" s="10" t="s">
        <v>121</v>
      </c>
      <c r="E798" s="10" t="s">
        <v>56</v>
      </c>
      <c r="F798" s="12">
        <v>3</v>
      </c>
      <c r="G798" s="12">
        <v>3450</v>
      </c>
      <c r="H798" s="12">
        <v>17.899999999999999</v>
      </c>
      <c r="I798" s="12">
        <v>8497.35</v>
      </c>
      <c r="J798" s="10" t="s">
        <v>51</v>
      </c>
      <c r="K798" s="10" t="s">
        <v>63</v>
      </c>
      <c r="L798" t="str">
        <f>IFERROR(VLOOKUP(D798,Products!A:F,3,0),"")</f>
        <v>Beauty</v>
      </c>
      <c r="M798" t="str">
        <f>IFERROR(VLOOKUP(E798,Sales_Reps!A:E,3,0),"")</f>
        <v>North</v>
      </c>
      <c r="N798" t="str">
        <f>IFERROR(VLOOKUP(C798,Customers!A:F,5,0),"")</f>
        <v>SMB</v>
      </c>
      <c r="O798">
        <f>IFERROR(VLOOKUP(C798,Customers!A:F,3,0),"")</f>
        <v>53</v>
      </c>
      <c r="P798">
        <f>IFERROR(VLOOKUP(D798,Products!A:F,4,0),"")</f>
        <v>2420</v>
      </c>
      <c r="Q798" t="b">
        <f>IFERROR(VLOOKUP(D798,Products!A:F,6,0),"")</f>
        <v>1</v>
      </c>
      <c r="R798">
        <f t="shared" si="36"/>
        <v>0.29855072463768118</v>
      </c>
      <c r="S798">
        <f t="shared" si="37"/>
        <v>1</v>
      </c>
      <c r="T798">
        <f>IF(AND(S798&gt;1,COUNTIF($A$2:A798,A798)=1),1,0)</f>
        <v>0</v>
      </c>
      <c r="U798">
        <f>COUNTIF(Customers!$A$2:$A$301,C798)</f>
        <v>1</v>
      </c>
      <c r="V798">
        <f t="shared" si="38"/>
        <v>0</v>
      </c>
    </row>
    <row r="799" spans="1:22" ht="14.25" customHeight="1" x14ac:dyDescent="0.35">
      <c r="A799" s="10" t="s">
        <v>1235</v>
      </c>
      <c r="B799" s="11">
        <v>45504</v>
      </c>
      <c r="C799" s="10" t="s">
        <v>369</v>
      </c>
      <c r="D799" s="10" t="s">
        <v>88</v>
      </c>
      <c r="E799" s="10" t="s">
        <v>71</v>
      </c>
      <c r="F799" s="12">
        <v>5</v>
      </c>
      <c r="G799" s="12">
        <v>5490</v>
      </c>
      <c r="H799" s="12">
        <v>7.9</v>
      </c>
      <c r="I799" s="12">
        <v>25281.45</v>
      </c>
      <c r="J799" s="10" t="s">
        <v>51</v>
      </c>
      <c r="K799" s="10" t="s">
        <v>58</v>
      </c>
      <c r="L799" t="str">
        <f>IFERROR(VLOOKUP(D799,Products!A:F,3,0),"")</f>
        <v>Home</v>
      </c>
      <c r="M799" t="str">
        <f>IFERROR(VLOOKUP(E799,Sales_Reps!A:E,3,0),"")</f>
        <v>North</v>
      </c>
      <c r="N799" t="str">
        <f>IFERROR(VLOOKUP(C799,Customers!A:F,5,0),"")</f>
        <v>Corporate</v>
      </c>
      <c r="O799">
        <f>IFERROR(VLOOKUP(C799,Customers!A:F,3,0),"")</f>
        <v>24</v>
      </c>
      <c r="P799">
        <f>IFERROR(VLOOKUP(D799,Products!A:F,4,0),"")</f>
        <v>2549</v>
      </c>
      <c r="Q799" t="b">
        <f>IFERROR(VLOOKUP(D799,Products!A:F,6,0),"")</f>
        <v>1</v>
      </c>
      <c r="R799">
        <f t="shared" si="36"/>
        <v>0.53570127504553733</v>
      </c>
      <c r="S799">
        <f t="shared" si="37"/>
        <v>1</v>
      </c>
      <c r="T799">
        <f>IF(AND(S799&gt;1,COUNTIF($A$2:A799,A799)=1),1,0)</f>
        <v>0</v>
      </c>
      <c r="U799">
        <f>COUNTIF(Customers!$A$2:$A$301,C799)</f>
        <v>1</v>
      </c>
      <c r="V799">
        <f t="shared" si="38"/>
        <v>0</v>
      </c>
    </row>
    <row r="800" spans="1:22" ht="14.25" customHeight="1" x14ac:dyDescent="0.35">
      <c r="A800" s="10" t="s">
        <v>1236</v>
      </c>
      <c r="B800" s="11">
        <v>45306</v>
      </c>
      <c r="C800" s="10" t="s">
        <v>590</v>
      </c>
      <c r="D800" s="10" t="s">
        <v>74</v>
      </c>
      <c r="E800" s="10" t="s">
        <v>193</v>
      </c>
      <c r="F800" s="12">
        <v>3</v>
      </c>
      <c r="G800" s="12">
        <v>370</v>
      </c>
      <c r="H800" s="12">
        <v>13.4</v>
      </c>
      <c r="I800" s="12">
        <v>961.26</v>
      </c>
      <c r="J800" s="10" t="s">
        <v>51</v>
      </c>
      <c r="K800" s="10" t="s">
        <v>63</v>
      </c>
      <c r="L800" t="str">
        <f>IFERROR(VLOOKUP(D800,Products!A:F,3,0),"")</f>
        <v>Home</v>
      </c>
      <c r="M800" t="str">
        <f>IFERROR(VLOOKUP(E800,Sales_Reps!A:E,3,0),"")</f>
        <v>West</v>
      </c>
      <c r="N800" t="str">
        <f>IFERROR(VLOOKUP(C800,Customers!A:F,5,0),"")</f>
        <v>Retail</v>
      </c>
      <c r="O800">
        <f>IFERROR(VLOOKUP(C800,Customers!A:F,3,0),"")</f>
        <v>40</v>
      </c>
      <c r="P800">
        <f>IFERROR(VLOOKUP(D800,Products!A:F,4,0),"")</f>
        <v>288</v>
      </c>
      <c r="Q800" t="b">
        <f>IFERROR(VLOOKUP(D800,Products!A:F,6,0),"")</f>
        <v>1</v>
      </c>
      <c r="R800">
        <f t="shared" si="36"/>
        <v>0.22162162162162163</v>
      </c>
      <c r="S800">
        <f t="shared" si="37"/>
        <v>1</v>
      </c>
      <c r="T800">
        <f>IF(AND(S800&gt;1,COUNTIF($A$2:A800,A800)=1),1,0)</f>
        <v>0</v>
      </c>
      <c r="U800">
        <f>COUNTIF(Customers!$A$2:$A$301,C800)</f>
        <v>1</v>
      </c>
      <c r="V800">
        <f t="shared" si="38"/>
        <v>0</v>
      </c>
    </row>
    <row r="801" spans="1:22" ht="14.25" customHeight="1" x14ac:dyDescent="0.35">
      <c r="A801" s="10" t="s">
        <v>1237</v>
      </c>
      <c r="B801" s="11">
        <v>45413</v>
      </c>
      <c r="C801" s="10" t="s">
        <v>342</v>
      </c>
      <c r="D801" s="10" t="s">
        <v>328</v>
      </c>
      <c r="E801" s="10" t="s">
        <v>168</v>
      </c>
      <c r="F801" s="12">
        <v>7</v>
      </c>
      <c r="G801" s="12">
        <v>5330</v>
      </c>
      <c r="H801" s="12">
        <v>29.7</v>
      </c>
      <c r="I801" s="12">
        <v>26228.93</v>
      </c>
      <c r="J801" s="10" t="s">
        <v>57</v>
      </c>
      <c r="K801" s="10" t="s">
        <v>58</v>
      </c>
      <c r="L801" t="str">
        <f>IFERROR(VLOOKUP(D801,Products!A:F,3,0),"")</f>
        <v>Electronics</v>
      </c>
      <c r="M801" t="str">
        <f>IFERROR(VLOOKUP(E801,Sales_Reps!A:E,3,0),"")</f>
        <v>South</v>
      </c>
      <c r="N801" t="str">
        <f>IFERROR(VLOOKUP(C801,Customers!A:F,5,0),"")</f>
        <v>SMB</v>
      </c>
      <c r="O801">
        <f>IFERROR(VLOOKUP(C801,Customers!A:F,3,0),"")</f>
        <v>53</v>
      </c>
      <c r="P801">
        <f>IFERROR(VLOOKUP(D801,Products!A:F,4,0),"")</f>
        <v>2405</v>
      </c>
      <c r="Q801" t="b">
        <f>IFERROR(VLOOKUP(D801,Products!A:F,6,0),"")</f>
        <v>1</v>
      </c>
      <c r="R801">
        <f t="shared" si="36"/>
        <v>0.54878048780487809</v>
      </c>
      <c r="S801">
        <f t="shared" si="37"/>
        <v>1</v>
      </c>
      <c r="T801">
        <f>IF(AND(S801&gt;1,COUNTIF($A$2:A801,A801)=1),1,0)</f>
        <v>0</v>
      </c>
      <c r="U801">
        <f>COUNTIF(Customers!$A$2:$A$301,C801)</f>
        <v>1</v>
      </c>
      <c r="V801">
        <f t="shared" si="38"/>
        <v>0</v>
      </c>
    </row>
    <row r="802" spans="1:22" ht="14.25" customHeight="1" x14ac:dyDescent="0.35">
      <c r="A802" s="10" t="s">
        <v>1238</v>
      </c>
      <c r="B802" s="11">
        <v>45368</v>
      </c>
      <c r="C802" s="10" t="s">
        <v>1029</v>
      </c>
      <c r="D802" s="10" t="s">
        <v>125</v>
      </c>
      <c r="E802" s="10" t="s">
        <v>310</v>
      </c>
      <c r="F802" s="12">
        <v>8</v>
      </c>
      <c r="G802" s="12">
        <v>3450</v>
      </c>
      <c r="H802" s="12">
        <v>23.7</v>
      </c>
      <c r="I802" s="12">
        <v>21058.799999999999</v>
      </c>
      <c r="J802" s="10" t="s">
        <v>51</v>
      </c>
      <c r="K802" s="10" t="s">
        <v>58</v>
      </c>
      <c r="L802" t="str">
        <f>IFERROR(VLOOKUP(D802,Products!A:F,3,0),"")</f>
        <v>Sports</v>
      </c>
      <c r="M802" t="str">
        <f>IFERROR(VLOOKUP(E802,Sales_Reps!A:E,3,0),"")</f>
        <v>South</v>
      </c>
      <c r="N802" t="str">
        <f>IFERROR(VLOOKUP(C802,Customers!A:F,5,0),"")</f>
        <v>Retail</v>
      </c>
      <c r="O802">
        <f>IFERROR(VLOOKUP(C802,Customers!A:F,3,0),"")</f>
        <v>49</v>
      </c>
      <c r="P802">
        <f>IFERROR(VLOOKUP(D802,Products!A:F,4,0),"")</f>
        <v>2467</v>
      </c>
      <c r="Q802" t="b">
        <f>IFERROR(VLOOKUP(D802,Products!A:F,6,0),"")</f>
        <v>1</v>
      </c>
      <c r="R802">
        <f t="shared" si="36"/>
        <v>0.28492753623188405</v>
      </c>
      <c r="S802">
        <f t="shared" si="37"/>
        <v>1</v>
      </c>
      <c r="T802">
        <f>IF(AND(S802&gt;1,COUNTIF($A$2:A802,A802)=1),1,0)</f>
        <v>0</v>
      </c>
      <c r="U802">
        <f>COUNTIF(Customers!$A$2:$A$301,C802)</f>
        <v>1</v>
      </c>
      <c r="V802">
        <f t="shared" si="38"/>
        <v>0</v>
      </c>
    </row>
    <row r="803" spans="1:22" ht="14.25" customHeight="1" x14ac:dyDescent="0.35">
      <c r="A803" s="10" t="s">
        <v>1239</v>
      </c>
      <c r="B803" s="11">
        <v>45316</v>
      </c>
      <c r="C803" s="10" t="s">
        <v>326</v>
      </c>
      <c r="D803" s="10" t="s">
        <v>416</v>
      </c>
      <c r="E803" s="10" t="s">
        <v>307</v>
      </c>
      <c r="F803" s="12">
        <v>8</v>
      </c>
      <c r="G803" s="12">
        <v>3450</v>
      </c>
      <c r="H803" s="12">
        <v>5.4</v>
      </c>
      <c r="I803" s="12">
        <v>26109.599999999999</v>
      </c>
      <c r="J803" s="10" t="s">
        <v>51</v>
      </c>
      <c r="K803" s="10" t="s">
        <v>58</v>
      </c>
      <c r="L803" t="str">
        <f>IFERROR(VLOOKUP(D803,Products!A:F,3,0),"")</f>
        <v>Apparel</v>
      </c>
      <c r="M803" t="str">
        <f>IFERROR(VLOOKUP(E803,Sales_Reps!A:E,3,0),"")</f>
        <v>West</v>
      </c>
      <c r="N803" t="str">
        <f>IFERROR(VLOOKUP(C803,Customers!A:F,5,0),"")</f>
        <v>Corporate</v>
      </c>
      <c r="O803">
        <f>IFERROR(VLOOKUP(C803,Customers!A:F,3,0),"")</f>
        <v>51</v>
      </c>
      <c r="P803">
        <f>IFERROR(VLOOKUP(D803,Products!A:F,4,0),"")</f>
        <v>1748</v>
      </c>
      <c r="Q803" t="b">
        <f>IFERROR(VLOOKUP(D803,Products!A:F,6,0),"")</f>
        <v>1</v>
      </c>
      <c r="R803">
        <f t="shared" si="36"/>
        <v>0.49333333333333335</v>
      </c>
      <c r="S803">
        <f t="shared" si="37"/>
        <v>1</v>
      </c>
      <c r="T803">
        <f>IF(AND(S803&gt;1,COUNTIF($A$2:A803,A803)=1),1,0)</f>
        <v>0</v>
      </c>
      <c r="U803">
        <f>COUNTIF(Customers!$A$2:$A$301,C803)</f>
        <v>1</v>
      </c>
      <c r="V803">
        <f t="shared" si="38"/>
        <v>0</v>
      </c>
    </row>
    <row r="804" spans="1:22" ht="14.25" customHeight="1" x14ac:dyDescent="0.35">
      <c r="A804" s="10" t="s">
        <v>1240</v>
      </c>
      <c r="B804" s="11">
        <v>45652</v>
      </c>
      <c r="C804" s="10" t="s">
        <v>836</v>
      </c>
      <c r="D804" s="10" t="s">
        <v>205</v>
      </c>
      <c r="E804" s="10" t="s">
        <v>193</v>
      </c>
      <c r="F804" s="12">
        <v>1</v>
      </c>
      <c r="G804" s="12">
        <v>6080</v>
      </c>
      <c r="H804" s="12">
        <v>22.3</v>
      </c>
      <c r="I804" s="12">
        <v>4724.16</v>
      </c>
      <c r="J804" s="10" t="s">
        <v>51</v>
      </c>
      <c r="K804" s="10" t="s">
        <v>76</v>
      </c>
      <c r="L804" t="str">
        <f>IFERROR(VLOOKUP(D804,Products!A:F,3,0),"")</f>
        <v>Beauty</v>
      </c>
      <c r="M804" t="str">
        <f>IFERROR(VLOOKUP(E804,Sales_Reps!A:E,3,0),"")</f>
        <v>West</v>
      </c>
      <c r="N804" t="str">
        <f>IFERROR(VLOOKUP(C804,Customers!A:F,5,0),"")</f>
        <v>Corporate</v>
      </c>
      <c r="O804">
        <f>IFERROR(VLOOKUP(C804,Customers!A:F,3,0),"")</f>
        <v>62</v>
      </c>
      <c r="P804">
        <f>IFERROR(VLOOKUP(D804,Products!A:F,4,0),"")</f>
        <v>2617</v>
      </c>
      <c r="Q804" t="b">
        <f>IFERROR(VLOOKUP(D804,Products!A:F,6,0),"")</f>
        <v>1</v>
      </c>
      <c r="R804">
        <f t="shared" si="36"/>
        <v>0.56957236842105263</v>
      </c>
      <c r="S804">
        <f t="shared" si="37"/>
        <v>1</v>
      </c>
      <c r="T804">
        <f>IF(AND(S804&gt;1,COUNTIF($A$2:A804,A804)=1),1,0)</f>
        <v>0</v>
      </c>
      <c r="U804">
        <f>COUNTIF(Customers!$A$2:$A$301,C804)</f>
        <v>1</v>
      </c>
      <c r="V804">
        <f t="shared" si="38"/>
        <v>0</v>
      </c>
    </row>
    <row r="805" spans="1:22" ht="14.25" customHeight="1" x14ac:dyDescent="0.35">
      <c r="A805" s="10" t="s">
        <v>1241</v>
      </c>
      <c r="B805" s="11">
        <v>45597</v>
      </c>
      <c r="C805" s="10" t="s">
        <v>183</v>
      </c>
      <c r="D805" s="10" t="s">
        <v>319</v>
      </c>
      <c r="E805" s="10" t="s">
        <v>237</v>
      </c>
      <c r="F805" s="12">
        <v>9</v>
      </c>
      <c r="G805" s="12">
        <v>2510</v>
      </c>
      <c r="H805" s="12">
        <v>27.4</v>
      </c>
      <c r="I805" s="12">
        <v>16400.34</v>
      </c>
      <c r="J805" s="10" t="s">
        <v>51</v>
      </c>
      <c r="K805" s="10" t="s">
        <v>63</v>
      </c>
      <c r="L805" t="str">
        <f>IFERROR(VLOOKUP(D805,Products!A:F,3,0),"")</f>
        <v>Apparel</v>
      </c>
      <c r="M805" t="str">
        <f>IFERROR(VLOOKUP(E805,Sales_Reps!A:E,3,0),"")</f>
        <v>South</v>
      </c>
      <c r="N805" t="str">
        <f>IFERROR(VLOOKUP(C805,Customers!A:F,5,0),"")</f>
        <v>SMB</v>
      </c>
      <c r="O805">
        <f>IFERROR(VLOOKUP(C805,Customers!A:F,3,0),"")</f>
        <v>50</v>
      </c>
      <c r="P805">
        <f>IFERROR(VLOOKUP(D805,Products!A:F,4,0),"")</f>
        <v>1075</v>
      </c>
      <c r="Q805" t="b">
        <f>IFERROR(VLOOKUP(D805,Products!A:F,6,0),"")</f>
        <v>0</v>
      </c>
      <c r="R805">
        <f t="shared" si="36"/>
        <v>0.57171314741035861</v>
      </c>
      <c r="S805">
        <f t="shared" si="37"/>
        <v>1</v>
      </c>
      <c r="T805">
        <f>IF(AND(S805&gt;1,COUNTIF($A$2:A805,A805)=1),1,0)</f>
        <v>0</v>
      </c>
      <c r="U805">
        <f>COUNTIF(Customers!$A$2:$A$301,C805)</f>
        <v>1</v>
      </c>
      <c r="V805">
        <f t="shared" si="38"/>
        <v>0</v>
      </c>
    </row>
    <row r="806" spans="1:22" ht="14.25" customHeight="1" x14ac:dyDescent="0.35">
      <c r="A806" s="10" t="s">
        <v>1242</v>
      </c>
      <c r="B806" s="11">
        <v>45392</v>
      </c>
      <c r="C806" s="10" t="s">
        <v>124</v>
      </c>
      <c r="D806" s="10" t="s">
        <v>146</v>
      </c>
      <c r="E806" s="10" t="s">
        <v>289</v>
      </c>
      <c r="F806" s="12">
        <v>10</v>
      </c>
      <c r="G806" s="12">
        <v>1010</v>
      </c>
      <c r="H806" s="12">
        <v>28.4</v>
      </c>
      <c r="I806" s="12">
        <v>7231.6</v>
      </c>
      <c r="J806" s="10" t="s">
        <v>51</v>
      </c>
      <c r="K806" s="10" t="s">
        <v>76</v>
      </c>
      <c r="L806" t="str">
        <f>IFERROR(VLOOKUP(D806,Products!A:F,3,0),"")</f>
        <v>Sports</v>
      </c>
      <c r="M806" t="str">
        <f>IFERROR(VLOOKUP(E806,Sales_Reps!A:E,3,0),"")</f>
        <v>South</v>
      </c>
      <c r="N806" t="str">
        <f>IFERROR(VLOOKUP(C806,Customers!A:F,5,0),"")</f>
        <v>Retail</v>
      </c>
      <c r="O806">
        <f>IFERROR(VLOOKUP(C806,Customers!A:F,3,0),"")</f>
        <v>54</v>
      </c>
      <c r="P806">
        <f>IFERROR(VLOOKUP(D806,Products!A:F,4,0),"")</f>
        <v>516</v>
      </c>
      <c r="Q806" t="b">
        <f>IFERROR(VLOOKUP(D806,Products!A:F,6,0),"")</f>
        <v>1</v>
      </c>
      <c r="R806">
        <f t="shared" si="36"/>
        <v>0.4891089108910891</v>
      </c>
      <c r="S806">
        <f t="shared" si="37"/>
        <v>1</v>
      </c>
      <c r="T806">
        <f>IF(AND(S806&gt;1,COUNTIF($A$2:A806,A806)=1),1,0)</f>
        <v>0</v>
      </c>
      <c r="U806">
        <f>COUNTIF(Customers!$A$2:$A$301,C806)</f>
        <v>1</v>
      </c>
      <c r="V806">
        <f t="shared" si="38"/>
        <v>0</v>
      </c>
    </row>
    <row r="807" spans="1:22" ht="14.25" customHeight="1" x14ac:dyDescent="0.35">
      <c r="A807" s="10" t="s">
        <v>1243</v>
      </c>
      <c r="B807" s="11">
        <v>45401</v>
      </c>
      <c r="C807" s="10" t="s">
        <v>1015</v>
      </c>
      <c r="D807" s="10" t="s">
        <v>623</v>
      </c>
      <c r="E807" s="10" t="s">
        <v>118</v>
      </c>
      <c r="F807" s="12">
        <v>1</v>
      </c>
      <c r="G807" s="12">
        <v>3560</v>
      </c>
      <c r="H807" s="12">
        <v>26</v>
      </c>
      <c r="I807" s="12">
        <v>2634.4</v>
      </c>
      <c r="J807" s="10" t="s">
        <v>51</v>
      </c>
      <c r="K807" s="10" t="s">
        <v>76</v>
      </c>
      <c r="L807" t="str">
        <f>IFERROR(VLOOKUP(D807,Products!A:F,3,0),"")</f>
        <v>Apparel</v>
      </c>
      <c r="M807" t="str">
        <f>IFERROR(VLOOKUP(E807,Sales_Reps!A:E,3,0),"")</f>
        <v>East</v>
      </c>
      <c r="N807" t="str">
        <f>IFERROR(VLOOKUP(C807,Customers!A:F,5,0),"")</f>
        <v>Retail</v>
      </c>
      <c r="O807">
        <f>IFERROR(VLOOKUP(C807,Customers!A:F,3,0),"")</f>
        <v>54</v>
      </c>
      <c r="P807">
        <f>IFERROR(VLOOKUP(D807,Products!A:F,4,0),"")</f>
        <v>2629</v>
      </c>
      <c r="Q807" t="b">
        <f>IFERROR(VLOOKUP(D807,Products!A:F,6,0),"")</f>
        <v>1</v>
      </c>
      <c r="R807">
        <f t="shared" si="36"/>
        <v>0.26151685393258428</v>
      </c>
      <c r="S807">
        <f t="shared" si="37"/>
        <v>1</v>
      </c>
      <c r="T807">
        <f>IF(AND(S807&gt;1,COUNTIF($A$2:A807,A807)=1),1,0)</f>
        <v>0</v>
      </c>
      <c r="U807">
        <f>COUNTIF(Customers!$A$2:$A$301,C807)</f>
        <v>1</v>
      </c>
      <c r="V807">
        <f t="shared" si="38"/>
        <v>0</v>
      </c>
    </row>
    <row r="808" spans="1:22" ht="14.25" customHeight="1" x14ac:dyDescent="0.35">
      <c r="A808" s="10" t="s">
        <v>1244</v>
      </c>
      <c r="B808" s="11">
        <v>45397</v>
      </c>
      <c r="C808" s="10" t="s">
        <v>418</v>
      </c>
      <c r="D808" s="10" t="s">
        <v>240</v>
      </c>
      <c r="E808" s="10" t="s">
        <v>67</v>
      </c>
      <c r="F808" s="12">
        <v>8</v>
      </c>
      <c r="G808" s="12">
        <v>3020</v>
      </c>
      <c r="H808" s="12">
        <v>6.9</v>
      </c>
      <c r="I808" s="12">
        <v>22492.959999999999</v>
      </c>
      <c r="J808" s="10" t="s">
        <v>51</v>
      </c>
      <c r="K808" s="10" t="s">
        <v>97</v>
      </c>
      <c r="L808" t="str">
        <f>IFERROR(VLOOKUP(D808,Products!A:F,3,0),"")</f>
        <v>Beauty</v>
      </c>
      <c r="M808" t="str">
        <f>IFERROR(VLOOKUP(E808,Sales_Reps!A:E,3,0),"")</f>
        <v>North</v>
      </c>
      <c r="N808" t="str">
        <f>IFERROR(VLOOKUP(C808,Customers!A:F,5,0),"")</f>
        <v>Corporate</v>
      </c>
      <c r="O808">
        <f>IFERROR(VLOOKUP(C808,Customers!A:F,3,0),"")</f>
        <v>43</v>
      </c>
      <c r="P808">
        <f>IFERROR(VLOOKUP(D808,Products!A:F,4,0),"")</f>
        <v>1626</v>
      </c>
      <c r="Q808" t="b">
        <f>IFERROR(VLOOKUP(D808,Products!A:F,6,0),"")</f>
        <v>1</v>
      </c>
      <c r="R808">
        <f t="shared" si="36"/>
        <v>0.46158940397350995</v>
      </c>
      <c r="S808">
        <f t="shared" si="37"/>
        <v>1</v>
      </c>
      <c r="T808">
        <f>IF(AND(S808&gt;1,COUNTIF($A$2:A808,A808)=1),1,0)</f>
        <v>0</v>
      </c>
      <c r="U808">
        <f>COUNTIF(Customers!$A$2:$A$301,C808)</f>
        <v>1</v>
      </c>
      <c r="V808">
        <f t="shared" si="38"/>
        <v>0</v>
      </c>
    </row>
    <row r="809" spans="1:22" ht="14.25" customHeight="1" x14ac:dyDescent="0.35">
      <c r="A809" s="10" t="s">
        <v>1245</v>
      </c>
      <c r="B809" s="11">
        <v>45301</v>
      </c>
      <c r="C809" s="10" t="s">
        <v>549</v>
      </c>
      <c r="D809" s="10" t="s">
        <v>228</v>
      </c>
      <c r="E809" s="10" t="s">
        <v>202</v>
      </c>
      <c r="F809" s="12">
        <v>1</v>
      </c>
      <c r="G809" s="12">
        <v>4070</v>
      </c>
      <c r="H809" s="12">
        <v>8.1999999999999993</v>
      </c>
      <c r="I809" s="12">
        <v>3736.26</v>
      </c>
      <c r="J809" s="10" t="s">
        <v>51</v>
      </c>
      <c r="K809" s="10" t="s">
        <v>58</v>
      </c>
      <c r="L809" t="str">
        <f>IFERROR(VLOOKUP(D809,Products!A:F,3,0),"")</f>
        <v>Grocery</v>
      </c>
      <c r="M809" t="str">
        <f>IFERROR(VLOOKUP(E809,Sales_Reps!A:E,3,0),"")</f>
        <v>East</v>
      </c>
      <c r="N809" t="str">
        <f>IFERROR(VLOOKUP(C809,Customers!A:F,5,0),"")</f>
        <v>Retail</v>
      </c>
      <c r="O809">
        <f>IFERROR(VLOOKUP(C809,Customers!A:F,3,0),"")</f>
        <v>26</v>
      </c>
      <c r="P809">
        <f>IFERROR(VLOOKUP(D809,Products!A:F,4,0),"")</f>
        <v>2027</v>
      </c>
      <c r="Q809" t="b">
        <f>IFERROR(VLOOKUP(D809,Products!A:F,6,0),"")</f>
        <v>1</v>
      </c>
      <c r="R809">
        <f t="shared" si="36"/>
        <v>0.50196560196560192</v>
      </c>
      <c r="S809">
        <f t="shared" si="37"/>
        <v>1</v>
      </c>
      <c r="T809">
        <f>IF(AND(S809&gt;1,COUNTIF($A$2:A809,A809)=1),1,0)</f>
        <v>0</v>
      </c>
      <c r="U809">
        <f>COUNTIF(Customers!$A$2:$A$301,C809)</f>
        <v>1</v>
      </c>
      <c r="V809">
        <f t="shared" si="38"/>
        <v>0</v>
      </c>
    </row>
    <row r="810" spans="1:22" ht="14.25" customHeight="1" x14ac:dyDescent="0.35">
      <c r="A810" s="10" t="s">
        <v>1246</v>
      </c>
      <c r="B810" s="11">
        <v>45347</v>
      </c>
      <c r="C810" s="10" t="s">
        <v>1198</v>
      </c>
      <c r="D810" s="10" t="s">
        <v>74</v>
      </c>
      <c r="E810" s="10" t="s">
        <v>156</v>
      </c>
      <c r="F810" s="12">
        <v>9</v>
      </c>
      <c r="G810" s="12">
        <v>370</v>
      </c>
      <c r="H810" s="12">
        <v>19.8</v>
      </c>
      <c r="I810" s="12">
        <v>2670.66</v>
      </c>
      <c r="J810" s="10" t="s">
        <v>51</v>
      </c>
      <c r="K810" s="10" t="s">
        <v>76</v>
      </c>
      <c r="L810" t="str">
        <f>IFERROR(VLOOKUP(D810,Products!A:F,3,0),"")</f>
        <v>Home</v>
      </c>
      <c r="M810" t="str">
        <f>IFERROR(VLOOKUP(E810,Sales_Reps!A:E,3,0),"")</f>
        <v>East</v>
      </c>
      <c r="N810" t="str">
        <f>IFERROR(VLOOKUP(C810,Customers!A:F,5,0),"")</f>
        <v>Retail</v>
      </c>
      <c r="O810">
        <f>IFERROR(VLOOKUP(C810,Customers!A:F,3,0),"")</f>
        <v>29</v>
      </c>
      <c r="P810">
        <f>IFERROR(VLOOKUP(D810,Products!A:F,4,0),"")</f>
        <v>288</v>
      </c>
      <c r="Q810" t="b">
        <f>IFERROR(VLOOKUP(D810,Products!A:F,6,0),"")</f>
        <v>1</v>
      </c>
      <c r="R810">
        <f t="shared" si="36"/>
        <v>0.22162162162162163</v>
      </c>
      <c r="S810">
        <f t="shared" si="37"/>
        <v>1</v>
      </c>
      <c r="T810">
        <f>IF(AND(S810&gt;1,COUNTIF($A$2:A810,A810)=1),1,0)</f>
        <v>0</v>
      </c>
      <c r="U810">
        <f>COUNTIF(Customers!$A$2:$A$301,C810)</f>
        <v>1</v>
      </c>
      <c r="V810">
        <f t="shared" si="38"/>
        <v>0</v>
      </c>
    </row>
    <row r="811" spans="1:22" ht="14.25" customHeight="1" x14ac:dyDescent="0.35">
      <c r="A811" s="10" t="s">
        <v>1247</v>
      </c>
      <c r="B811" s="11">
        <v>45544</v>
      </c>
      <c r="C811" s="10" t="s">
        <v>847</v>
      </c>
      <c r="D811" s="10" t="s">
        <v>91</v>
      </c>
      <c r="E811" s="10" t="s">
        <v>156</v>
      </c>
      <c r="F811" s="12">
        <v>6</v>
      </c>
      <c r="G811" s="12">
        <v>970</v>
      </c>
      <c r="H811" s="12">
        <v>16.2</v>
      </c>
      <c r="I811" s="12">
        <v>4877.16</v>
      </c>
      <c r="J811" s="10" t="s">
        <v>51</v>
      </c>
      <c r="K811" s="10" t="s">
        <v>97</v>
      </c>
      <c r="L811" t="str">
        <f>IFERROR(VLOOKUP(D811,Products!A:F,3,0),"")</f>
        <v>Grocery</v>
      </c>
      <c r="M811" t="str">
        <f>IFERROR(VLOOKUP(E811,Sales_Reps!A:E,3,0),"")</f>
        <v>East</v>
      </c>
      <c r="N811" t="str">
        <f>IFERROR(VLOOKUP(C811,Customers!A:F,5,0),"")</f>
        <v>SMB</v>
      </c>
      <c r="O811">
        <f>IFERROR(VLOOKUP(C811,Customers!A:F,3,0),"")</f>
        <v>28</v>
      </c>
      <c r="P811">
        <f>IFERROR(VLOOKUP(D811,Products!A:F,4,0),"")</f>
        <v>434</v>
      </c>
      <c r="Q811" t="b">
        <f>IFERROR(VLOOKUP(D811,Products!A:F,6,0),"")</f>
        <v>1</v>
      </c>
      <c r="R811">
        <f t="shared" si="36"/>
        <v>0.5525773195876289</v>
      </c>
      <c r="S811">
        <f t="shared" si="37"/>
        <v>1</v>
      </c>
      <c r="T811">
        <f>IF(AND(S811&gt;1,COUNTIF($A$2:A811,A811)=1),1,0)</f>
        <v>0</v>
      </c>
      <c r="U811">
        <f>COUNTIF(Customers!$A$2:$A$301,C811)</f>
        <v>1</v>
      </c>
      <c r="V811">
        <f t="shared" si="38"/>
        <v>0</v>
      </c>
    </row>
    <row r="812" spans="1:22" ht="14.25" customHeight="1" x14ac:dyDescent="0.35">
      <c r="A812" s="10" t="s">
        <v>1248</v>
      </c>
      <c r="B812" s="11">
        <v>45633</v>
      </c>
      <c r="C812" s="10" t="s">
        <v>280</v>
      </c>
      <c r="D812" s="10" t="s">
        <v>137</v>
      </c>
      <c r="E812" s="10" t="s">
        <v>85</v>
      </c>
      <c r="F812" s="12">
        <v>10</v>
      </c>
      <c r="G812" s="12">
        <v>2720</v>
      </c>
      <c r="H812" s="12">
        <v>3</v>
      </c>
      <c r="I812" s="12">
        <v>26384</v>
      </c>
      <c r="J812" s="10" t="s">
        <v>57</v>
      </c>
      <c r="K812" s="10" t="s">
        <v>52</v>
      </c>
      <c r="L812" t="str">
        <f>IFERROR(VLOOKUP(D812,Products!A:F,3,0),"")</f>
        <v>Apparel</v>
      </c>
      <c r="M812" t="str">
        <f>IFERROR(VLOOKUP(E812,Sales_Reps!A:E,3,0),"")</f>
        <v>East</v>
      </c>
      <c r="N812" t="str">
        <f>IFERROR(VLOOKUP(C812,Customers!A:F,5,0),"")</f>
        <v>SMB</v>
      </c>
      <c r="O812">
        <f>IFERROR(VLOOKUP(C812,Customers!A:F,3,0),"")</f>
        <v>60</v>
      </c>
      <c r="P812">
        <f>IFERROR(VLOOKUP(D812,Products!A:F,4,0),"")</f>
        <v>1962</v>
      </c>
      <c r="Q812" t="b">
        <f>IFERROR(VLOOKUP(D812,Products!A:F,6,0),"")</f>
        <v>1</v>
      </c>
      <c r="R812">
        <f t="shared" si="36"/>
        <v>0.2786764705882353</v>
      </c>
      <c r="S812">
        <f t="shared" si="37"/>
        <v>1</v>
      </c>
      <c r="T812">
        <f>IF(AND(S812&gt;1,COUNTIF($A$2:A812,A812)=1),1,0)</f>
        <v>0</v>
      </c>
      <c r="U812">
        <f>COUNTIF(Customers!$A$2:$A$301,C812)</f>
        <v>1</v>
      </c>
      <c r="V812">
        <f t="shared" si="38"/>
        <v>0</v>
      </c>
    </row>
    <row r="813" spans="1:22" ht="14.25" customHeight="1" x14ac:dyDescent="0.35">
      <c r="A813" s="10" t="s">
        <v>1249</v>
      </c>
      <c r="B813" s="11">
        <v>45293</v>
      </c>
      <c r="C813" s="10" t="s">
        <v>721</v>
      </c>
      <c r="D813" s="10" t="s">
        <v>115</v>
      </c>
      <c r="E813" s="10" t="s">
        <v>62</v>
      </c>
      <c r="F813" s="12">
        <v>7</v>
      </c>
      <c r="G813" s="12">
        <v>2400</v>
      </c>
      <c r="H813" s="12">
        <v>29.4</v>
      </c>
      <c r="I813" s="12">
        <v>11860.8</v>
      </c>
      <c r="J813" s="10" t="s">
        <v>51</v>
      </c>
      <c r="K813" s="10" t="s">
        <v>81</v>
      </c>
      <c r="L813" t="str">
        <f>IFERROR(VLOOKUP(D813,Products!A:F,3,0),"")</f>
        <v>Sports</v>
      </c>
      <c r="M813" t="str">
        <f>IFERROR(VLOOKUP(E813,Sales_Reps!A:E,3,0),"")</f>
        <v>South</v>
      </c>
      <c r="N813" t="str">
        <f>IFERROR(VLOOKUP(C813,Customers!A:F,5,0),"")</f>
        <v>Corporate</v>
      </c>
      <c r="O813">
        <f>IFERROR(VLOOKUP(C813,Customers!A:F,3,0),"")</f>
        <v>43</v>
      </c>
      <c r="P813">
        <f>IFERROR(VLOOKUP(D813,Products!A:F,4,0),"")</f>
        <v>974</v>
      </c>
      <c r="Q813" t="b">
        <f>IFERROR(VLOOKUP(D813,Products!A:F,6,0),"")</f>
        <v>1</v>
      </c>
      <c r="R813">
        <f t="shared" si="36"/>
        <v>0.59416666666666662</v>
      </c>
      <c r="S813">
        <f t="shared" si="37"/>
        <v>1</v>
      </c>
      <c r="T813">
        <f>IF(AND(S813&gt;1,COUNTIF($A$2:A813,A813)=1),1,0)</f>
        <v>0</v>
      </c>
      <c r="U813">
        <f>COUNTIF(Customers!$A$2:$A$301,C813)</f>
        <v>1</v>
      </c>
      <c r="V813">
        <f t="shared" si="38"/>
        <v>0</v>
      </c>
    </row>
    <row r="814" spans="1:22" ht="14.25" customHeight="1" x14ac:dyDescent="0.35">
      <c r="A814" s="10" t="s">
        <v>1250</v>
      </c>
      <c r="B814" s="11">
        <v>45564</v>
      </c>
      <c r="C814" s="10" t="s">
        <v>406</v>
      </c>
      <c r="D814" s="10" t="s">
        <v>623</v>
      </c>
      <c r="E814" s="10" t="s">
        <v>289</v>
      </c>
      <c r="F814" s="12">
        <v>8</v>
      </c>
      <c r="G814" s="12">
        <v>3560</v>
      </c>
      <c r="H814" s="12">
        <v>21.7</v>
      </c>
      <c r="I814" s="12">
        <v>22299.84</v>
      </c>
      <c r="J814" s="10" t="s">
        <v>51</v>
      </c>
      <c r="K814" s="10" t="s">
        <v>52</v>
      </c>
      <c r="L814" t="str">
        <f>IFERROR(VLOOKUP(D814,Products!A:F,3,0),"")</f>
        <v>Apparel</v>
      </c>
      <c r="M814" t="str">
        <f>IFERROR(VLOOKUP(E814,Sales_Reps!A:E,3,0),"")</f>
        <v>South</v>
      </c>
      <c r="N814" t="str">
        <f>IFERROR(VLOOKUP(C814,Customers!A:F,5,0),"")</f>
        <v>Retail</v>
      </c>
      <c r="O814">
        <f>IFERROR(VLOOKUP(C814,Customers!A:F,3,0),"")</f>
        <v>65</v>
      </c>
      <c r="P814">
        <f>IFERROR(VLOOKUP(D814,Products!A:F,4,0),"")</f>
        <v>2629</v>
      </c>
      <c r="Q814" t="b">
        <f>IFERROR(VLOOKUP(D814,Products!A:F,6,0),"")</f>
        <v>1</v>
      </c>
      <c r="R814">
        <f t="shared" si="36"/>
        <v>0.26151685393258428</v>
      </c>
      <c r="S814">
        <f t="shared" si="37"/>
        <v>1</v>
      </c>
      <c r="T814">
        <f>IF(AND(S814&gt;1,COUNTIF($A$2:A814,A814)=1),1,0)</f>
        <v>0</v>
      </c>
      <c r="U814">
        <f>COUNTIF(Customers!$A$2:$A$301,C814)</f>
        <v>1</v>
      </c>
      <c r="V814">
        <f t="shared" si="38"/>
        <v>0</v>
      </c>
    </row>
    <row r="815" spans="1:22" ht="14.25" customHeight="1" x14ac:dyDescent="0.35">
      <c r="A815" s="10" t="s">
        <v>1251</v>
      </c>
      <c r="B815" s="11">
        <v>45385</v>
      </c>
      <c r="C815" s="10" t="s">
        <v>745</v>
      </c>
      <c r="D815" s="10" t="s">
        <v>228</v>
      </c>
      <c r="E815" s="10" t="s">
        <v>152</v>
      </c>
      <c r="F815" s="12">
        <v>7</v>
      </c>
      <c r="G815" s="12">
        <v>4070</v>
      </c>
      <c r="H815" s="12">
        <v>10.5</v>
      </c>
      <c r="I815" s="12">
        <v>25498.55</v>
      </c>
      <c r="J815" s="10" t="s">
        <v>51</v>
      </c>
      <c r="K815" s="10" t="s">
        <v>63</v>
      </c>
      <c r="L815" t="str">
        <f>IFERROR(VLOOKUP(D815,Products!A:F,3,0),"")</f>
        <v>Grocery</v>
      </c>
      <c r="M815" t="str">
        <f>IFERROR(VLOOKUP(E815,Sales_Reps!A:E,3,0),"")</f>
        <v>South</v>
      </c>
      <c r="N815" t="str">
        <f>IFERROR(VLOOKUP(C815,Customers!A:F,5,0),"")</f>
        <v>SMB</v>
      </c>
      <c r="O815">
        <f>IFERROR(VLOOKUP(C815,Customers!A:F,3,0),"")</f>
        <v>29</v>
      </c>
      <c r="P815">
        <f>IFERROR(VLOOKUP(D815,Products!A:F,4,0),"")</f>
        <v>2027</v>
      </c>
      <c r="Q815" t="b">
        <f>IFERROR(VLOOKUP(D815,Products!A:F,6,0),"")</f>
        <v>1</v>
      </c>
      <c r="R815">
        <f t="shared" si="36"/>
        <v>0.50196560196560192</v>
      </c>
      <c r="S815">
        <f t="shared" si="37"/>
        <v>1</v>
      </c>
      <c r="T815">
        <f>IF(AND(S815&gt;1,COUNTIF($A$2:A815,A815)=1),1,0)</f>
        <v>0</v>
      </c>
      <c r="U815">
        <f>COUNTIF(Customers!$A$2:$A$301,C815)</f>
        <v>1</v>
      </c>
      <c r="V815">
        <f t="shared" si="38"/>
        <v>0</v>
      </c>
    </row>
    <row r="816" spans="1:22" ht="14.25" customHeight="1" x14ac:dyDescent="0.35">
      <c r="A816" s="10" t="s">
        <v>1252</v>
      </c>
      <c r="B816" s="11">
        <v>45299</v>
      </c>
      <c r="C816" s="10" t="s">
        <v>579</v>
      </c>
      <c r="D816" s="10" t="s">
        <v>324</v>
      </c>
      <c r="E816" s="10" t="s">
        <v>71</v>
      </c>
      <c r="F816" s="12">
        <v>3</v>
      </c>
      <c r="G816" s="12">
        <v>5410</v>
      </c>
      <c r="H816" s="12">
        <v>0.2</v>
      </c>
      <c r="I816" s="12">
        <v>16197.54</v>
      </c>
      <c r="J816" s="10" t="s">
        <v>51</v>
      </c>
      <c r="K816" s="10" t="s">
        <v>76</v>
      </c>
      <c r="L816" t="str">
        <f>IFERROR(VLOOKUP(D816,Products!A:F,3,0),"")</f>
        <v>Sports</v>
      </c>
      <c r="M816" t="str">
        <f>IFERROR(VLOOKUP(E816,Sales_Reps!A:E,3,0),"")</f>
        <v>North</v>
      </c>
      <c r="N816" t="str">
        <f>IFERROR(VLOOKUP(C816,Customers!A:F,5,0),"")</f>
        <v>Retail</v>
      </c>
      <c r="O816">
        <f>IFERROR(VLOOKUP(C816,Customers!A:F,3,0),"")</f>
        <v>53</v>
      </c>
      <c r="P816">
        <f>IFERROR(VLOOKUP(D816,Products!A:F,4,0),"")</f>
        <v>2265</v>
      </c>
      <c r="Q816" t="b">
        <f>IFERROR(VLOOKUP(D816,Products!A:F,6,0),"")</f>
        <v>1</v>
      </c>
      <c r="R816">
        <f t="shared" si="36"/>
        <v>0.58133086876155271</v>
      </c>
      <c r="S816">
        <f t="shared" si="37"/>
        <v>2</v>
      </c>
      <c r="T816">
        <f>IF(AND(S816&gt;1,COUNTIF($A$2:A816,A816)=1),1,0)</f>
        <v>1</v>
      </c>
      <c r="U816">
        <f>COUNTIF(Customers!$A$2:$A$301,C816)</f>
        <v>1</v>
      </c>
      <c r="V816">
        <f t="shared" si="38"/>
        <v>0</v>
      </c>
    </row>
    <row r="817" spans="1:22" ht="14.25" customHeight="1" x14ac:dyDescent="0.35">
      <c r="A817" s="10" t="s">
        <v>1253</v>
      </c>
      <c r="B817" s="11">
        <v>45651</v>
      </c>
      <c r="C817" s="10" t="s">
        <v>497</v>
      </c>
      <c r="D817" s="10" t="s">
        <v>164</v>
      </c>
      <c r="E817" s="10" t="s">
        <v>92</v>
      </c>
      <c r="F817" s="12">
        <v>4</v>
      </c>
      <c r="G817" s="12">
        <v>2760</v>
      </c>
      <c r="H817" s="12">
        <v>27.5</v>
      </c>
      <c r="I817" s="12">
        <v>8004</v>
      </c>
      <c r="J817" s="10" t="s">
        <v>104</v>
      </c>
      <c r="K817" s="10" t="s">
        <v>63</v>
      </c>
      <c r="L817" t="str">
        <f>IFERROR(VLOOKUP(D817,Products!A:F,3,0),"")</f>
        <v>Grocery</v>
      </c>
      <c r="M817" t="str">
        <f>IFERROR(VLOOKUP(E817,Sales_Reps!A:E,3,0),"")</f>
        <v>West</v>
      </c>
      <c r="N817" t="str">
        <f>IFERROR(VLOOKUP(C817,Customers!A:F,5,0),"")</f>
        <v>SMB</v>
      </c>
      <c r="O817">
        <f>IFERROR(VLOOKUP(C817,Customers!A:F,3,0),"")</f>
        <v>48</v>
      </c>
      <c r="P817">
        <f>IFERROR(VLOOKUP(D817,Products!A:F,4,0),"")</f>
        <v>1435</v>
      </c>
      <c r="Q817" t="b">
        <f>IFERROR(VLOOKUP(D817,Products!A:F,6,0),"")</f>
        <v>1</v>
      </c>
      <c r="R817">
        <f t="shared" si="36"/>
        <v>0.48007246376811596</v>
      </c>
      <c r="S817">
        <f t="shared" si="37"/>
        <v>1</v>
      </c>
      <c r="T817">
        <f>IF(AND(S817&gt;1,COUNTIF($A$2:A817,A817)=1),1,0)</f>
        <v>0</v>
      </c>
      <c r="U817">
        <f>COUNTIF(Customers!$A$2:$A$301,C817)</f>
        <v>1</v>
      </c>
      <c r="V817">
        <f t="shared" si="38"/>
        <v>0</v>
      </c>
    </row>
    <row r="818" spans="1:22" ht="14.25" customHeight="1" x14ac:dyDescent="0.35">
      <c r="A818" s="10" t="s">
        <v>1254</v>
      </c>
      <c r="B818" s="11">
        <v>45474</v>
      </c>
      <c r="C818" s="10" t="s">
        <v>421</v>
      </c>
      <c r="D818" s="10" t="s">
        <v>407</v>
      </c>
      <c r="E818" s="10" t="s">
        <v>216</v>
      </c>
      <c r="F818" s="12">
        <v>3</v>
      </c>
      <c r="G818" s="12">
        <v>5080</v>
      </c>
      <c r="H818" s="12">
        <v>27.2</v>
      </c>
      <c r="I818" s="12">
        <v>11094.72</v>
      </c>
      <c r="J818" s="10" t="s">
        <v>51</v>
      </c>
      <c r="K818" s="10" t="s">
        <v>52</v>
      </c>
      <c r="L818" t="str">
        <f>IFERROR(VLOOKUP(D818,Products!A:F,3,0),"")</f>
        <v>Home</v>
      </c>
      <c r="M818" t="str">
        <f>IFERROR(VLOOKUP(E818,Sales_Reps!A:E,3,0),"")</f>
        <v>South</v>
      </c>
      <c r="N818" t="str">
        <f>IFERROR(VLOOKUP(C818,Customers!A:F,5,0),"")</f>
        <v>Retail</v>
      </c>
      <c r="O818">
        <f>IFERROR(VLOOKUP(C818,Customers!A:F,3,0),"")</f>
        <v>29</v>
      </c>
      <c r="P818">
        <f>IFERROR(VLOOKUP(D818,Products!A:F,4,0),"")</f>
        <v>2459</v>
      </c>
      <c r="Q818" t="b">
        <f>IFERROR(VLOOKUP(D818,Products!A:F,6,0),"")</f>
        <v>1</v>
      </c>
      <c r="R818">
        <f t="shared" si="36"/>
        <v>0.51594488188976373</v>
      </c>
      <c r="S818">
        <f t="shared" si="37"/>
        <v>2</v>
      </c>
      <c r="T818">
        <f>IF(AND(S818&gt;1,COUNTIF($A$2:A818,A818)=1),1,0)</f>
        <v>1</v>
      </c>
      <c r="U818">
        <f>COUNTIF(Customers!$A$2:$A$301,C818)</f>
        <v>1</v>
      </c>
      <c r="V818">
        <f t="shared" si="38"/>
        <v>0</v>
      </c>
    </row>
    <row r="819" spans="1:22" ht="14.25" customHeight="1" x14ac:dyDescent="0.35">
      <c r="A819" s="10" t="s">
        <v>1255</v>
      </c>
      <c r="B819" s="11">
        <v>45391</v>
      </c>
      <c r="C819" s="10" t="s">
        <v>1136</v>
      </c>
      <c r="D819" s="10" t="s">
        <v>466</v>
      </c>
      <c r="E819" s="10" t="s">
        <v>202</v>
      </c>
      <c r="F819" s="12">
        <v>5</v>
      </c>
      <c r="G819" s="12">
        <v>1090</v>
      </c>
      <c r="H819" s="12">
        <v>3.3</v>
      </c>
      <c r="I819" s="12">
        <v>5270.15</v>
      </c>
      <c r="J819" s="10" t="s">
        <v>51</v>
      </c>
      <c r="K819" s="10" t="s">
        <v>52</v>
      </c>
      <c r="L819" t="str">
        <f>IFERROR(VLOOKUP(D819,Products!A:F,3,0),"")</f>
        <v>Home</v>
      </c>
      <c r="M819" t="str">
        <f>IFERROR(VLOOKUP(E819,Sales_Reps!A:E,3,0),"")</f>
        <v>East</v>
      </c>
      <c r="N819" t="str">
        <f>IFERROR(VLOOKUP(C819,Customers!A:F,5,0),"")</f>
        <v>Retail</v>
      </c>
      <c r="O819">
        <f>IFERROR(VLOOKUP(C819,Customers!A:F,3,0),"")</f>
        <v>39</v>
      </c>
      <c r="P819">
        <f>IFERROR(VLOOKUP(D819,Products!A:F,4,0),"")</f>
        <v>464</v>
      </c>
      <c r="Q819" t="b">
        <f>IFERROR(VLOOKUP(D819,Products!A:F,6,0),"")</f>
        <v>1</v>
      </c>
      <c r="R819">
        <f t="shared" si="36"/>
        <v>0.57431192660550456</v>
      </c>
      <c r="S819">
        <f t="shared" si="37"/>
        <v>1</v>
      </c>
      <c r="T819">
        <f>IF(AND(S819&gt;1,COUNTIF($A$2:A819,A819)=1),1,0)</f>
        <v>0</v>
      </c>
      <c r="U819">
        <f>COUNTIF(Customers!$A$2:$A$301,C819)</f>
        <v>1</v>
      </c>
      <c r="V819">
        <f t="shared" si="38"/>
        <v>0</v>
      </c>
    </row>
    <row r="820" spans="1:22" ht="14.25" customHeight="1" x14ac:dyDescent="0.35">
      <c r="A820" s="10" t="s">
        <v>1256</v>
      </c>
      <c r="B820" s="11">
        <v>45328</v>
      </c>
      <c r="C820" s="10" t="s">
        <v>805</v>
      </c>
      <c r="D820" s="10" t="s">
        <v>331</v>
      </c>
      <c r="E820" s="10" t="s">
        <v>193</v>
      </c>
      <c r="F820" s="12">
        <v>10</v>
      </c>
      <c r="G820" s="12">
        <v>2380</v>
      </c>
      <c r="H820" s="12">
        <v>7</v>
      </c>
      <c r="I820" s="12">
        <v>22134</v>
      </c>
      <c r="J820" s="10" t="s">
        <v>51</v>
      </c>
      <c r="K820" s="10" t="s">
        <v>81</v>
      </c>
      <c r="L820" t="str">
        <f>IFERROR(VLOOKUP(D820,Products!A:F,3,0),"")</f>
        <v>Grocery</v>
      </c>
      <c r="M820" t="str">
        <f>IFERROR(VLOOKUP(E820,Sales_Reps!A:E,3,0),"")</f>
        <v>West</v>
      </c>
      <c r="N820" t="str">
        <f>IFERROR(VLOOKUP(C820,Customers!A:F,5,0),"")</f>
        <v>Corporate</v>
      </c>
      <c r="O820">
        <f>IFERROR(VLOOKUP(C820,Customers!A:F,3,0),"")</f>
        <v>41</v>
      </c>
      <c r="P820">
        <f>IFERROR(VLOOKUP(D820,Products!A:F,4,0),"")</f>
        <v>1182</v>
      </c>
      <c r="Q820" t="b">
        <f>IFERROR(VLOOKUP(D820,Products!A:F,6,0),"")</f>
        <v>1</v>
      </c>
      <c r="R820">
        <f t="shared" si="36"/>
        <v>0.50336134453781511</v>
      </c>
      <c r="S820">
        <f t="shared" si="37"/>
        <v>1</v>
      </c>
      <c r="T820">
        <f>IF(AND(S820&gt;1,COUNTIF($A$2:A820,A820)=1),1,0)</f>
        <v>0</v>
      </c>
      <c r="U820">
        <f>COUNTIF(Customers!$A$2:$A$301,C820)</f>
        <v>1</v>
      </c>
      <c r="V820">
        <f t="shared" si="38"/>
        <v>22134</v>
      </c>
    </row>
    <row r="821" spans="1:22" ht="14.25" customHeight="1" x14ac:dyDescent="0.35">
      <c r="A821" s="10" t="s">
        <v>1257</v>
      </c>
      <c r="B821" s="11">
        <v>45490</v>
      </c>
      <c r="C821" s="10" t="s">
        <v>1258</v>
      </c>
      <c r="D821" s="10" t="s">
        <v>70</v>
      </c>
      <c r="E821" s="10" t="s">
        <v>165</v>
      </c>
      <c r="F821" s="12">
        <v>5</v>
      </c>
      <c r="G821" s="12">
        <v>3160</v>
      </c>
      <c r="H821" s="12">
        <v>25.6</v>
      </c>
      <c r="I821" s="12">
        <v>11755.2</v>
      </c>
      <c r="J821" s="10" t="s">
        <v>51</v>
      </c>
      <c r="K821" s="10" t="s">
        <v>58</v>
      </c>
      <c r="L821" t="str">
        <f>IFERROR(VLOOKUP(D821,Products!A:F,3,0),"")</f>
        <v>Apparel</v>
      </c>
      <c r="M821" t="str">
        <f>IFERROR(VLOOKUP(E821,Sales_Reps!A:E,3,0),"")</f>
        <v>West</v>
      </c>
      <c r="N821" t="str">
        <f>IFERROR(VLOOKUP(C821,Customers!A:F,5,0),"")</f>
        <v>SMB</v>
      </c>
      <c r="O821">
        <f>IFERROR(VLOOKUP(C821,Customers!A:F,3,0),"")</f>
        <v>43</v>
      </c>
      <c r="P821">
        <f>IFERROR(VLOOKUP(D821,Products!A:F,4,0),"")</f>
        <v>1886</v>
      </c>
      <c r="Q821" t="b">
        <f>IFERROR(VLOOKUP(D821,Products!A:F,6,0),"")</f>
        <v>1</v>
      </c>
      <c r="R821">
        <f t="shared" si="36"/>
        <v>0.4031645569620253</v>
      </c>
      <c r="S821">
        <f t="shared" si="37"/>
        <v>1</v>
      </c>
      <c r="T821">
        <f>IF(AND(S821&gt;1,COUNTIF($A$2:A821,A821)=1),1,0)</f>
        <v>0</v>
      </c>
      <c r="U821">
        <f>COUNTIF(Customers!$A$2:$A$301,C821)</f>
        <v>1</v>
      </c>
      <c r="V821">
        <f t="shared" si="38"/>
        <v>0</v>
      </c>
    </row>
    <row r="822" spans="1:22" ht="14.25" customHeight="1" x14ac:dyDescent="0.35">
      <c r="A822" s="10" t="s">
        <v>1259</v>
      </c>
      <c r="B822" s="11">
        <v>45362</v>
      </c>
      <c r="C822" s="10" t="s">
        <v>869</v>
      </c>
      <c r="D822" s="10" t="s">
        <v>115</v>
      </c>
      <c r="E822" s="10" t="s">
        <v>193</v>
      </c>
      <c r="F822" s="12">
        <v>9</v>
      </c>
      <c r="G822" s="12">
        <v>2400</v>
      </c>
      <c r="H822" s="12">
        <v>8.4</v>
      </c>
      <c r="I822" s="12">
        <v>19785.599999999999</v>
      </c>
      <c r="J822" s="10" t="s">
        <v>51</v>
      </c>
      <c r="K822" s="10" t="s">
        <v>76</v>
      </c>
      <c r="L822" t="str">
        <f>IFERROR(VLOOKUP(D822,Products!A:F,3,0),"")</f>
        <v>Sports</v>
      </c>
      <c r="M822" t="str">
        <f>IFERROR(VLOOKUP(E822,Sales_Reps!A:E,3,0),"")</f>
        <v>West</v>
      </c>
      <c r="N822" t="str">
        <f>IFERROR(VLOOKUP(C822,Customers!A:F,5,0),"")</f>
        <v>SMB</v>
      </c>
      <c r="O822">
        <f>IFERROR(VLOOKUP(C822,Customers!A:F,3,0),"")</f>
        <v>43</v>
      </c>
      <c r="P822">
        <f>IFERROR(VLOOKUP(D822,Products!A:F,4,0),"")</f>
        <v>974</v>
      </c>
      <c r="Q822" t="b">
        <f>IFERROR(VLOOKUP(D822,Products!A:F,6,0),"")</f>
        <v>1</v>
      </c>
      <c r="R822">
        <f t="shared" si="36"/>
        <v>0.59416666666666662</v>
      </c>
      <c r="S822">
        <f t="shared" si="37"/>
        <v>1</v>
      </c>
      <c r="T822">
        <f>IF(AND(S822&gt;1,COUNTIF($A$2:A822,A822)=1),1,0)</f>
        <v>0</v>
      </c>
      <c r="U822">
        <f>COUNTIF(Customers!$A$2:$A$301,C822)</f>
        <v>1</v>
      </c>
      <c r="V822">
        <f t="shared" si="38"/>
        <v>0</v>
      </c>
    </row>
    <row r="823" spans="1:22" ht="14.25" customHeight="1" x14ac:dyDescent="0.35">
      <c r="A823" s="10" t="s">
        <v>1260</v>
      </c>
      <c r="B823" s="11">
        <v>45449</v>
      </c>
      <c r="C823" s="10" t="s">
        <v>1261</v>
      </c>
      <c r="D823" s="10" t="s">
        <v>102</v>
      </c>
      <c r="E823" s="10" t="s">
        <v>156</v>
      </c>
      <c r="F823" s="12">
        <v>4</v>
      </c>
      <c r="G823" s="12">
        <v>2600</v>
      </c>
      <c r="H823" s="12">
        <v>4.2</v>
      </c>
      <c r="I823" s="12">
        <v>9963.2000000000007</v>
      </c>
      <c r="J823" s="10" t="s">
        <v>51</v>
      </c>
      <c r="K823" s="10" t="s">
        <v>76</v>
      </c>
      <c r="L823" t="str">
        <f>IFERROR(VLOOKUP(D823,Products!A:F,3,0),"")</f>
        <v>Electronics</v>
      </c>
      <c r="M823" t="str">
        <f>IFERROR(VLOOKUP(E823,Sales_Reps!A:E,3,0),"")</f>
        <v>East</v>
      </c>
      <c r="N823" t="str">
        <f>IFERROR(VLOOKUP(C823,Customers!A:F,5,0),"")</f>
        <v>Retail</v>
      </c>
      <c r="O823">
        <f>IFERROR(VLOOKUP(C823,Customers!A:F,3,0),"")</f>
        <v>38</v>
      </c>
      <c r="P823">
        <f>IFERROR(VLOOKUP(D823,Products!A:F,4,0),"")</f>
        <v>1052</v>
      </c>
      <c r="Q823" t="b">
        <f>IFERROR(VLOOKUP(D823,Products!A:F,6,0),"")</f>
        <v>1</v>
      </c>
      <c r="R823">
        <f t="shared" si="36"/>
        <v>0.5953846153846154</v>
      </c>
      <c r="S823">
        <f t="shared" si="37"/>
        <v>1</v>
      </c>
      <c r="T823">
        <f>IF(AND(S823&gt;1,COUNTIF($A$2:A823,A823)=1),1,0)</f>
        <v>0</v>
      </c>
      <c r="U823">
        <f>COUNTIF(Customers!$A$2:$A$301,C823)</f>
        <v>1</v>
      </c>
      <c r="V823">
        <f t="shared" si="38"/>
        <v>0</v>
      </c>
    </row>
    <row r="824" spans="1:22" ht="14.25" customHeight="1" x14ac:dyDescent="0.35">
      <c r="A824" s="10" t="s">
        <v>1262</v>
      </c>
      <c r="B824" s="11">
        <v>45409</v>
      </c>
      <c r="C824" s="10" t="s">
        <v>1263</v>
      </c>
      <c r="D824" s="10" t="s">
        <v>95</v>
      </c>
      <c r="E824" s="10" t="s">
        <v>118</v>
      </c>
      <c r="F824" s="12">
        <v>5</v>
      </c>
      <c r="G824" s="12">
        <v>2270</v>
      </c>
      <c r="H824" s="12">
        <v>0.1</v>
      </c>
      <c r="I824" s="12">
        <v>11338.65</v>
      </c>
      <c r="J824" s="10" t="s">
        <v>51</v>
      </c>
      <c r="K824" s="10" t="s">
        <v>76</v>
      </c>
      <c r="L824" t="str">
        <f>IFERROR(VLOOKUP(D824,Products!A:F,3,0),"")</f>
        <v>Grocery</v>
      </c>
      <c r="M824" t="str">
        <f>IFERROR(VLOOKUP(E824,Sales_Reps!A:E,3,0),"")</f>
        <v>East</v>
      </c>
      <c r="N824" t="str">
        <f>IFERROR(VLOOKUP(C824,Customers!A:F,5,0),"")</f>
        <v/>
      </c>
      <c r="O824" t="str">
        <f>IFERROR(VLOOKUP(C824,Customers!A:F,3,0),"")</f>
        <v/>
      </c>
      <c r="P824">
        <f>IFERROR(VLOOKUP(D824,Products!A:F,4,0),"")</f>
        <v>1203</v>
      </c>
      <c r="Q824" t="b">
        <f>IFERROR(VLOOKUP(D824,Products!A:F,6,0),"")</f>
        <v>1</v>
      </c>
      <c r="R824">
        <f t="shared" si="36"/>
        <v>0.47004405286343615</v>
      </c>
      <c r="S824">
        <f t="shared" si="37"/>
        <v>1</v>
      </c>
      <c r="T824">
        <f>IF(AND(S824&gt;1,COUNTIF($A$2:A824,A824)=1),1,0)</f>
        <v>0</v>
      </c>
      <c r="U824">
        <f>COUNTIF(Customers!$A$2:$A$301,C824)</f>
        <v>0</v>
      </c>
      <c r="V824">
        <f t="shared" si="38"/>
        <v>0</v>
      </c>
    </row>
    <row r="825" spans="1:22" ht="14.25" customHeight="1" x14ac:dyDescent="0.35">
      <c r="A825" s="10" t="s">
        <v>1264</v>
      </c>
      <c r="B825" s="11">
        <v>45465</v>
      </c>
      <c r="C825" s="10" t="s">
        <v>805</v>
      </c>
      <c r="D825" s="10" t="s">
        <v>88</v>
      </c>
      <c r="E825" s="10" t="s">
        <v>156</v>
      </c>
      <c r="F825" s="12">
        <v>7</v>
      </c>
      <c r="G825" s="12">
        <v>5490</v>
      </c>
      <c r="H825" s="12">
        <v>14.9</v>
      </c>
      <c r="I825" s="12">
        <v>32703.93</v>
      </c>
      <c r="J825" s="10" t="s">
        <v>51</v>
      </c>
      <c r="K825" s="10" t="s">
        <v>81</v>
      </c>
      <c r="L825" t="str">
        <f>IFERROR(VLOOKUP(D825,Products!A:F,3,0),"")</f>
        <v>Home</v>
      </c>
      <c r="M825" t="str">
        <f>IFERROR(VLOOKUP(E825,Sales_Reps!A:E,3,0),"")</f>
        <v>East</v>
      </c>
      <c r="N825" t="str">
        <f>IFERROR(VLOOKUP(C825,Customers!A:F,5,0),"")</f>
        <v>Corporate</v>
      </c>
      <c r="O825">
        <f>IFERROR(VLOOKUP(C825,Customers!A:F,3,0),"")</f>
        <v>41</v>
      </c>
      <c r="P825">
        <f>IFERROR(VLOOKUP(D825,Products!A:F,4,0),"")</f>
        <v>2549</v>
      </c>
      <c r="Q825" t="b">
        <f>IFERROR(VLOOKUP(D825,Products!A:F,6,0),"")</f>
        <v>1</v>
      </c>
      <c r="R825">
        <f t="shared" si="36"/>
        <v>0.53570127504553733</v>
      </c>
      <c r="S825">
        <f t="shared" si="37"/>
        <v>1</v>
      </c>
      <c r="T825">
        <f>IF(AND(S825&gt;1,COUNTIF($A$2:A825,A825)=1),1,0)</f>
        <v>0</v>
      </c>
      <c r="U825">
        <f>COUNTIF(Customers!$A$2:$A$301,C825)</f>
        <v>1</v>
      </c>
      <c r="V825">
        <f t="shared" si="38"/>
        <v>0</v>
      </c>
    </row>
    <row r="826" spans="1:22" ht="14.25" customHeight="1" x14ac:dyDescent="0.35">
      <c r="A826" s="10" t="s">
        <v>1265</v>
      </c>
      <c r="B826" s="11">
        <v>45415</v>
      </c>
      <c r="C826" s="10" t="s">
        <v>640</v>
      </c>
      <c r="D826" s="10" t="s">
        <v>212</v>
      </c>
      <c r="E826" s="10" t="s">
        <v>168</v>
      </c>
      <c r="F826" s="12">
        <v>5</v>
      </c>
      <c r="G826" s="12">
        <v>3870</v>
      </c>
      <c r="H826" s="12">
        <v>13.3</v>
      </c>
      <c r="I826" s="12">
        <v>16776.45</v>
      </c>
      <c r="J826" s="10" t="s">
        <v>104</v>
      </c>
      <c r="K826" s="10" t="s">
        <v>52</v>
      </c>
      <c r="L826" t="str">
        <f>IFERROR(VLOOKUP(D826,Products!A:F,3,0),"")</f>
        <v>Electronics</v>
      </c>
      <c r="M826" t="str">
        <f>IFERROR(VLOOKUP(E826,Sales_Reps!A:E,3,0),"")</f>
        <v>South</v>
      </c>
      <c r="N826" t="str">
        <f>IFERROR(VLOOKUP(C826,Customers!A:F,5,0),"")</f>
        <v>SMB</v>
      </c>
      <c r="O826">
        <f>IFERROR(VLOOKUP(C826,Customers!A:F,3,0),"")</f>
        <v>35</v>
      </c>
      <c r="P826">
        <f>IFERROR(VLOOKUP(D826,Products!A:F,4,0),"")</f>
        <v>1559</v>
      </c>
      <c r="Q826" t="b">
        <f>IFERROR(VLOOKUP(D826,Products!A:F,6,0),"")</f>
        <v>1</v>
      </c>
      <c r="R826">
        <f t="shared" si="36"/>
        <v>0.59715762273901807</v>
      </c>
      <c r="S826">
        <f t="shared" si="37"/>
        <v>1</v>
      </c>
      <c r="T826">
        <f>IF(AND(S826&gt;1,COUNTIF($A$2:A826,A826)=1),1,0)</f>
        <v>0</v>
      </c>
      <c r="U826">
        <f>COUNTIF(Customers!$A$2:$A$301,C826)</f>
        <v>1</v>
      </c>
      <c r="V826">
        <f t="shared" si="38"/>
        <v>0</v>
      </c>
    </row>
    <row r="827" spans="1:22" ht="14.25" customHeight="1" x14ac:dyDescent="0.35">
      <c r="A827" s="10" t="s">
        <v>1266</v>
      </c>
      <c r="B827" s="11">
        <v>45372</v>
      </c>
      <c r="C827" s="10" t="s">
        <v>653</v>
      </c>
      <c r="D827" s="10" t="s">
        <v>344</v>
      </c>
      <c r="E827" s="10" t="s">
        <v>80</v>
      </c>
      <c r="F827" s="12">
        <v>2</v>
      </c>
      <c r="G827" s="12">
        <v>960</v>
      </c>
      <c r="H827" s="12">
        <v>17.5</v>
      </c>
      <c r="I827" s="12">
        <v>1584</v>
      </c>
      <c r="J827" s="10" t="s">
        <v>51</v>
      </c>
      <c r="K827" s="10" t="s">
        <v>97</v>
      </c>
      <c r="L827" t="str">
        <f>IFERROR(VLOOKUP(D827,Products!A:F,3,0),"")</f>
        <v>Beauty</v>
      </c>
      <c r="M827" t="str">
        <f>IFERROR(VLOOKUP(E827,Sales_Reps!A:E,3,0),"")</f>
        <v>West</v>
      </c>
      <c r="N827" t="str">
        <f>IFERROR(VLOOKUP(C827,Customers!A:F,5,0),"")</f>
        <v>Retail</v>
      </c>
      <c r="O827">
        <f>IFERROR(VLOOKUP(C827,Customers!A:F,3,0),"")</f>
        <v>28</v>
      </c>
      <c r="P827">
        <f>IFERROR(VLOOKUP(D827,Products!A:F,4,0),"")</f>
        <v>675</v>
      </c>
      <c r="Q827" t="b">
        <f>IFERROR(VLOOKUP(D827,Products!A:F,6,0),"")</f>
        <v>1</v>
      </c>
      <c r="R827">
        <f t="shared" si="36"/>
        <v>0.296875</v>
      </c>
      <c r="S827">
        <f t="shared" si="37"/>
        <v>1</v>
      </c>
      <c r="T827">
        <f>IF(AND(S827&gt;1,COUNTIF($A$2:A827,A827)=1),1,0)</f>
        <v>0</v>
      </c>
      <c r="U827">
        <f>COUNTIF(Customers!$A$2:$A$301,C827)</f>
        <v>1</v>
      </c>
      <c r="V827">
        <f t="shared" si="38"/>
        <v>0</v>
      </c>
    </row>
    <row r="828" spans="1:22" ht="14.25" customHeight="1" x14ac:dyDescent="0.35">
      <c r="A828" s="10" t="s">
        <v>1267</v>
      </c>
      <c r="B828" s="11">
        <v>45405</v>
      </c>
      <c r="C828" s="10" t="s">
        <v>1019</v>
      </c>
      <c r="D828" s="10" t="s">
        <v>148</v>
      </c>
      <c r="E828" s="10" t="s">
        <v>179</v>
      </c>
      <c r="F828" s="12">
        <v>4</v>
      </c>
      <c r="G828" s="12">
        <v>4880</v>
      </c>
      <c r="H828" s="12">
        <v>12.2</v>
      </c>
      <c r="I828" s="12">
        <v>17138.560000000001</v>
      </c>
      <c r="J828" s="10" t="s">
        <v>104</v>
      </c>
      <c r="K828" s="10" t="s">
        <v>76</v>
      </c>
      <c r="L828" t="str">
        <f>IFERROR(VLOOKUP(D828,Products!A:F,3,0),"")</f>
        <v>Beauty</v>
      </c>
      <c r="M828" t="str">
        <f>IFERROR(VLOOKUP(E828,Sales_Reps!A:E,3,0),"")</f>
        <v>North</v>
      </c>
      <c r="N828" t="str">
        <f>IFERROR(VLOOKUP(C828,Customers!A:F,5,0),"")</f>
        <v>Retail</v>
      </c>
      <c r="O828">
        <f>IFERROR(VLOOKUP(C828,Customers!A:F,3,0),"")</f>
        <v>37</v>
      </c>
      <c r="P828">
        <f>IFERROR(VLOOKUP(D828,Products!A:F,4,0),"")</f>
        <v>2768</v>
      </c>
      <c r="Q828" t="b">
        <f>IFERROR(VLOOKUP(D828,Products!A:F,6,0),"")</f>
        <v>1</v>
      </c>
      <c r="R828">
        <f t="shared" si="36"/>
        <v>0.43278688524590164</v>
      </c>
      <c r="S828">
        <f t="shared" si="37"/>
        <v>1</v>
      </c>
      <c r="T828">
        <f>IF(AND(S828&gt;1,COUNTIF($A$2:A828,A828)=1),1,0)</f>
        <v>0</v>
      </c>
      <c r="U828">
        <f>COUNTIF(Customers!$A$2:$A$301,C828)</f>
        <v>1</v>
      </c>
      <c r="V828">
        <f t="shared" si="38"/>
        <v>0</v>
      </c>
    </row>
    <row r="829" spans="1:22" ht="14.25" customHeight="1" x14ac:dyDescent="0.35">
      <c r="A829" s="10" t="s">
        <v>1268</v>
      </c>
      <c r="B829" s="11">
        <v>45419</v>
      </c>
      <c r="C829" s="10" t="s">
        <v>607</v>
      </c>
      <c r="D829" s="10" t="s">
        <v>115</v>
      </c>
      <c r="E829" s="10" t="s">
        <v>71</v>
      </c>
      <c r="F829" s="12">
        <v>5</v>
      </c>
      <c r="G829" s="12">
        <v>2400</v>
      </c>
      <c r="H829" s="12">
        <v>15</v>
      </c>
      <c r="I829" s="12">
        <v>10200</v>
      </c>
      <c r="J829" s="10" t="s">
        <v>51</v>
      </c>
      <c r="K829" s="10" t="s">
        <v>76</v>
      </c>
      <c r="L829" t="str">
        <f>IFERROR(VLOOKUP(D829,Products!A:F,3,0),"")</f>
        <v>Sports</v>
      </c>
      <c r="M829" t="str">
        <f>IFERROR(VLOOKUP(E829,Sales_Reps!A:E,3,0),"")</f>
        <v>North</v>
      </c>
      <c r="N829" t="str">
        <f>IFERROR(VLOOKUP(C829,Customers!A:F,5,0),"")</f>
        <v>SMB</v>
      </c>
      <c r="O829">
        <f>IFERROR(VLOOKUP(C829,Customers!A:F,3,0),"")</f>
        <v>27</v>
      </c>
      <c r="P829">
        <f>IFERROR(VLOOKUP(D829,Products!A:F,4,0),"")</f>
        <v>974</v>
      </c>
      <c r="Q829" t="b">
        <f>IFERROR(VLOOKUP(D829,Products!A:F,6,0),"")</f>
        <v>1</v>
      </c>
      <c r="R829">
        <f t="shared" si="36"/>
        <v>0.59416666666666662</v>
      </c>
      <c r="S829">
        <f t="shared" si="37"/>
        <v>1</v>
      </c>
      <c r="T829">
        <f>IF(AND(S829&gt;1,COUNTIF($A$2:A829,A829)=1),1,0)</f>
        <v>0</v>
      </c>
      <c r="U829">
        <f>COUNTIF(Customers!$A$2:$A$301,C829)</f>
        <v>1</v>
      </c>
      <c r="V829">
        <f t="shared" si="38"/>
        <v>0</v>
      </c>
    </row>
    <row r="830" spans="1:22" ht="14.25" customHeight="1" x14ac:dyDescent="0.35">
      <c r="A830" s="10" t="s">
        <v>1269</v>
      </c>
      <c r="B830" s="11">
        <v>45522</v>
      </c>
      <c r="C830" s="10" t="s">
        <v>272</v>
      </c>
      <c r="D830" s="10" t="s">
        <v>256</v>
      </c>
      <c r="E830" s="10" t="s">
        <v>152</v>
      </c>
      <c r="F830" s="12">
        <v>9</v>
      </c>
      <c r="G830" s="12">
        <v>620</v>
      </c>
      <c r="H830" s="12">
        <v>20.399999999999999</v>
      </c>
      <c r="I830" s="12">
        <v>4441.68</v>
      </c>
      <c r="J830" s="10" t="s">
        <v>57</v>
      </c>
      <c r="K830" s="10" t="s">
        <v>52</v>
      </c>
      <c r="L830" t="str">
        <f>IFERROR(VLOOKUP(D830,Products!A:F,3,0),"")</f>
        <v>Apparel</v>
      </c>
      <c r="M830" t="str">
        <f>IFERROR(VLOOKUP(E830,Sales_Reps!A:E,3,0),"")</f>
        <v>South</v>
      </c>
      <c r="N830" t="str">
        <f>IFERROR(VLOOKUP(C830,Customers!A:F,5,0),"")</f>
        <v>SMB</v>
      </c>
      <c r="O830">
        <f>IFERROR(VLOOKUP(C830,Customers!A:F,3,0),"")</f>
        <v>54</v>
      </c>
      <c r="P830">
        <f>IFERROR(VLOOKUP(D830,Products!A:F,4,0),"")</f>
        <v>396</v>
      </c>
      <c r="Q830" t="b">
        <f>IFERROR(VLOOKUP(D830,Products!A:F,6,0),"")</f>
        <v>1</v>
      </c>
      <c r="R830">
        <f t="shared" si="36"/>
        <v>0.36129032258064514</v>
      </c>
      <c r="S830">
        <f t="shared" si="37"/>
        <v>1</v>
      </c>
      <c r="T830">
        <f>IF(AND(S830&gt;1,COUNTIF($A$2:A830,A830)=1),1,0)</f>
        <v>0</v>
      </c>
      <c r="U830">
        <f>COUNTIF(Customers!$A$2:$A$301,C830)</f>
        <v>1</v>
      </c>
      <c r="V830">
        <f t="shared" si="38"/>
        <v>0</v>
      </c>
    </row>
    <row r="831" spans="1:22" ht="14.25" customHeight="1" x14ac:dyDescent="0.35">
      <c r="A831" s="10" t="s">
        <v>1270</v>
      </c>
      <c r="B831" s="11">
        <v>45513</v>
      </c>
      <c r="C831" s="10" t="s">
        <v>702</v>
      </c>
      <c r="D831" s="10" t="s">
        <v>234</v>
      </c>
      <c r="E831" s="10" t="s">
        <v>216</v>
      </c>
      <c r="F831" s="12">
        <v>1</v>
      </c>
      <c r="G831" s="12">
        <v>4610</v>
      </c>
      <c r="H831" s="12">
        <v>1.8</v>
      </c>
      <c r="I831" s="12">
        <v>4527.0200000000004</v>
      </c>
      <c r="J831" s="10" t="s">
        <v>57</v>
      </c>
      <c r="K831" s="10" t="s">
        <v>52</v>
      </c>
      <c r="L831" t="str">
        <f>IFERROR(VLOOKUP(D831,Products!A:F,3,0),"")</f>
        <v>Home</v>
      </c>
      <c r="M831" t="str">
        <f>IFERROR(VLOOKUP(E831,Sales_Reps!A:E,3,0),"")</f>
        <v>South</v>
      </c>
      <c r="N831" t="str">
        <f>IFERROR(VLOOKUP(C831,Customers!A:F,5,0),"")</f>
        <v>Retail</v>
      </c>
      <c r="O831">
        <f>IFERROR(VLOOKUP(C831,Customers!A:F,3,0),"")</f>
        <v>36</v>
      </c>
      <c r="P831">
        <f>IFERROR(VLOOKUP(D831,Products!A:F,4,0),"")</f>
        <v>1850</v>
      </c>
      <c r="Q831" t="b">
        <f>IFERROR(VLOOKUP(D831,Products!A:F,6,0),"")</f>
        <v>1</v>
      </c>
      <c r="R831">
        <f t="shared" si="36"/>
        <v>0.59869848156182215</v>
      </c>
      <c r="S831">
        <f t="shared" si="37"/>
        <v>1</v>
      </c>
      <c r="T831">
        <f>IF(AND(S831&gt;1,COUNTIF($A$2:A831,A831)=1),1,0)</f>
        <v>0</v>
      </c>
      <c r="U831">
        <f>COUNTIF(Customers!$A$2:$A$301,C831)</f>
        <v>1</v>
      </c>
      <c r="V831">
        <f t="shared" si="38"/>
        <v>0</v>
      </c>
    </row>
    <row r="832" spans="1:22" ht="14.25" customHeight="1" x14ac:dyDescent="0.35">
      <c r="A832" s="10" t="s">
        <v>1271</v>
      </c>
      <c r="B832" s="11">
        <v>45500</v>
      </c>
      <c r="C832" s="10" t="s">
        <v>1272</v>
      </c>
      <c r="D832" s="10" t="s">
        <v>234</v>
      </c>
      <c r="E832" s="10" t="s">
        <v>62</v>
      </c>
      <c r="F832" s="12">
        <v>7</v>
      </c>
      <c r="G832" s="12">
        <v>4610</v>
      </c>
      <c r="H832" s="12">
        <v>27</v>
      </c>
      <c r="I832" s="12">
        <v>23557.1</v>
      </c>
      <c r="J832" s="10" t="s">
        <v>51</v>
      </c>
      <c r="K832" s="10" t="s">
        <v>58</v>
      </c>
      <c r="L832" t="str">
        <f>IFERROR(VLOOKUP(D832,Products!A:F,3,0),"")</f>
        <v>Home</v>
      </c>
      <c r="M832" t="str">
        <f>IFERROR(VLOOKUP(E832,Sales_Reps!A:E,3,0),"")</f>
        <v>South</v>
      </c>
      <c r="N832" t="str">
        <f>IFERROR(VLOOKUP(C832,Customers!A:F,5,0),"")</f>
        <v>SMB</v>
      </c>
      <c r="O832">
        <f>IFERROR(VLOOKUP(C832,Customers!A:F,3,0),"")</f>
        <v>51</v>
      </c>
      <c r="P832">
        <f>IFERROR(VLOOKUP(D832,Products!A:F,4,0),"")</f>
        <v>1850</v>
      </c>
      <c r="Q832" t="b">
        <f>IFERROR(VLOOKUP(D832,Products!A:F,6,0),"")</f>
        <v>1</v>
      </c>
      <c r="R832">
        <f t="shared" si="36"/>
        <v>0.59869848156182215</v>
      </c>
      <c r="S832">
        <f t="shared" si="37"/>
        <v>1</v>
      </c>
      <c r="T832">
        <f>IF(AND(S832&gt;1,COUNTIF($A$2:A832,A832)=1),1,0)</f>
        <v>0</v>
      </c>
      <c r="U832">
        <f>COUNTIF(Customers!$A$2:$A$301,C832)</f>
        <v>1</v>
      </c>
      <c r="V832">
        <f t="shared" si="38"/>
        <v>0</v>
      </c>
    </row>
    <row r="833" spans="1:22" ht="14.25" customHeight="1" x14ac:dyDescent="0.35">
      <c r="A833" s="10" t="s">
        <v>1273</v>
      </c>
      <c r="B833" s="11">
        <v>45608</v>
      </c>
      <c r="C833" s="10" t="s">
        <v>930</v>
      </c>
      <c r="D833" s="10" t="s">
        <v>91</v>
      </c>
      <c r="E833" s="10" t="s">
        <v>193</v>
      </c>
      <c r="F833" s="12">
        <v>6</v>
      </c>
      <c r="G833" s="12">
        <v>970</v>
      </c>
      <c r="H833" s="12">
        <v>4.7</v>
      </c>
      <c r="I833" s="12">
        <v>5546.46</v>
      </c>
      <c r="J833" s="10" t="s">
        <v>104</v>
      </c>
      <c r="K833" s="10" t="s">
        <v>97</v>
      </c>
      <c r="L833" t="str">
        <f>IFERROR(VLOOKUP(D833,Products!A:F,3,0),"")</f>
        <v>Grocery</v>
      </c>
      <c r="M833" t="str">
        <f>IFERROR(VLOOKUP(E833,Sales_Reps!A:E,3,0),"")</f>
        <v>West</v>
      </c>
      <c r="N833" t="str">
        <f>IFERROR(VLOOKUP(C833,Customers!A:F,5,0),"")</f>
        <v>SMB</v>
      </c>
      <c r="O833">
        <f>IFERROR(VLOOKUP(C833,Customers!A:F,3,0),"")</f>
        <v>31</v>
      </c>
      <c r="P833">
        <f>IFERROR(VLOOKUP(D833,Products!A:F,4,0),"")</f>
        <v>434</v>
      </c>
      <c r="Q833" t="b">
        <f>IFERROR(VLOOKUP(D833,Products!A:F,6,0),"")</f>
        <v>1</v>
      </c>
      <c r="R833">
        <f t="shared" si="36"/>
        <v>0.5525773195876289</v>
      </c>
      <c r="S833">
        <f t="shared" si="37"/>
        <v>1</v>
      </c>
      <c r="T833">
        <f>IF(AND(S833&gt;1,COUNTIF($A$2:A833,A833)=1),1,0)</f>
        <v>0</v>
      </c>
      <c r="U833">
        <f>COUNTIF(Customers!$A$2:$A$301,C833)</f>
        <v>1</v>
      </c>
      <c r="V833">
        <f t="shared" si="38"/>
        <v>0</v>
      </c>
    </row>
    <row r="834" spans="1:22" ht="14.25" customHeight="1" x14ac:dyDescent="0.35">
      <c r="A834" s="10" t="s">
        <v>1274</v>
      </c>
      <c r="B834" s="11">
        <v>45362</v>
      </c>
      <c r="C834" s="10" t="s">
        <v>436</v>
      </c>
      <c r="D834" s="10" t="s">
        <v>84</v>
      </c>
      <c r="E834" s="10" t="s">
        <v>165</v>
      </c>
      <c r="F834" s="12">
        <v>8</v>
      </c>
      <c r="G834" s="12">
        <v>1430</v>
      </c>
      <c r="H834" s="12">
        <v>8.6999999999999993</v>
      </c>
      <c r="I834" s="12">
        <v>10444.719999999999</v>
      </c>
      <c r="J834" s="10" t="s">
        <v>51</v>
      </c>
      <c r="K834" s="10" t="s">
        <v>58</v>
      </c>
      <c r="L834" t="str">
        <f>IFERROR(VLOOKUP(D834,Products!A:F,3,0),"")</f>
        <v>Electronics</v>
      </c>
      <c r="M834" t="str">
        <f>IFERROR(VLOOKUP(E834,Sales_Reps!A:E,3,0),"")</f>
        <v>West</v>
      </c>
      <c r="N834" t="str">
        <f>IFERROR(VLOOKUP(C834,Customers!A:F,5,0),"")</f>
        <v>Corporate</v>
      </c>
      <c r="O834">
        <f>IFERROR(VLOOKUP(C834,Customers!A:F,3,0),"")</f>
        <v>35</v>
      </c>
      <c r="P834">
        <f>IFERROR(VLOOKUP(D834,Products!A:F,4,0),"")</f>
        <v>861</v>
      </c>
      <c r="Q834" t="b">
        <f>IFERROR(VLOOKUP(D834,Products!A:F,6,0),"")</f>
        <v>1</v>
      </c>
      <c r="R834">
        <f t="shared" ref="R834:R897" si="39">IFERROR((G834-P834)/G834,"")</f>
        <v>0.39790209790209791</v>
      </c>
      <c r="S834">
        <f t="shared" ref="S834:S897" si="40">COUNTIF($A$2:$A$2001,A834)</f>
        <v>1</v>
      </c>
      <c r="T834">
        <f>IF(AND(S834&gt;1,COUNTIF($A$2:A834,A834)=1),1,0)</f>
        <v>0</v>
      </c>
      <c r="U834">
        <f>COUNTIF(Customers!$A$2:$A$301,C834)</f>
        <v>1</v>
      </c>
      <c r="V834">
        <f t="shared" ref="V834:V897" si="41">IF(AND(K834="Bengaluru",L834="Grocery"),I834,0)</f>
        <v>0</v>
      </c>
    </row>
    <row r="835" spans="1:22" ht="14.25" customHeight="1" x14ac:dyDescent="0.35">
      <c r="A835" s="10" t="s">
        <v>1275</v>
      </c>
      <c r="B835" s="11">
        <v>45348</v>
      </c>
      <c r="C835" s="10" t="s">
        <v>183</v>
      </c>
      <c r="D835" s="10" t="s">
        <v>198</v>
      </c>
      <c r="E835" s="10" t="s">
        <v>237</v>
      </c>
      <c r="F835" s="12">
        <v>5</v>
      </c>
      <c r="G835" s="12">
        <v>3780</v>
      </c>
      <c r="H835" s="12">
        <v>2.9</v>
      </c>
      <c r="I835" s="12">
        <v>18351.900000000001</v>
      </c>
      <c r="J835" s="10" t="s">
        <v>51</v>
      </c>
      <c r="K835" s="10" t="s">
        <v>63</v>
      </c>
      <c r="L835" t="str">
        <f>IFERROR(VLOOKUP(D835,Products!A:F,3,0),"")</f>
        <v>Grocery</v>
      </c>
      <c r="M835" t="str">
        <f>IFERROR(VLOOKUP(E835,Sales_Reps!A:E,3,0),"")</f>
        <v>South</v>
      </c>
      <c r="N835" t="str">
        <f>IFERROR(VLOOKUP(C835,Customers!A:F,5,0),"")</f>
        <v>SMB</v>
      </c>
      <c r="O835">
        <f>IFERROR(VLOOKUP(C835,Customers!A:F,3,0),"")</f>
        <v>50</v>
      </c>
      <c r="P835">
        <f>IFERROR(VLOOKUP(D835,Products!A:F,4,0),"")</f>
        <v>2436</v>
      </c>
      <c r="Q835" t="b">
        <f>IFERROR(VLOOKUP(D835,Products!A:F,6,0),"")</f>
        <v>1</v>
      </c>
      <c r="R835">
        <f t="shared" si="39"/>
        <v>0.35555555555555557</v>
      </c>
      <c r="S835">
        <f t="shared" si="40"/>
        <v>1</v>
      </c>
      <c r="T835">
        <f>IF(AND(S835&gt;1,COUNTIF($A$2:A835,A835)=1),1,0)</f>
        <v>0</v>
      </c>
      <c r="U835">
        <f>COUNTIF(Customers!$A$2:$A$301,C835)</f>
        <v>1</v>
      </c>
      <c r="V835">
        <f t="shared" si="41"/>
        <v>0</v>
      </c>
    </row>
    <row r="836" spans="1:22" ht="14.25" customHeight="1" x14ac:dyDescent="0.35">
      <c r="A836" s="10" t="s">
        <v>1276</v>
      </c>
      <c r="B836" s="11">
        <v>45532</v>
      </c>
      <c r="C836" s="10" t="s">
        <v>465</v>
      </c>
      <c r="D836" s="10" t="s">
        <v>223</v>
      </c>
      <c r="E836" s="10" t="s">
        <v>118</v>
      </c>
      <c r="F836" s="12">
        <v>2</v>
      </c>
      <c r="G836" s="12">
        <v>1540</v>
      </c>
      <c r="H836" s="12">
        <v>12.7</v>
      </c>
      <c r="I836" s="12">
        <v>2688.84</v>
      </c>
      <c r="J836" s="10" t="s">
        <v>51</v>
      </c>
      <c r="K836" s="10" t="s">
        <v>97</v>
      </c>
      <c r="L836" t="str">
        <f>IFERROR(VLOOKUP(D836,Products!A:F,3,0),"")</f>
        <v>Beauty</v>
      </c>
      <c r="M836" t="str">
        <f>IFERROR(VLOOKUP(E836,Sales_Reps!A:E,3,0),"")</f>
        <v>East</v>
      </c>
      <c r="N836" t="str">
        <f>IFERROR(VLOOKUP(C836,Customers!A:F,5,0),"")</f>
        <v>SMB</v>
      </c>
      <c r="O836">
        <f>IFERROR(VLOOKUP(C836,Customers!A:F,3,0),"")</f>
        <v>65</v>
      </c>
      <c r="P836">
        <f>IFERROR(VLOOKUP(D836,Products!A:F,4,0),"")</f>
        <v>647</v>
      </c>
      <c r="Q836" t="b">
        <f>IFERROR(VLOOKUP(D836,Products!A:F,6,0),"")</f>
        <v>0</v>
      </c>
      <c r="R836">
        <f t="shared" si="39"/>
        <v>0.57987012987012987</v>
      </c>
      <c r="S836">
        <f t="shared" si="40"/>
        <v>1</v>
      </c>
      <c r="T836">
        <f>IF(AND(S836&gt;1,COUNTIF($A$2:A836,A836)=1),1,0)</f>
        <v>0</v>
      </c>
      <c r="U836">
        <f>COUNTIF(Customers!$A$2:$A$301,C836)</f>
        <v>1</v>
      </c>
      <c r="V836">
        <f t="shared" si="41"/>
        <v>0</v>
      </c>
    </row>
    <row r="837" spans="1:22" ht="14.25" customHeight="1" x14ac:dyDescent="0.35">
      <c r="A837" s="10" t="s">
        <v>1277</v>
      </c>
      <c r="B837" s="11">
        <v>45492</v>
      </c>
      <c r="C837" s="10" t="s">
        <v>1136</v>
      </c>
      <c r="D837" s="10" t="s">
        <v>128</v>
      </c>
      <c r="E837" s="10" t="s">
        <v>156</v>
      </c>
      <c r="F837" s="12">
        <v>9</v>
      </c>
      <c r="G837" s="12">
        <v>1080</v>
      </c>
      <c r="H837" s="12">
        <v>11.2</v>
      </c>
      <c r="I837" s="12">
        <v>8631.36</v>
      </c>
      <c r="J837" s="10" t="s">
        <v>104</v>
      </c>
      <c r="K837" s="10" t="s">
        <v>52</v>
      </c>
      <c r="L837" t="str">
        <f>IFERROR(VLOOKUP(D837,Products!A:F,3,0),"")</f>
        <v>Home</v>
      </c>
      <c r="M837" t="str">
        <f>IFERROR(VLOOKUP(E837,Sales_Reps!A:E,3,0),"")</f>
        <v>East</v>
      </c>
      <c r="N837" t="str">
        <f>IFERROR(VLOOKUP(C837,Customers!A:F,5,0),"")</f>
        <v>Retail</v>
      </c>
      <c r="O837">
        <f>IFERROR(VLOOKUP(C837,Customers!A:F,3,0),"")</f>
        <v>39</v>
      </c>
      <c r="P837">
        <f>IFERROR(VLOOKUP(D837,Products!A:F,4,0),"")</f>
        <v>519</v>
      </c>
      <c r="Q837" t="b">
        <f>IFERROR(VLOOKUP(D837,Products!A:F,6,0),"")</f>
        <v>1</v>
      </c>
      <c r="R837">
        <f t="shared" si="39"/>
        <v>0.51944444444444449</v>
      </c>
      <c r="S837">
        <f t="shared" si="40"/>
        <v>1</v>
      </c>
      <c r="T837">
        <f>IF(AND(S837&gt;1,COUNTIF($A$2:A837,A837)=1),1,0)</f>
        <v>0</v>
      </c>
      <c r="U837">
        <f>COUNTIF(Customers!$A$2:$A$301,C837)</f>
        <v>1</v>
      </c>
      <c r="V837">
        <f t="shared" si="41"/>
        <v>0</v>
      </c>
    </row>
    <row r="838" spans="1:22" ht="14.25" customHeight="1" x14ac:dyDescent="0.35">
      <c r="A838" s="10" t="s">
        <v>1278</v>
      </c>
      <c r="B838" s="11">
        <v>45368</v>
      </c>
      <c r="C838" s="10" t="s">
        <v>912</v>
      </c>
      <c r="D838" s="10" t="s">
        <v>115</v>
      </c>
      <c r="E838" s="10" t="s">
        <v>50</v>
      </c>
      <c r="F838" s="12">
        <v>3</v>
      </c>
      <c r="G838" s="12">
        <v>2400</v>
      </c>
      <c r="H838" s="12">
        <v>28.6</v>
      </c>
      <c r="I838" s="12">
        <v>5140.8</v>
      </c>
      <c r="J838" s="10" t="s">
        <v>51</v>
      </c>
      <c r="K838" s="10" t="s">
        <v>52</v>
      </c>
      <c r="L838" t="str">
        <f>IFERROR(VLOOKUP(D838,Products!A:F,3,0),"")</f>
        <v>Sports</v>
      </c>
      <c r="M838" t="str">
        <f>IFERROR(VLOOKUP(E838,Sales_Reps!A:E,3,0),"")</f>
        <v>North</v>
      </c>
      <c r="N838" t="str">
        <f>IFERROR(VLOOKUP(C838,Customers!A:F,5,0),"")</f>
        <v>Retail</v>
      </c>
      <c r="O838">
        <f>IFERROR(VLOOKUP(C838,Customers!A:F,3,0),"")</f>
        <v>65</v>
      </c>
      <c r="P838">
        <f>IFERROR(VLOOKUP(D838,Products!A:F,4,0),"")</f>
        <v>974</v>
      </c>
      <c r="Q838" t="b">
        <f>IFERROR(VLOOKUP(D838,Products!A:F,6,0),"")</f>
        <v>1</v>
      </c>
      <c r="R838">
        <f t="shared" si="39"/>
        <v>0.59416666666666662</v>
      </c>
      <c r="S838">
        <f t="shared" si="40"/>
        <v>1</v>
      </c>
      <c r="T838">
        <f>IF(AND(S838&gt;1,COUNTIF($A$2:A838,A838)=1),1,0)</f>
        <v>0</v>
      </c>
      <c r="U838">
        <f>COUNTIF(Customers!$A$2:$A$301,C838)</f>
        <v>1</v>
      </c>
      <c r="V838">
        <f t="shared" si="41"/>
        <v>0</v>
      </c>
    </row>
    <row r="839" spans="1:22" ht="14.25" customHeight="1" x14ac:dyDescent="0.35">
      <c r="A839" s="10" t="s">
        <v>1279</v>
      </c>
      <c r="B839" s="11">
        <v>45448</v>
      </c>
      <c r="C839" s="10" t="s">
        <v>117</v>
      </c>
      <c r="D839" s="10" t="s">
        <v>128</v>
      </c>
      <c r="E839" s="10" t="s">
        <v>267</v>
      </c>
      <c r="F839" s="12">
        <v>5</v>
      </c>
      <c r="G839" s="12">
        <v>1080</v>
      </c>
      <c r="H839" s="12">
        <v>18.3</v>
      </c>
      <c r="I839" s="12">
        <v>4411.8</v>
      </c>
      <c r="J839" s="10" t="s">
        <v>51</v>
      </c>
      <c r="K839" s="10" t="s">
        <v>81</v>
      </c>
      <c r="L839" t="str">
        <f>IFERROR(VLOOKUP(D839,Products!A:F,3,0),"")</f>
        <v>Home</v>
      </c>
      <c r="M839" t="str">
        <f>IFERROR(VLOOKUP(E839,Sales_Reps!A:E,3,0),"")</f>
        <v>East</v>
      </c>
      <c r="N839" t="str">
        <f>IFERROR(VLOOKUP(C839,Customers!A:F,5,0),"")</f>
        <v>SMB</v>
      </c>
      <c r="O839">
        <f>IFERROR(VLOOKUP(C839,Customers!A:F,3,0),"")</f>
        <v>46</v>
      </c>
      <c r="P839">
        <f>IFERROR(VLOOKUP(D839,Products!A:F,4,0),"")</f>
        <v>519</v>
      </c>
      <c r="Q839" t="b">
        <f>IFERROR(VLOOKUP(D839,Products!A:F,6,0),"")</f>
        <v>1</v>
      </c>
      <c r="R839">
        <f t="shared" si="39"/>
        <v>0.51944444444444449</v>
      </c>
      <c r="S839">
        <f t="shared" si="40"/>
        <v>1</v>
      </c>
      <c r="T839">
        <f>IF(AND(S839&gt;1,COUNTIF($A$2:A839,A839)=1),1,0)</f>
        <v>0</v>
      </c>
      <c r="U839">
        <f>COUNTIF(Customers!$A$2:$A$301,C839)</f>
        <v>1</v>
      </c>
      <c r="V839">
        <f t="shared" si="41"/>
        <v>0</v>
      </c>
    </row>
    <row r="840" spans="1:22" ht="14.25" customHeight="1" x14ac:dyDescent="0.35">
      <c r="A840" s="10" t="s">
        <v>1280</v>
      </c>
      <c r="B840" s="11">
        <v>45610</v>
      </c>
      <c r="C840" s="10" t="s">
        <v>365</v>
      </c>
      <c r="D840" s="10" t="s">
        <v>95</v>
      </c>
      <c r="E840" s="10" t="s">
        <v>307</v>
      </c>
      <c r="F840" s="12">
        <v>7</v>
      </c>
      <c r="G840" s="12">
        <v>2270</v>
      </c>
      <c r="H840" s="12">
        <v>1.7</v>
      </c>
      <c r="I840" s="12">
        <v>15619.87</v>
      </c>
      <c r="J840" s="10" t="s">
        <v>104</v>
      </c>
      <c r="K840" s="10" t="s">
        <v>58</v>
      </c>
      <c r="L840" t="str">
        <f>IFERROR(VLOOKUP(D840,Products!A:F,3,0),"")</f>
        <v>Grocery</v>
      </c>
      <c r="M840" t="str">
        <f>IFERROR(VLOOKUP(E840,Sales_Reps!A:E,3,0),"")</f>
        <v>West</v>
      </c>
      <c r="N840" t="str">
        <f>IFERROR(VLOOKUP(C840,Customers!A:F,5,0),"")</f>
        <v>SMB</v>
      </c>
      <c r="O840">
        <f>IFERROR(VLOOKUP(C840,Customers!A:F,3,0),"")</f>
        <v>51</v>
      </c>
      <c r="P840">
        <f>IFERROR(VLOOKUP(D840,Products!A:F,4,0),"")</f>
        <v>1203</v>
      </c>
      <c r="Q840" t="b">
        <f>IFERROR(VLOOKUP(D840,Products!A:F,6,0),"")</f>
        <v>1</v>
      </c>
      <c r="R840">
        <f t="shared" si="39"/>
        <v>0.47004405286343615</v>
      </c>
      <c r="S840">
        <f t="shared" si="40"/>
        <v>1</v>
      </c>
      <c r="T840">
        <f>IF(AND(S840&gt;1,COUNTIF($A$2:A840,A840)=1),1,0)</f>
        <v>0</v>
      </c>
      <c r="U840">
        <f>COUNTIF(Customers!$A$2:$A$301,C840)</f>
        <v>1</v>
      </c>
      <c r="V840">
        <f t="shared" si="41"/>
        <v>0</v>
      </c>
    </row>
    <row r="841" spans="1:22" ht="14.25" customHeight="1" x14ac:dyDescent="0.35">
      <c r="A841" s="10" t="s">
        <v>1281</v>
      </c>
      <c r="B841" s="11">
        <v>45438</v>
      </c>
      <c r="C841" s="10" t="s">
        <v>607</v>
      </c>
      <c r="D841" s="10" t="s">
        <v>66</v>
      </c>
      <c r="E841" s="10" t="s">
        <v>165</v>
      </c>
      <c r="F841" s="12">
        <v>8</v>
      </c>
      <c r="G841" s="12">
        <v>3660</v>
      </c>
      <c r="H841" s="12">
        <v>19.100000000000001</v>
      </c>
      <c r="I841" s="12">
        <v>23687.52</v>
      </c>
      <c r="J841" s="10" t="s">
        <v>104</v>
      </c>
      <c r="K841" s="10" t="s">
        <v>76</v>
      </c>
      <c r="L841" t="str">
        <f>IFERROR(VLOOKUP(D841,Products!A:F,3,0),"")</f>
        <v>Grocery</v>
      </c>
      <c r="M841" t="str">
        <f>IFERROR(VLOOKUP(E841,Sales_Reps!A:E,3,0),"")</f>
        <v>West</v>
      </c>
      <c r="N841" t="str">
        <f>IFERROR(VLOOKUP(C841,Customers!A:F,5,0),"")</f>
        <v>SMB</v>
      </c>
      <c r="O841">
        <f>IFERROR(VLOOKUP(C841,Customers!A:F,3,0),"")</f>
        <v>27</v>
      </c>
      <c r="P841">
        <f>IFERROR(VLOOKUP(D841,Products!A:F,4,0),"")</f>
        <v>2214</v>
      </c>
      <c r="Q841" t="b">
        <f>IFERROR(VLOOKUP(D841,Products!A:F,6,0),"")</f>
        <v>0</v>
      </c>
      <c r="R841">
        <f t="shared" si="39"/>
        <v>0.39508196721311473</v>
      </c>
      <c r="S841">
        <f t="shared" si="40"/>
        <v>1</v>
      </c>
      <c r="T841">
        <f>IF(AND(S841&gt;1,COUNTIF($A$2:A841,A841)=1),1,0)</f>
        <v>0</v>
      </c>
      <c r="U841">
        <f>COUNTIF(Customers!$A$2:$A$301,C841)</f>
        <v>1</v>
      </c>
      <c r="V841">
        <f t="shared" si="41"/>
        <v>0</v>
      </c>
    </row>
    <row r="842" spans="1:22" ht="14.25" customHeight="1" x14ac:dyDescent="0.35">
      <c r="A842" s="10" t="s">
        <v>1282</v>
      </c>
      <c r="B842" s="11">
        <v>45477</v>
      </c>
      <c r="C842" s="10" t="s">
        <v>497</v>
      </c>
      <c r="D842" s="10" t="s">
        <v>107</v>
      </c>
      <c r="E842" s="10" t="s">
        <v>112</v>
      </c>
      <c r="F842" s="12">
        <v>5</v>
      </c>
      <c r="G842" s="12">
        <v>3250</v>
      </c>
      <c r="H842" s="12">
        <v>12.9</v>
      </c>
      <c r="I842" s="12">
        <v>14153.75</v>
      </c>
      <c r="J842" s="10" t="s">
        <v>51</v>
      </c>
      <c r="K842" s="10" t="s">
        <v>63</v>
      </c>
      <c r="L842" t="str">
        <f>IFERROR(VLOOKUP(D842,Products!A:F,3,0),"")</f>
        <v>Home</v>
      </c>
      <c r="M842" t="str">
        <f>IFERROR(VLOOKUP(E842,Sales_Reps!A:E,3,0),"")</f>
        <v>North</v>
      </c>
      <c r="N842" t="str">
        <f>IFERROR(VLOOKUP(C842,Customers!A:F,5,0),"")</f>
        <v>SMB</v>
      </c>
      <c r="O842">
        <f>IFERROR(VLOOKUP(C842,Customers!A:F,3,0),"")</f>
        <v>48</v>
      </c>
      <c r="P842">
        <f>IFERROR(VLOOKUP(D842,Products!A:F,4,0),"")</f>
        <v>1556</v>
      </c>
      <c r="Q842" t="b">
        <f>IFERROR(VLOOKUP(D842,Products!A:F,6,0),"")</f>
        <v>1</v>
      </c>
      <c r="R842">
        <f t="shared" si="39"/>
        <v>0.52123076923076928</v>
      </c>
      <c r="S842">
        <f t="shared" si="40"/>
        <v>1</v>
      </c>
      <c r="T842">
        <f>IF(AND(S842&gt;1,COUNTIF($A$2:A842,A842)=1),1,0)</f>
        <v>0</v>
      </c>
      <c r="U842">
        <f>COUNTIF(Customers!$A$2:$A$301,C842)</f>
        <v>1</v>
      </c>
      <c r="V842">
        <f t="shared" si="41"/>
        <v>0</v>
      </c>
    </row>
    <row r="843" spans="1:22" ht="14.25" customHeight="1" x14ac:dyDescent="0.35">
      <c r="A843" s="10" t="s">
        <v>1283</v>
      </c>
      <c r="B843" s="11">
        <v>45328</v>
      </c>
      <c r="C843" s="10" t="s">
        <v>527</v>
      </c>
      <c r="D843" s="10" t="s">
        <v>140</v>
      </c>
      <c r="E843" s="10" t="s">
        <v>289</v>
      </c>
      <c r="F843" s="12">
        <v>4</v>
      </c>
      <c r="G843" s="12">
        <v>1650</v>
      </c>
      <c r="H843" s="12">
        <v>4.0999999999999996</v>
      </c>
      <c r="I843" s="12">
        <v>6329.4</v>
      </c>
      <c r="J843" s="10" t="s">
        <v>51</v>
      </c>
      <c r="K843" s="10" t="s">
        <v>52</v>
      </c>
      <c r="L843" t="str">
        <f>IFERROR(VLOOKUP(D843,Products!A:F,3,0),"")</f>
        <v>Beauty</v>
      </c>
      <c r="M843" t="str">
        <f>IFERROR(VLOOKUP(E843,Sales_Reps!A:E,3,0),"")</f>
        <v>South</v>
      </c>
      <c r="N843" t="str">
        <f>IFERROR(VLOOKUP(C843,Customers!A:F,5,0),"")</f>
        <v>SMB</v>
      </c>
      <c r="O843">
        <f>IFERROR(VLOOKUP(C843,Customers!A:F,3,0),"")</f>
        <v>24</v>
      </c>
      <c r="P843">
        <f>IFERROR(VLOOKUP(D843,Products!A:F,4,0),"")</f>
        <v>1222</v>
      </c>
      <c r="Q843" t="b">
        <f>IFERROR(VLOOKUP(D843,Products!A:F,6,0),"")</f>
        <v>1</v>
      </c>
      <c r="R843">
        <f t="shared" si="39"/>
        <v>0.2593939393939394</v>
      </c>
      <c r="S843">
        <f t="shared" si="40"/>
        <v>1</v>
      </c>
      <c r="T843">
        <f>IF(AND(S843&gt;1,COUNTIF($A$2:A843,A843)=1),1,0)</f>
        <v>0</v>
      </c>
      <c r="U843">
        <f>COUNTIF(Customers!$A$2:$A$301,C843)</f>
        <v>1</v>
      </c>
      <c r="V843">
        <f t="shared" si="41"/>
        <v>0</v>
      </c>
    </row>
    <row r="844" spans="1:22" ht="14.25" customHeight="1" x14ac:dyDescent="0.35">
      <c r="A844" s="10" t="s">
        <v>1284</v>
      </c>
      <c r="B844" s="11">
        <v>45624</v>
      </c>
      <c r="C844" s="10" t="s">
        <v>258</v>
      </c>
      <c r="D844" s="10" t="s">
        <v>407</v>
      </c>
      <c r="E844" s="10" t="s">
        <v>112</v>
      </c>
      <c r="F844" s="12">
        <v>6</v>
      </c>
      <c r="G844" s="12">
        <v>5080</v>
      </c>
      <c r="H844" s="12">
        <v>3</v>
      </c>
      <c r="I844" s="12">
        <v>29565.599999999999</v>
      </c>
      <c r="J844" s="10" t="s">
        <v>51</v>
      </c>
      <c r="K844" s="10" t="s">
        <v>97</v>
      </c>
      <c r="L844" t="str">
        <f>IFERROR(VLOOKUP(D844,Products!A:F,3,0),"")</f>
        <v>Home</v>
      </c>
      <c r="M844" t="str">
        <f>IFERROR(VLOOKUP(E844,Sales_Reps!A:E,3,0),"")</f>
        <v>North</v>
      </c>
      <c r="N844" t="str">
        <f>IFERROR(VLOOKUP(C844,Customers!A:F,5,0),"")</f>
        <v>SMB</v>
      </c>
      <c r="O844">
        <f>IFERROR(VLOOKUP(C844,Customers!A:F,3,0),"")</f>
        <v>43</v>
      </c>
      <c r="P844">
        <f>IFERROR(VLOOKUP(D844,Products!A:F,4,0),"")</f>
        <v>2459</v>
      </c>
      <c r="Q844" t="b">
        <f>IFERROR(VLOOKUP(D844,Products!A:F,6,0),"")</f>
        <v>1</v>
      </c>
      <c r="R844">
        <f t="shared" si="39"/>
        <v>0.51594488188976373</v>
      </c>
      <c r="S844">
        <f t="shared" si="40"/>
        <v>1</v>
      </c>
      <c r="T844">
        <f>IF(AND(S844&gt;1,COUNTIF($A$2:A844,A844)=1),1,0)</f>
        <v>0</v>
      </c>
      <c r="U844">
        <f>COUNTIF(Customers!$A$2:$A$301,C844)</f>
        <v>1</v>
      </c>
      <c r="V844">
        <f t="shared" si="41"/>
        <v>0</v>
      </c>
    </row>
    <row r="845" spans="1:22" ht="14.25" customHeight="1" x14ac:dyDescent="0.35">
      <c r="A845" s="10" t="s">
        <v>1285</v>
      </c>
      <c r="B845" s="11">
        <v>45614</v>
      </c>
      <c r="C845" s="10" t="s">
        <v>954</v>
      </c>
      <c r="D845" s="10" t="s">
        <v>125</v>
      </c>
      <c r="E845" s="10" t="s">
        <v>307</v>
      </c>
      <c r="F845" s="12">
        <v>8</v>
      </c>
      <c r="G845" s="12">
        <v>3450</v>
      </c>
      <c r="H845" s="12">
        <v>20.9</v>
      </c>
      <c r="I845" s="12">
        <v>21831.599999999999</v>
      </c>
      <c r="J845" s="10" t="s">
        <v>51</v>
      </c>
      <c r="K845" s="10" t="s">
        <v>81</v>
      </c>
      <c r="L845" t="str">
        <f>IFERROR(VLOOKUP(D845,Products!A:F,3,0),"")</f>
        <v>Sports</v>
      </c>
      <c r="M845" t="str">
        <f>IFERROR(VLOOKUP(E845,Sales_Reps!A:E,3,0),"")</f>
        <v>West</v>
      </c>
      <c r="N845" t="str">
        <f>IFERROR(VLOOKUP(C845,Customers!A:F,5,0),"")</f>
        <v>Retail</v>
      </c>
      <c r="O845">
        <f>IFERROR(VLOOKUP(C845,Customers!A:F,3,0),"")</f>
        <v>61</v>
      </c>
      <c r="P845">
        <f>IFERROR(VLOOKUP(D845,Products!A:F,4,0),"")</f>
        <v>2467</v>
      </c>
      <c r="Q845" t="b">
        <f>IFERROR(VLOOKUP(D845,Products!A:F,6,0),"")</f>
        <v>1</v>
      </c>
      <c r="R845">
        <f t="shared" si="39"/>
        <v>0.28492753623188405</v>
      </c>
      <c r="S845">
        <f t="shared" si="40"/>
        <v>1</v>
      </c>
      <c r="T845">
        <f>IF(AND(S845&gt;1,COUNTIF($A$2:A845,A845)=1),1,0)</f>
        <v>0</v>
      </c>
      <c r="U845">
        <f>COUNTIF(Customers!$A$2:$A$301,C845)</f>
        <v>1</v>
      </c>
      <c r="V845">
        <f t="shared" si="41"/>
        <v>0</v>
      </c>
    </row>
    <row r="846" spans="1:22" ht="14.25" customHeight="1" x14ac:dyDescent="0.35">
      <c r="A846" s="10" t="s">
        <v>1286</v>
      </c>
      <c r="B846" s="11">
        <v>45429</v>
      </c>
      <c r="C846" s="10" t="s">
        <v>265</v>
      </c>
      <c r="D846" s="10" t="s">
        <v>143</v>
      </c>
      <c r="E846" s="10" t="s">
        <v>267</v>
      </c>
      <c r="F846" s="12">
        <v>6</v>
      </c>
      <c r="G846" s="12">
        <v>3350</v>
      </c>
      <c r="H846" s="12">
        <v>24.8</v>
      </c>
      <c r="I846" s="12">
        <v>15115.2</v>
      </c>
      <c r="J846" s="10" t="s">
        <v>51</v>
      </c>
      <c r="K846" s="10" t="s">
        <v>58</v>
      </c>
      <c r="L846" t="str">
        <f>IFERROR(VLOOKUP(D846,Products!A:F,3,0),"")</f>
        <v>Beauty</v>
      </c>
      <c r="M846" t="str">
        <f>IFERROR(VLOOKUP(E846,Sales_Reps!A:E,3,0),"")</f>
        <v>East</v>
      </c>
      <c r="N846" t="str">
        <f>IFERROR(VLOOKUP(C846,Customers!A:F,5,0),"")</f>
        <v>Retail</v>
      </c>
      <c r="O846">
        <f>IFERROR(VLOOKUP(C846,Customers!A:F,3,0),"")</f>
        <v>41</v>
      </c>
      <c r="P846">
        <f>IFERROR(VLOOKUP(D846,Products!A:F,4,0),"")</f>
        <v>1728</v>
      </c>
      <c r="Q846" t="b">
        <f>IFERROR(VLOOKUP(D846,Products!A:F,6,0),"")</f>
        <v>1</v>
      </c>
      <c r="R846">
        <f t="shared" si="39"/>
        <v>0.48417910447761192</v>
      </c>
      <c r="S846">
        <f t="shared" si="40"/>
        <v>1</v>
      </c>
      <c r="T846">
        <f>IF(AND(S846&gt;1,COUNTIF($A$2:A846,A846)=1),1,0)</f>
        <v>0</v>
      </c>
      <c r="U846">
        <f>COUNTIF(Customers!$A$2:$A$301,C846)</f>
        <v>1</v>
      </c>
      <c r="V846">
        <f t="shared" si="41"/>
        <v>0</v>
      </c>
    </row>
    <row r="847" spans="1:22" ht="14.25" customHeight="1" x14ac:dyDescent="0.35">
      <c r="A847" s="10" t="s">
        <v>1287</v>
      </c>
      <c r="B847" s="11">
        <v>45451</v>
      </c>
      <c r="C847" s="10" t="s">
        <v>633</v>
      </c>
      <c r="D847" s="10" t="s">
        <v>302</v>
      </c>
      <c r="E847" s="10" t="s">
        <v>307</v>
      </c>
      <c r="F847" s="12">
        <v>10</v>
      </c>
      <c r="G847" s="12">
        <v>2210</v>
      </c>
      <c r="H847" s="12">
        <v>4.2</v>
      </c>
      <c r="I847" s="12">
        <v>21171.8</v>
      </c>
      <c r="J847" s="10" t="s">
        <v>51</v>
      </c>
      <c r="K847" s="10" t="s">
        <v>97</v>
      </c>
      <c r="L847" t="str">
        <f>IFERROR(VLOOKUP(D847,Products!A:F,3,0),"")</f>
        <v>Grocery</v>
      </c>
      <c r="M847" t="str">
        <f>IFERROR(VLOOKUP(E847,Sales_Reps!A:E,3,0),"")</f>
        <v>West</v>
      </c>
      <c r="N847" t="str">
        <f>IFERROR(VLOOKUP(C847,Customers!A:F,5,0),"")</f>
        <v>Retail</v>
      </c>
      <c r="O847">
        <f>IFERROR(VLOOKUP(C847,Customers!A:F,3,0),"")</f>
        <v>31</v>
      </c>
      <c r="P847">
        <f>IFERROR(VLOOKUP(D847,Products!A:F,4,0),"")</f>
        <v>1010</v>
      </c>
      <c r="Q847" t="b">
        <f>IFERROR(VLOOKUP(D847,Products!A:F,6,0),"")</f>
        <v>1</v>
      </c>
      <c r="R847">
        <f t="shared" si="39"/>
        <v>0.54298642533936647</v>
      </c>
      <c r="S847">
        <f t="shared" si="40"/>
        <v>1</v>
      </c>
      <c r="T847">
        <f>IF(AND(S847&gt;1,COUNTIF($A$2:A847,A847)=1),1,0)</f>
        <v>0</v>
      </c>
      <c r="U847">
        <f>COUNTIF(Customers!$A$2:$A$301,C847)</f>
        <v>1</v>
      </c>
      <c r="V847">
        <f t="shared" si="41"/>
        <v>0</v>
      </c>
    </row>
    <row r="848" spans="1:22" ht="14.25" customHeight="1" x14ac:dyDescent="0.35">
      <c r="A848" s="10" t="s">
        <v>1288</v>
      </c>
      <c r="B848" s="11">
        <v>45444</v>
      </c>
      <c r="C848" s="10" t="s">
        <v>602</v>
      </c>
      <c r="D848" s="10" t="s">
        <v>148</v>
      </c>
      <c r="E848" s="10" t="s">
        <v>67</v>
      </c>
      <c r="F848" s="12">
        <v>10</v>
      </c>
      <c r="G848" s="12">
        <v>4880</v>
      </c>
      <c r="H848" s="12">
        <v>0.7</v>
      </c>
      <c r="I848" s="12">
        <v>48458.400000000001</v>
      </c>
      <c r="J848" s="10" t="s">
        <v>51</v>
      </c>
      <c r="K848" s="10" t="s">
        <v>63</v>
      </c>
      <c r="L848" t="str">
        <f>IFERROR(VLOOKUP(D848,Products!A:F,3,0),"")</f>
        <v>Beauty</v>
      </c>
      <c r="M848" t="str">
        <f>IFERROR(VLOOKUP(E848,Sales_Reps!A:E,3,0),"")</f>
        <v>North</v>
      </c>
      <c r="N848" t="str">
        <f>IFERROR(VLOOKUP(C848,Customers!A:F,5,0),"")</f>
        <v>Retail</v>
      </c>
      <c r="O848">
        <f>IFERROR(VLOOKUP(C848,Customers!A:F,3,0),"")</f>
        <v>43</v>
      </c>
      <c r="P848">
        <f>IFERROR(VLOOKUP(D848,Products!A:F,4,0),"")</f>
        <v>2768</v>
      </c>
      <c r="Q848" t="b">
        <f>IFERROR(VLOOKUP(D848,Products!A:F,6,0),"")</f>
        <v>1</v>
      </c>
      <c r="R848">
        <f t="shared" si="39"/>
        <v>0.43278688524590164</v>
      </c>
      <c r="S848">
        <f t="shared" si="40"/>
        <v>1</v>
      </c>
      <c r="T848">
        <f>IF(AND(S848&gt;1,COUNTIF($A$2:A848,A848)=1),1,0)</f>
        <v>0</v>
      </c>
      <c r="U848">
        <f>COUNTIF(Customers!$A$2:$A$301,C848)</f>
        <v>1</v>
      </c>
      <c r="V848">
        <f t="shared" si="41"/>
        <v>0</v>
      </c>
    </row>
    <row r="849" spans="1:22" ht="14.25" customHeight="1" x14ac:dyDescent="0.35">
      <c r="A849" s="10" t="s">
        <v>1289</v>
      </c>
      <c r="B849" s="11">
        <v>45369</v>
      </c>
      <c r="C849" s="10" t="s">
        <v>127</v>
      </c>
      <c r="D849" s="10" t="s">
        <v>159</v>
      </c>
      <c r="E849" s="10" t="s">
        <v>103</v>
      </c>
      <c r="F849" s="12">
        <v>7</v>
      </c>
      <c r="G849" s="12">
        <v>2860</v>
      </c>
      <c r="H849" s="12">
        <v>28.1</v>
      </c>
      <c r="I849" s="12">
        <v>14394.38</v>
      </c>
      <c r="J849" s="10" t="s">
        <v>57</v>
      </c>
      <c r="K849" s="10" t="s">
        <v>58</v>
      </c>
      <c r="L849" t="str">
        <f>IFERROR(VLOOKUP(D849,Products!A:F,3,0),"")</f>
        <v>Sports</v>
      </c>
      <c r="M849" t="str">
        <f>IFERROR(VLOOKUP(E849,Sales_Reps!A:E,3,0),"")</f>
        <v>North</v>
      </c>
      <c r="N849" t="str">
        <f>IFERROR(VLOOKUP(C849,Customers!A:F,5,0),"")</f>
        <v>Retail</v>
      </c>
      <c r="O849">
        <f>IFERROR(VLOOKUP(C849,Customers!A:F,3,0),"")</f>
        <v>49</v>
      </c>
      <c r="P849">
        <f>IFERROR(VLOOKUP(D849,Products!A:F,4,0),"")</f>
        <v>2028</v>
      </c>
      <c r="Q849" t="b">
        <f>IFERROR(VLOOKUP(D849,Products!A:F,6,0),"")</f>
        <v>1</v>
      </c>
      <c r="R849">
        <f t="shared" si="39"/>
        <v>0.29090909090909089</v>
      </c>
      <c r="S849">
        <f t="shared" si="40"/>
        <v>1</v>
      </c>
      <c r="T849">
        <f>IF(AND(S849&gt;1,COUNTIF($A$2:A849,A849)=1),1,0)</f>
        <v>0</v>
      </c>
      <c r="U849">
        <f>COUNTIF(Customers!$A$2:$A$301,C849)</f>
        <v>1</v>
      </c>
      <c r="V849">
        <f t="shared" si="41"/>
        <v>0</v>
      </c>
    </row>
    <row r="850" spans="1:22" ht="14.25" customHeight="1" x14ac:dyDescent="0.35">
      <c r="A850" s="10" t="s">
        <v>1290</v>
      </c>
      <c r="B850" s="11">
        <v>45581</v>
      </c>
      <c r="C850" s="10" t="s">
        <v>406</v>
      </c>
      <c r="D850" s="10" t="s">
        <v>91</v>
      </c>
      <c r="E850" s="10" t="s">
        <v>56</v>
      </c>
      <c r="F850" s="12">
        <v>3</v>
      </c>
      <c r="G850" s="12">
        <v>970</v>
      </c>
      <c r="H850" s="12">
        <v>28.3</v>
      </c>
      <c r="I850" s="12">
        <v>2086.4699999999998</v>
      </c>
      <c r="J850" s="10" t="s">
        <v>51</v>
      </c>
      <c r="K850" s="10" t="s">
        <v>52</v>
      </c>
      <c r="L850" t="str">
        <f>IFERROR(VLOOKUP(D850,Products!A:F,3,0),"")</f>
        <v>Grocery</v>
      </c>
      <c r="M850" t="str">
        <f>IFERROR(VLOOKUP(E850,Sales_Reps!A:E,3,0),"")</f>
        <v>North</v>
      </c>
      <c r="N850" t="str">
        <f>IFERROR(VLOOKUP(C850,Customers!A:F,5,0),"")</f>
        <v>Retail</v>
      </c>
      <c r="O850">
        <f>IFERROR(VLOOKUP(C850,Customers!A:F,3,0),"")</f>
        <v>65</v>
      </c>
      <c r="P850">
        <f>IFERROR(VLOOKUP(D850,Products!A:F,4,0),"")</f>
        <v>434</v>
      </c>
      <c r="Q850" t="b">
        <f>IFERROR(VLOOKUP(D850,Products!A:F,6,0),"")</f>
        <v>1</v>
      </c>
      <c r="R850">
        <f t="shared" si="39"/>
        <v>0.5525773195876289</v>
      </c>
      <c r="S850">
        <f t="shared" si="40"/>
        <v>1</v>
      </c>
      <c r="T850">
        <f>IF(AND(S850&gt;1,COUNTIF($A$2:A850,A850)=1),1,0)</f>
        <v>0</v>
      </c>
      <c r="U850">
        <f>COUNTIF(Customers!$A$2:$A$301,C850)</f>
        <v>1</v>
      </c>
      <c r="V850">
        <f t="shared" si="41"/>
        <v>0</v>
      </c>
    </row>
    <row r="851" spans="1:22" ht="14.25" customHeight="1" x14ac:dyDescent="0.35">
      <c r="A851" s="10" t="s">
        <v>1291</v>
      </c>
      <c r="B851" s="11">
        <v>45494</v>
      </c>
      <c r="C851" s="10" t="s">
        <v>941</v>
      </c>
      <c r="D851" s="10" t="s">
        <v>209</v>
      </c>
      <c r="E851" s="10" t="s">
        <v>71</v>
      </c>
      <c r="F851" s="12">
        <v>1</v>
      </c>
      <c r="G851" s="12">
        <v>2270</v>
      </c>
      <c r="H851" s="12">
        <v>15.1</v>
      </c>
      <c r="I851" s="12">
        <v>1927.23</v>
      </c>
      <c r="J851" s="10" t="s">
        <v>51</v>
      </c>
      <c r="K851" s="10" t="s">
        <v>52</v>
      </c>
      <c r="L851" t="str">
        <f>IFERROR(VLOOKUP(D851,Products!A:F,3,0),"")</f>
        <v>Grocery</v>
      </c>
      <c r="M851" t="str">
        <f>IFERROR(VLOOKUP(E851,Sales_Reps!A:E,3,0),"")</f>
        <v>North</v>
      </c>
      <c r="N851" t="str">
        <f>IFERROR(VLOOKUP(C851,Customers!A:F,5,0),"")</f>
        <v>Corporate</v>
      </c>
      <c r="O851">
        <f>IFERROR(VLOOKUP(C851,Customers!A:F,3,0),"")</f>
        <v>29</v>
      </c>
      <c r="P851">
        <f>IFERROR(VLOOKUP(D851,Products!A:F,4,0),"")</f>
        <v>1412</v>
      </c>
      <c r="Q851" t="b">
        <f>IFERROR(VLOOKUP(D851,Products!A:F,6,0),"")</f>
        <v>1</v>
      </c>
      <c r="R851">
        <f t="shared" si="39"/>
        <v>0.37797356828193834</v>
      </c>
      <c r="S851">
        <f t="shared" si="40"/>
        <v>1</v>
      </c>
      <c r="T851">
        <f>IF(AND(S851&gt;1,COUNTIF($A$2:A851,A851)=1),1,0)</f>
        <v>0</v>
      </c>
      <c r="U851">
        <f>COUNTIF(Customers!$A$2:$A$301,C851)</f>
        <v>1</v>
      </c>
      <c r="V851">
        <f t="shared" si="41"/>
        <v>0</v>
      </c>
    </row>
    <row r="852" spans="1:22" ht="14.25" customHeight="1" x14ac:dyDescent="0.35">
      <c r="A852" s="10" t="s">
        <v>1292</v>
      </c>
      <c r="B852" s="11">
        <v>45324</v>
      </c>
      <c r="C852" s="10" t="s">
        <v>333</v>
      </c>
      <c r="D852" s="10" t="s">
        <v>623</v>
      </c>
      <c r="E852" s="10" t="s">
        <v>152</v>
      </c>
      <c r="F852" s="12">
        <v>5</v>
      </c>
      <c r="G852" s="12">
        <v>3560</v>
      </c>
      <c r="H852" s="12">
        <v>11.5</v>
      </c>
      <c r="I852" s="12">
        <v>15753</v>
      </c>
      <c r="J852" s="10" t="s">
        <v>51</v>
      </c>
      <c r="K852" s="10" t="s">
        <v>58</v>
      </c>
      <c r="L852" t="str">
        <f>IFERROR(VLOOKUP(D852,Products!A:F,3,0),"")</f>
        <v>Apparel</v>
      </c>
      <c r="M852" t="str">
        <f>IFERROR(VLOOKUP(E852,Sales_Reps!A:E,3,0),"")</f>
        <v>South</v>
      </c>
      <c r="N852" t="str">
        <f>IFERROR(VLOOKUP(C852,Customers!A:F,5,0),"")</f>
        <v>SMB</v>
      </c>
      <c r="O852">
        <f>IFERROR(VLOOKUP(C852,Customers!A:F,3,0),"")</f>
        <v>62</v>
      </c>
      <c r="P852">
        <f>IFERROR(VLOOKUP(D852,Products!A:F,4,0),"")</f>
        <v>2629</v>
      </c>
      <c r="Q852" t="b">
        <f>IFERROR(VLOOKUP(D852,Products!A:F,6,0),"")</f>
        <v>1</v>
      </c>
      <c r="R852">
        <f t="shared" si="39"/>
        <v>0.26151685393258428</v>
      </c>
      <c r="S852">
        <f t="shared" si="40"/>
        <v>1</v>
      </c>
      <c r="T852">
        <f>IF(AND(S852&gt;1,COUNTIF($A$2:A852,A852)=1),1,0)</f>
        <v>0</v>
      </c>
      <c r="U852">
        <f>COUNTIF(Customers!$A$2:$A$301,C852)</f>
        <v>1</v>
      </c>
      <c r="V852">
        <f t="shared" si="41"/>
        <v>0</v>
      </c>
    </row>
    <row r="853" spans="1:22" ht="14.25" customHeight="1" x14ac:dyDescent="0.35">
      <c r="A853" s="10" t="s">
        <v>1293</v>
      </c>
      <c r="B853" s="11">
        <v>45419</v>
      </c>
      <c r="C853" s="10" t="s">
        <v>142</v>
      </c>
      <c r="D853" s="10" t="s">
        <v>324</v>
      </c>
      <c r="E853" s="10" t="s">
        <v>96</v>
      </c>
      <c r="F853" s="12">
        <v>2</v>
      </c>
      <c r="G853" s="12">
        <v>5410</v>
      </c>
      <c r="H853" s="12">
        <v>14.8</v>
      </c>
      <c r="I853" s="12">
        <v>9218.64</v>
      </c>
      <c r="J853" s="10" t="s">
        <v>57</v>
      </c>
      <c r="K853" s="10" t="s">
        <v>58</v>
      </c>
      <c r="L853" t="str">
        <f>IFERROR(VLOOKUP(D853,Products!A:F,3,0),"")</f>
        <v>Sports</v>
      </c>
      <c r="M853" t="str">
        <f>IFERROR(VLOOKUP(E853,Sales_Reps!A:E,3,0),"")</f>
        <v>South</v>
      </c>
      <c r="N853" t="str">
        <f>IFERROR(VLOOKUP(C853,Customers!A:F,5,0),"")</f>
        <v>Corporate</v>
      </c>
      <c r="O853">
        <f>IFERROR(VLOOKUP(C853,Customers!A:F,3,0),"")</f>
        <v>55</v>
      </c>
      <c r="P853">
        <f>IFERROR(VLOOKUP(D853,Products!A:F,4,0),"")</f>
        <v>2265</v>
      </c>
      <c r="Q853" t="b">
        <f>IFERROR(VLOOKUP(D853,Products!A:F,6,0),"")</f>
        <v>1</v>
      </c>
      <c r="R853">
        <f t="shared" si="39"/>
        <v>0.58133086876155271</v>
      </c>
      <c r="S853">
        <f t="shared" si="40"/>
        <v>1</v>
      </c>
      <c r="T853">
        <f>IF(AND(S853&gt;1,COUNTIF($A$2:A853,A853)=1),1,0)</f>
        <v>0</v>
      </c>
      <c r="U853">
        <f>COUNTIF(Customers!$A$2:$A$301,C853)</f>
        <v>1</v>
      </c>
      <c r="V853">
        <f t="shared" si="41"/>
        <v>0</v>
      </c>
    </row>
    <row r="854" spans="1:22" ht="14.25" customHeight="1" x14ac:dyDescent="0.35">
      <c r="A854" s="10" t="s">
        <v>1294</v>
      </c>
      <c r="B854" s="11">
        <v>45656</v>
      </c>
      <c r="C854" s="10" t="s">
        <v>885</v>
      </c>
      <c r="D854" s="10" t="s">
        <v>131</v>
      </c>
      <c r="E854" s="10" t="s">
        <v>67</v>
      </c>
      <c r="F854" s="12">
        <v>2</v>
      </c>
      <c r="G854" s="12">
        <v>2480</v>
      </c>
      <c r="H854" s="12">
        <v>27.2</v>
      </c>
      <c r="I854" s="12">
        <v>3610.88</v>
      </c>
      <c r="J854" s="10" t="s">
        <v>51</v>
      </c>
      <c r="K854" s="10" t="s">
        <v>81</v>
      </c>
      <c r="L854" t="str">
        <f>IFERROR(VLOOKUP(D854,Products!A:F,3,0),"")</f>
        <v>Apparel</v>
      </c>
      <c r="M854" t="str">
        <f>IFERROR(VLOOKUP(E854,Sales_Reps!A:E,3,0),"")</f>
        <v>North</v>
      </c>
      <c r="N854" t="str">
        <f>IFERROR(VLOOKUP(C854,Customers!A:F,5,0),"")</f>
        <v>Retail</v>
      </c>
      <c r="O854">
        <f>IFERROR(VLOOKUP(C854,Customers!A:F,3,0),"")</f>
        <v>28</v>
      </c>
      <c r="P854">
        <f>IFERROR(VLOOKUP(D854,Products!A:F,4,0),"")</f>
        <v>1173</v>
      </c>
      <c r="Q854" t="b">
        <f>IFERROR(VLOOKUP(D854,Products!A:F,6,0),"")</f>
        <v>1</v>
      </c>
      <c r="R854">
        <f t="shared" si="39"/>
        <v>0.52701612903225803</v>
      </c>
      <c r="S854">
        <f t="shared" si="40"/>
        <v>1</v>
      </c>
      <c r="T854">
        <f>IF(AND(S854&gt;1,COUNTIF($A$2:A854,A854)=1),1,0)</f>
        <v>0</v>
      </c>
      <c r="U854">
        <f>COUNTIF(Customers!$A$2:$A$301,C854)</f>
        <v>1</v>
      </c>
      <c r="V854">
        <f t="shared" si="41"/>
        <v>0</v>
      </c>
    </row>
    <row r="855" spans="1:22" ht="14.25" customHeight="1" x14ac:dyDescent="0.35">
      <c r="A855" s="10" t="s">
        <v>1295</v>
      </c>
      <c r="B855" s="11">
        <v>45350</v>
      </c>
      <c r="C855" s="10" t="s">
        <v>494</v>
      </c>
      <c r="D855" s="10" t="s">
        <v>55</v>
      </c>
      <c r="E855" s="10" t="s">
        <v>62</v>
      </c>
      <c r="F855" s="12">
        <v>6</v>
      </c>
      <c r="G855" s="12">
        <v>820</v>
      </c>
      <c r="H855" s="12">
        <v>6.6</v>
      </c>
      <c r="I855" s="12">
        <v>4595.28</v>
      </c>
      <c r="J855" s="10" t="s">
        <v>51</v>
      </c>
      <c r="K855" s="10" t="s">
        <v>63</v>
      </c>
      <c r="L855" t="str">
        <f>IFERROR(VLOOKUP(D855,Products!A:F,3,0),"")</f>
        <v>Apparel</v>
      </c>
      <c r="M855" t="str">
        <f>IFERROR(VLOOKUP(E855,Sales_Reps!A:E,3,0),"")</f>
        <v>South</v>
      </c>
      <c r="N855" t="str">
        <f>IFERROR(VLOOKUP(C855,Customers!A:F,5,0),"")</f>
        <v>Retail</v>
      </c>
      <c r="O855">
        <f>IFERROR(VLOOKUP(C855,Customers!A:F,3,0),"")</f>
        <v>45</v>
      </c>
      <c r="P855">
        <f>IFERROR(VLOOKUP(D855,Products!A:F,4,0),"")</f>
        <v>391</v>
      </c>
      <c r="Q855" t="b">
        <f>IFERROR(VLOOKUP(D855,Products!A:F,6,0),"")</f>
        <v>1</v>
      </c>
      <c r="R855">
        <f t="shared" si="39"/>
        <v>0.52317073170731709</v>
      </c>
      <c r="S855">
        <f t="shared" si="40"/>
        <v>1</v>
      </c>
      <c r="T855">
        <f>IF(AND(S855&gt;1,COUNTIF($A$2:A855,A855)=1),1,0)</f>
        <v>0</v>
      </c>
      <c r="U855">
        <f>COUNTIF(Customers!$A$2:$A$301,C855)</f>
        <v>1</v>
      </c>
      <c r="V855">
        <f t="shared" si="41"/>
        <v>0</v>
      </c>
    </row>
    <row r="856" spans="1:22" ht="14.25" customHeight="1" x14ac:dyDescent="0.35">
      <c r="A856" s="10" t="s">
        <v>1296</v>
      </c>
      <c r="B856" s="11">
        <v>45434</v>
      </c>
      <c r="C856" s="10" t="s">
        <v>211</v>
      </c>
      <c r="D856" s="10" t="s">
        <v>328</v>
      </c>
      <c r="E856" s="10" t="s">
        <v>152</v>
      </c>
      <c r="F856" s="12">
        <v>10</v>
      </c>
      <c r="G856" s="12">
        <v>5330</v>
      </c>
      <c r="H856" s="12">
        <v>16.100000000000001</v>
      </c>
      <c r="I856" s="12">
        <v>44718.7</v>
      </c>
      <c r="J856" s="10" t="s">
        <v>51</v>
      </c>
      <c r="K856" s="10" t="s">
        <v>81</v>
      </c>
      <c r="L856" t="str">
        <f>IFERROR(VLOOKUP(D856,Products!A:F,3,0),"")</f>
        <v>Electronics</v>
      </c>
      <c r="M856" t="str">
        <f>IFERROR(VLOOKUP(E856,Sales_Reps!A:E,3,0),"")</f>
        <v>South</v>
      </c>
      <c r="N856" t="str">
        <f>IFERROR(VLOOKUP(C856,Customers!A:F,5,0),"")</f>
        <v>Retail</v>
      </c>
      <c r="O856">
        <f>IFERROR(VLOOKUP(C856,Customers!A:F,3,0),"")</f>
        <v>34</v>
      </c>
      <c r="P856">
        <f>IFERROR(VLOOKUP(D856,Products!A:F,4,0),"")</f>
        <v>2405</v>
      </c>
      <c r="Q856" t="b">
        <f>IFERROR(VLOOKUP(D856,Products!A:F,6,0),"")</f>
        <v>1</v>
      </c>
      <c r="R856">
        <f t="shared" si="39"/>
        <v>0.54878048780487809</v>
      </c>
      <c r="S856">
        <f t="shared" si="40"/>
        <v>1</v>
      </c>
      <c r="T856">
        <f>IF(AND(S856&gt;1,COUNTIF($A$2:A856,A856)=1),1,0)</f>
        <v>0</v>
      </c>
      <c r="U856">
        <f>COUNTIF(Customers!$A$2:$A$301,C856)</f>
        <v>1</v>
      </c>
      <c r="V856">
        <f t="shared" si="41"/>
        <v>0</v>
      </c>
    </row>
    <row r="857" spans="1:22" ht="14.25" customHeight="1" x14ac:dyDescent="0.35">
      <c r="A857" s="10" t="s">
        <v>1297</v>
      </c>
      <c r="B857" s="11">
        <v>45438</v>
      </c>
      <c r="C857" s="10" t="s">
        <v>708</v>
      </c>
      <c r="D857" s="10" t="s">
        <v>121</v>
      </c>
      <c r="E857" s="10" t="s">
        <v>103</v>
      </c>
      <c r="F857" s="12">
        <v>2</v>
      </c>
      <c r="G857" s="12">
        <v>3450</v>
      </c>
      <c r="H857" s="12">
        <v>11.3</v>
      </c>
      <c r="I857" s="12">
        <v>6120.3</v>
      </c>
      <c r="J857" s="10" t="s">
        <v>57</v>
      </c>
      <c r="K857" s="10" t="s">
        <v>97</v>
      </c>
      <c r="L857" t="str">
        <f>IFERROR(VLOOKUP(D857,Products!A:F,3,0),"")</f>
        <v>Beauty</v>
      </c>
      <c r="M857" t="str">
        <f>IFERROR(VLOOKUP(E857,Sales_Reps!A:E,3,0),"")</f>
        <v>North</v>
      </c>
      <c r="N857" t="str">
        <f>IFERROR(VLOOKUP(C857,Customers!A:F,5,0),"")</f>
        <v>Retail</v>
      </c>
      <c r="O857">
        <f>IFERROR(VLOOKUP(C857,Customers!A:F,3,0),"")</f>
        <v>64</v>
      </c>
      <c r="P857">
        <f>IFERROR(VLOOKUP(D857,Products!A:F,4,0),"")</f>
        <v>2420</v>
      </c>
      <c r="Q857" t="b">
        <f>IFERROR(VLOOKUP(D857,Products!A:F,6,0),"")</f>
        <v>1</v>
      </c>
      <c r="R857">
        <f t="shared" si="39"/>
        <v>0.29855072463768118</v>
      </c>
      <c r="S857">
        <f t="shared" si="40"/>
        <v>1</v>
      </c>
      <c r="T857">
        <f>IF(AND(S857&gt;1,COUNTIF($A$2:A857,A857)=1),1,0)</f>
        <v>0</v>
      </c>
      <c r="U857">
        <f>COUNTIF(Customers!$A$2:$A$301,C857)</f>
        <v>1</v>
      </c>
      <c r="V857">
        <f t="shared" si="41"/>
        <v>0</v>
      </c>
    </row>
    <row r="858" spans="1:22" ht="14.25" customHeight="1" x14ac:dyDescent="0.35">
      <c r="A858" s="10" t="s">
        <v>1298</v>
      </c>
      <c r="B858" s="11">
        <v>45486</v>
      </c>
      <c r="C858" s="10" t="s">
        <v>265</v>
      </c>
      <c r="D858" s="10" t="s">
        <v>344</v>
      </c>
      <c r="E858" s="10" t="s">
        <v>118</v>
      </c>
      <c r="F858" s="12">
        <v>7</v>
      </c>
      <c r="G858" s="12">
        <v>960</v>
      </c>
      <c r="H858" s="12">
        <v>17.100000000000001</v>
      </c>
      <c r="I858" s="12">
        <v>5570.88</v>
      </c>
      <c r="J858" s="10" t="s">
        <v>51</v>
      </c>
      <c r="K858" s="10" t="s">
        <v>58</v>
      </c>
      <c r="L858" t="str">
        <f>IFERROR(VLOOKUP(D858,Products!A:F,3,0),"")</f>
        <v>Beauty</v>
      </c>
      <c r="M858" t="str">
        <f>IFERROR(VLOOKUP(E858,Sales_Reps!A:E,3,0),"")</f>
        <v>East</v>
      </c>
      <c r="N858" t="str">
        <f>IFERROR(VLOOKUP(C858,Customers!A:F,5,0),"")</f>
        <v>Retail</v>
      </c>
      <c r="O858">
        <f>IFERROR(VLOOKUP(C858,Customers!A:F,3,0),"")</f>
        <v>41</v>
      </c>
      <c r="P858">
        <f>IFERROR(VLOOKUP(D858,Products!A:F,4,0),"")</f>
        <v>675</v>
      </c>
      <c r="Q858" t="b">
        <f>IFERROR(VLOOKUP(D858,Products!A:F,6,0),"")</f>
        <v>1</v>
      </c>
      <c r="R858">
        <f t="shared" si="39"/>
        <v>0.296875</v>
      </c>
      <c r="S858">
        <f t="shared" si="40"/>
        <v>1</v>
      </c>
      <c r="T858">
        <f>IF(AND(S858&gt;1,COUNTIF($A$2:A858,A858)=1),1,0)</f>
        <v>0</v>
      </c>
      <c r="U858">
        <f>COUNTIF(Customers!$A$2:$A$301,C858)</f>
        <v>1</v>
      </c>
      <c r="V858">
        <f t="shared" si="41"/>
        <v>0</v>
      </c>
    </row>
    <row r="859" spans="1:22" ht="14.25" customHeight="1" x14ac:dyDescent="0.35">
      <c r="A859" s="10" t="s">
        <v>1299</v>
      </c>
      <c r="B859" s="11">
        <v>45623</v>
      </c>
      <c r="C859" s="10" t="s">
        <v>258</v>
      </c>
      <c r="D859" s="10" t="s">
        <v>416</v>
      </c>
      <c r="E859" s="10" t="s">
        <v>112</v>
      </c>
      <c r="F859" s="12">
        <v>5</v>
      </c>
      <c r="G859" s="12">
        <v>3450</v>
      </c>
      <c r="H859" s="12">
        <v>22.9</v>
      </c>
      <c r="I859" s="12">
        <v>13299.75</v>
      </c>
      <c r="J859" s="10" t="s">
        <v>51</v>
      </c>
      <c r="K859" s="10" t="s">
        <v>97</v>
      </c>
      <c r="L859" t="str">
        <f>IFERROR(VLOOKUP(D859,Products!A:F,3,0),"")</f>
        <v>Apparel</v>
      </c>
      <c r="M859" t="str">
        <f>IFERROR(VLOOKUP(E859,Sales_Reps!A:E,3,0),"")</f>
        <v>North</v>
      </c>
      <c r="N859" t="str">
        <f>IFERROR(VLOOKUP(C859,Customers!A:F,5,0),"")</f>
        <v>SMB</v>
      </c>
      <c r="O859">
        <f>IFERROR(VLOOKUP(C859,Customers!A:F,3,0),"")</f>
        <v>43</v>
      </c>
      <c r="P859">
        <f>IFERROR(VLOOKUP(D859,Products!A:F,4,0),"")</f>
        <v>1748</v>
      </c>
      <c r="Q859" t="b">
        <f>IFERROR(VLOOKUP(D859,Products!A:F,6,0),"")</f>
        <v>1</v>
      </c>
      <c r="R859">
        <f t="shared" si="39"/>
        <v>0.49333333333333335</v>
      </c>
      <c r="S859">
        <f t="shared" si="40"/>
        <v>1</v>
      </c>
      <c r="T859">
        <f>IF(AND(S859&gt;1,COUNTIF($A$2:A859,A859)=1),1,0)</f>
        <v>0</v>
      </c>
      <c r="U859">
        <f>COUNTIF(Customers!$A$2:$A$301,C859)</f>
        <v>1</v>
      </c>
      <c r="V859">
        <f t="shared" si="41"/>
        <v>0</v>
      </c>
    </row>
    <row r="860" spans="1:22" ht="14.25" customHeight="1" x14ac:dyDescent="0.35">
      <c r="A860" s="10" t="s">
        <v>1300</v>
      </c>
      <c r="B860" s="11">
        <v>45634</v>
      </c>
      <c r="C860" s="10" t="s">
        <v>820</v>
      </c>
      <c r="D860" s="10" t="s">
        <v>231</v>
      </c>
      <c r="E860" s="10" t="s">
        <v>71</v>
      </c>
      <c r="F860" s="12">
        <v>5</v>
      </c>
      <c r="G860" s="12">
        <v>1220</v>
      </c>
      <c r="H860" s="12">
        <v>0.3</v>
      </c>
      <c r="I860" s="12">
        <v>6081.7</v>
      </c>
      <c r="J860" s="10" t="s">
        <v>51</v>
      </c>
      <c r="K860" s="10" t="s">
        <v>52</v>
      </c>
      <c r="L860" t="str">
        <f>IFERROR(VLOOKUP(D860,Products!A:F,3,0),"")</f>
        <v>Electronics</v>
      </c>
      <c r="M860" t="str">
        <f>IFERROR(VLOOKUP(E860,Sales_Reps!A:E,3,0),"")</f>
        <v>North</v>
      </c>
      <c r="N860" t="str">
        <f>IFERROR(VLOOKUP(C860,Customers!A:F,5,0),"")</f>
        <v>SMB</v>
      </c>
      <c r="O860">
        <f>IFERROR(VLOOKUP(C860,Customers!A:F,3,0),"")</f>
        <v>59</v>
      </c>
      <c r="P860">
        <f>IFERROR(VLOOKUP(D860,Products!A:F,4,0),"")</f>
        <v>517</v>
      </c>
      <c r="Q860" t="b">
        <f>IFERROR(VLOOKUP(D860,Products!A:F,6,0),"")</f>
        <v>1</v>
      </c>
      <c r="R860">
        <f t="shared" si="39"/>
        <v>0.57622950819672136</v>
      </c>
      <c r="S860">
        <f t="shared" si="40"/>
        <v>1</v>
      </c>
      <c r="T860">
        <f>IF(AND(S860&gt;1,COUNTIF($A$2:A860,A860)=1),1,0)</f>
        <v>0</v>
      </c>
      <c r="U860">
        <f>COUNTIF(Customers!$A$2:$A$301,C860)</f>
        <v>1</v>
      </c>
      <c r="V860">
        <f t="shared" si="41"/>
        <v>0</v>
      </c>
    </row>
    <row r="861" spans="1:22" ht="14.25" customHeight="1" x14ac:dyDescent="0.35">
      <c r="A861" s="10" t="s">
        <v>1301</v>
      </c>
      <c r="B861" s="11">
        <v>45308</v>
      </c>
      <c r="C861" s="10" t="s">
        <v>1136</v>
      </c>
      <c r="D861" s="10" t="s">
        <v>328</v>
      </c>
      <c r="E861" s="10" t="s">
        <v>50</v>
      </c>
      <c r="F861" s="12">
        <v>5</v>
      </c>
      <c r="G861" s="12">
        <v>5330</v>
      </c>
      <c r="H861" s="12">
        <v>29</v>
      </c>
      <c r="I861" s="12">
        <v>18921.5</v>
      </c>
      <c r="J861" s="10" t="s">
        <v>51</v>
      </c>
      <c r="K861" s="10" t="s">
        <v>52</v>
      </c>
      <c r="L861" t="str">
        <f>IFERROR(VLOOKUP(D861,Products!A:F,3,0),"")</f>
        <v>Electronics</v>
      </c>
      <c r="M861" t="str">
        <f>IFERROR(VLOOKUP(E861,Sales_Reps!A:E,3,0),"")</f>
        <v>North</v>
      </c>
      <c r="N861" t="str">
        <f>IFERROR(VLOOKUP(C861,Customers!A:F,5,0),"")</f>
        <v>Retail</v>
      </c>
      <c r="O861">
        <f>IFERROR(VLOOKUP(C861,Customers!A:F,3,0),"")</f>
        <v>39</v>
      </c>
      <c r="P861">
        <f>IFERROR(VLOOKUP(D861,Products!A:F,4,0),"")</f>
        <v>2405</v>
      </c>
      <c r="Q861" t="b">
        <f>IFERROR(VLOOKUP(D861,Products!A:F,6,0),"")</f>
        <v>1</v>
      </c>
      <c r="R861">
        <f t="shared" si="39"/>
        <v>0.54878048780487809</v>
      </c>
      <c r="S861">
        <f t="shared" si="40"/>
        <v>1</v>
      </c>
      <c r="T861">
        <f>IF(AND(S861&gt;1,COUNTIF($A$2:A861,A861)=1),1,0)</f>
        <v>0</v>
      </c>
      <c r="U861">
        <f>COUNTIF(Customers!$A$2:$A$301,C861)</f>
        <v>1</v>
      </c>
      <c r="V861">
        <f t="shared" si="41"/>
        <v>0</v>
      </c>
    </row>
    <row r="862" spans="1:22" ht="14.25" customHeight="1" x14ac:dyDescent="0.35">
      <c r="A862" s="10" t="s">
        <v>1302</v>
      </c>
      <c r="B862" s="11">
        <v>45641</v>
      </c>
      <c r="C862" s="10" t="s">
        <v>723</v>
      </c>
      <c r="D862" s="10" t="s">
        <v>151</v>
      </c>
      <c r="E862" s="10" t="s">
        <v>92</v>
      </c>
      <c r="F862" s="12">
        <v>3</v>
      </c>
      <c r="G862" s="12">
        <v>3570</v>
      </c>
      <c r="H862" s="12">
        <v>20</v>
      </c>
      <c r="I862" s="12">
        <v>8568</v>
      </c>
      <c r="J862" s="10" t="s">
        <v>104</v>
      </c>
      <c r="K862" s="10" t="s">
        <v>81</v>
      </c>
      <c r="L862" t="str">
        <f>IFERROR(VLOOKUP(D862,Products!A:F,3,0),"")</f>
        <v>Electronics</v>
      </c>
      <c r="M862" t="str">
        <f>IFERROR(VLOOKUP(E862,Sales_Reps!A:E,3,0),"")</f>
        <v>West</v>
      </c>
      <c r="N862" t="str">
        <f>IFERROR(VLOOKUP(C862,Customers!A:F,5,0),"")</f>
        <v>Retail</v>
      </c>
      <c r="O862">
        <f>IFERROR(VLOOKUP(C862,Customers!A:F,3,0),"")</f>
        <v>29</v>
      </c>
      <c r="P862">
        <f>IFERROR(VLOOKUP(D862,Products!A:F,4,0),"")</f>
        <v>1665</v>
      </c>
      <c r="Q862" t="b">
        <f>IFERROR(VLOOKUP(D862,Products!A:F,6,0),"")</f>
        <v>1</v>
      </c>
      <c r="R862">
        <f t="shared" si="39"/>
        <v>0.53361344537815125</v>
      </c>
      <c r="S862">
        <f t="shared" si="40"/>
        <v>1</v>
      </c>
      <c r="T862">
        <f>IF(AND(S862&gt;1,COUNTIF($A$2:A862,A862)=1),1,0)</f>
        <v>0</v>
      </c>
      <c r="U862">
        <f>COUNTIF(Customers!$A$2:$A$301,C862)</f>
        <v>1</v>
      </c>
      <c r="V862">
        <f t="shared" si="41"/>
        <v>0</v>
      </c>
    </row>
    <row r="863" spans="1:22" ht="14.25" customHeight="1" x14ac:dyDescent="0.35">
      <c r="A863" s="10" t="s">
        <v>1303</v>
      </c>
      <c r="B863" s="11">
        <v>45396</v>
      </c>
      <c r="C863" s="10" t="s">
        <v>693</v>
      </c>
      <c r="D863" s="10" t="s">
        <v>302</v>
      </c>
      <c r="E863" s="10" t="s">
        <v>165</v>
      </c>
      <c r="F863" s="12">
        <v>9</v>
      </c>
      <c r="G863" s="12">
        <v>2210</v>
      </c>
      <c r="H863" s="12">
        <v>12.4</v>
      </c>
      <c r="I863" s="12">
        <v>17423.64</v>
      </c>
      <c r="J863" s="10" t="s">
        <v>51</v>
      </c>
      <c r="K863" s="10" t="s">
        <v>76</v>
      </c>
      <c r="L863" t="str">
        <f>IFERROR(VLOOKUP(D863,Products!A:F,3,0),"")</f>
        <v>Grocery</v>
      </c>
      <c r="M863" t="str">
        <f>IFERROR(VLOOKUP(E863,Sales_Reps!A:E,3,0),"")</f>
        <v>West</v>
      </c>
      <c r="N863" t="str">
        <f>IFERROR(VLOOKUP(C863,Customers!A:F,5,0),"")</f>
        <v>Retail</v>
      </c>
      <c r="O863">
        <f>IFERROR(VLOOKUP(C863,Customers!A:F,3,0),"")</f>
        <v>56</v>
      </c>
      <c r="P863">
        <f>IFERROR(VLOOKUP(D863,Products!A:F,4,0),"")</f>
        <v>1010</v>
      </c>
      <c r="Q863" t="b">
        <f>IFERROR(VLOOKUP(D863,Products!A:F,6,0),"")</f>
        <v>1</v>
      </c>
      <c r="R863">
        <f t="shared" si="39"/>
        <v>0.54298642533936647</v>
      </c>
      <c r="S863">
        <f t="shared" si="40"/>
        <v>1</v>
      </c>
      <c r="T863">
        <f>IF(AND(S863&gt;1,COUNTIF($A$2:A863,A863)=1),1,0)</f>
        <v>0</v>
      </c>
      <c r="U863">
        <f>COUNTIF(Customers!$A$2:$A$301,C863)</f>
        <v>1</v>
      </c>
      <c r="V863">
        <f t="shared" si="41"/>
        <v>0</v>
      </c>
    </row>
    <row r="864" spans="1:22" ht="14.25" customHeight="1" x14ac:dyDescent="0.35">
      <c r="A864" s="10" t="s">
        <v>1304</v>
      </c>
      <c r="B864" s="11">
        <v>45302</v>
      </c>
      <c r="C864" s="10" t="s">
        <v>106</v>
      </c>
      <c r="D864" s="10" t="s">
        <v>425</v>
      </c>
      <c r="E864" s="10" t="s">
        <v>193</v>
      </c>
      <c r="F864" s="12">
        <v>5</v>
      </c>
      <c r="G864" s="12">
        <v>3780</v>
      </c>
      <c r="H864" s="12">
        <v>3.9</v>
      </c>
      <c r="I864" s="12">
        <v>18162.900000000001</v>
      </c>
      <c r="J864" s="10" t="s">
        <v>51</v>
      </c>
      <c r="K864" s="10" t="s">
        <v>52</v>
      </c>
      <c r="L864" t="str">
        <f>IFERROR(VLOOKUP(D864,Products!A:F,3,0),"")</f>
        <v>Sports</v>
      </c>
      <c r="M864" t="str">
        <f>IFERROR(VLOOKUP(E864,Sales_Reps!A:E,3,0),"")</f>
        <v>West</v>
      </c>
      <c r="N864" t="str">
        <f>IFERROR(VLOOKUP(C864,Customers!A:F,5,0),"")</f>
        <v>SMB</v>
      </c>
      <c r="O864">
        <f>IFERROR(VLOOKUP(C864,Customers!A:F,3,0),"")</f>
        <v>39</v>
      </c>
      <c r="P864">
        <f>IFERROR(VLOOKUP(D864,Products!A:F,4,0),"")</f>
        <v>1860</v>
      </c>
      <c r="Q864" t="b">
        <f>IFERROR(VLOOKUP(D864,Products!A:F,6,0),"")</f>
        <v>1</v>
      </c>
      <c r="R864">
        <f t="shared" si="39"/>
        <v>0.50793650793650791</v>
      </c>
      <c r="S864">
        <f t="shared" si="40"/>
        <v>1</v>
      </c>
      <c r="T864">
        <f>IF(AND(S864&gt;1,COUNTIF($A$2:A864,A864)=1),1,0)</f>
        <v>0</v>
      </c>
      <c r="U864">
        <f>COUNTIF(Customers!$A$2:$A$301,C864)</f>
        <v>1</v>
      </c>
      <c r="V864">
        <f t="shared" si="41"/>
        <v>0</v>
      </c>
    </row>
    <row r="865" spans="1:22" ht="14.25" customHeight="1" x14ac:dyDescent="0.35">
      <c r="A865" s="10" t="s">
        <v>1305</v>
      </c>
      <c r="B865" s="11">
        <v>45626</v>
      </c>
      <c r="C865" s="10" t="s">
        <v>133</v>
      </c>
      <c r="D865" s="10" t="s">
        <v>99</v>
      </c>
      <c r="E865" s="10" t="s">
        <v>71</v>
      </c>
      <c r="F865" s="12">
        <v>10</v>
      </c>
      <c r="G865" s="12">
        <v>2640</v>
      </c>
      <c r="H865" s="12">
        <v>17.8</v>
      </c>
      <c r="I865" s="12">
        <v>21700.799999999999</v>
      </c>
      <c r="J865" s="10" t="s">
        <v>108</v>
      </c>
      <c r="K865" s="10" t="s">
        <v>76</v>
      </c>
      <c r="L865" t="str">
        <f>IFERROR(VLOOKUP(D865,Products!A:F,3,0),"")</f>
        <v>Electronics</v>
      </c>
      <c r="M865" t="str">
        <f>IFERROR(VLOOKUP(E865,Sales_Reps!A:E,3,0),"")</f>
        <v>North</v>
      </c>
      <c r="N865" t="str">
        <f>IFERROR(VLOOKUP(C865,Customers!A:F,5,0),"")</f>
        <v>Retail</v>
      </c>
      <c r="O865">
        <f>IFERROR(VLOOKUP(C865,Customers!A:F,3,0),"")</f>
        <v>34</v>
      </c>
      <c r="P865">
        <f>IFERROR(VLOOKUP(D865,Products!A:F,4,0),"")</f>
        <v>1149</v>
      </c>
      <c r="Q865" t="b">
        <f>IFERROR(VLOOKUP(D865,Products!A:F,6,0),"")</f>
        <v>1</v>
      </c>
      <c r="R865">
        <f t="shared" si="39"/>
        <v>0.56477272727272732</v>
      </c>
      <c r="S865">
        <f t="shared" si="40"/>
        <v>1</v>
      </c>
      <c r="T865">
        <f>IF(AND(S865&gt;1,COUNTIF($A$2:A865,A865)=1),1,0)</f>
        <v>0</v>
      </c>
      <c r="U865">
        <f>COUNTIF(Customers!$A$2:$A$301,C865)</f>
        <v>1</v>
      </c>
      <c r="V865">
        <f t="shared" si="41"/>
        <v>0</v>
      </c>
    </row>
    <row r="866" spans="1:22" ht="14.25" customHeight="1" x14ac:dyDescent="0.35">
      <c r="A866" s="10" t="s">
        <v>1306</v>
      </c>
      <c r="B866" s="11">
        <v>45352</v>
      </c>
      <c r="C866" s="10" t="s">
        <v>574</v>
      </c>
      <c r="D866" s="10" t="s">
        <v>246</v>
      </c>
      <c r="E866" s="10" t="s">
        <v>80</v>
      </c>
      <c r="F866" s="12">
        <v>5</v>
      </c>
      <c r="G866" s="12">
        <v>300</v>
      </c>
      <c r="H866" s="12">
        <v>12.9</v>
      </c>
      <c r="I866" s="12">
        <v>1306.5</v>
      </c>
      <c r="J866" s="10" t="s">
        <v>51</v>
      </c>
      <c r="K866" s="10" t="s">
        <v>81</v>
      </c>
      <c r="L866" t="str">
        <f>IFERROR(VLOOKUP(D866,Products!A:F,3,0),"")</f>
        <v>Electronics</v>
      </c>
      <c r="M866" t="str">
        <f>IFERROR(VLOOKUP(E866,Sales_Reps!A:E,3,0),"")</f>
        <v>West</v>
      </c>
      <c r="N866" t="str">
        <f>IFERROR(VLOOKUP(C866,Customers!A:F,5,0),"")</f>
        <v>SMB</v>
      </c>
      <c r="O866">
        <f>IFERROR(VLOOKUP(C866,Customers!A:F,3,0),"")</f>
        <v>42</v>
      </c>
      <c r="P866">
        <f>IFERROR(VLOOKUP(D866,Products!A:F,4,0),"")</f>
        <v>128</v>
      </c>
      <c r="Q866" t="b">
        <f>IFERROR(VLOOKUP(D866,Products!A:F,6,0),"")</f>
        <v>1</v>
      </c>
      <c r="R866">
        <f t="shared" si="39"/>
        <v>0.57333333333333336</v>
      </c>
      <c r="S866">
        <f t="shared" si="40"/>
        <v>1</v>
      </c>
      <c r="T866">
        <f>IF(AND(S866&gt;1,COUNTIF($A$2:A866,A866)=1),1,0)</f>
        <v>0</v>
      </c>
      <c r="U866">
        <f>COUNTIF(Customers!$A$2:$A$301,C866)</f>
        <v>1</v>
      </c>
      <c r="V866">
        <f t="shared" si="41"/>
        <v>0</v>
      </c>
    </row>
    <row r="867" spans="1:22" ht="14.25" customHeight="1" x14ac:dyDescent="0.35">
      <c r="A867" s="10" t="s">
        <v>1307</v>
      </c>
      <c r="B867" s="11">
        <v>45588</v>
      </c>
      <c r="C867" s="10" t="s">
        <v>258</v>
      </c>
      <c r="D867" s="10" t="s">
        <v>115</v>
      </c>
      <c r="E867" s="10" t="s">
        <v>216</v>
      </c>
      <c r="F867" s="12">
        <v>2</v>
      </c>
      <c r="G867" s="12">
        <v>2400</v>
      </c>
      <c r="H867" s="12">
        <v>17.100000000000001</v>
      </c>
      <c r="I867" s="12">
        <v>3979.2</v>
      </c>
      <c r="J867" s="10" t="s">
        <v>57</v>
      </c>
      <c r="K867" s="10" t="s">
        <v>97</v>
      </c>
      <c r="L867" t="str">
        <f>IFERROR(VLOOKUP(D867,Products!A:F,3,0),"")</f>
        <v>Sports</v>
      </c>
      <c r="M867" t="str">
        <f>IFERROR(VLOOKUP(E867,Sales_Reps!A:E,3,0),"")</f>
        <v>South</v>
      </c>
      <c r="N867" t="str">
        <f>IFERROR(VLOOKUP(C867,Customers!A:F,5,0),"")</f>
        <v>SMB</v>
      </c>
      <c r="O867">
        <f>IFERROR(VLOOKUP(C867,Customers!A:F,3,0),"")</f>
        <v>43</v>
      </c>
      <c r="P867">
        <f>IFERROR(VLOOKUP(D867,Products!A:F,4,0),"")</f>
        <v>974</v>
      </c>
      <c r="Q867" t="b">
        <f>IFERROR(VLOOKUP(D867,Products!A:F,6,0),"")</f>
        <v>1</v>
      </c>
      <c r="R867">
        <f t="shared" si="39"/>
        <v>0.59416666666666662</v>
      </c>
      <c r="S867">
        <f t="shared" si="40"/>
        <v>1</v>
      </c>
      <c r="T867">
        <f>IF(AND(S867&gt;1,COUNTIF($A$2:A867,A867)=1),1,0)</f>
        <v>0</v>
      </c>
      <c r="U867">
        <f>COUNTIF(Customers!$A$2:$A$301,C867)</f>
        <v>1</v>
      </c>
      <c r="V867">
        <f t="shared" si="41"/>
        <v>0</v>
      </c>
    </row>
    <row r="868" spans="1:22" ht="14.25" customHeight="1" x14ac:dyDescent="0.35">
      <c r="A868" s="10" t="s">
        <v>1308</v>
      </c>
      <c r="B868" s="11">
        <v>45583</v>
      </c>
      <c r="C868" s="10" t="s">
        <v>263</v>
      </c>
      <c r="D868" s="10" t="s">
        <v>128</v>
      </c>
      <c r="E868" s="10" t="s">
        <v>165</v>
      </c>
      <c r="F868" s="12">
        <v>5</v>
      </c>
      <c r="G868" s="12">
        <v>1080</v>
      </c>
      <c r="H868" s="12">
        <v>15.7</v>
      </c>
      <c r="I868" s="12">
        <v>4552.2</v>
      </c>
      <c r="J868" s="10" t="s">
        <v>57</v>
      </c>
      <c r="K868" s="10" t="s">
        <v>97</v>
      </c>
      <c r="L868" t="str">
        <f>IFERROR(VLOOKUP(D868,Products!A:F,3,0),"")</f>
        <v>Home</v>
      </c>
      <c r="M868" t="str">
        <f>IFERROR(VLOOKUP(E868,Sales_Reps!A:E,3,0),"")</f>
        <v>West</v>
      </c>
      <c r="N868" t="str">
        <f>IFERROR(VLOOKUP(C868,Customers!A:F,5,0),"")</f>
        <v>Retail</v>
      </c>
      <c r="O868">
        <f>IFERROR(VLOOKUP(C868,Customers!A:F,3,0),"")</f>
        <v>29</v>
      </c>
      <c r="P868">
        <f>IFERROR(VLOOKUP(D868,Products!A:F,4,0),"")</f>
        <v>519</v>
      </c>
      <c r="Q868" t="b">
        <f>IFERROR(VLOOKUP(D868,Products!A:F,6,0),"")</f>
        <v>1</v>
      </c>
      <c r="R868">
        <f t="shared" si="39"/>
        <v>0.51944444444444449</v>
      </c>
      <c r="S868">
        <f t="shared" si="40"/>
        <v>1</v>
      </c>
      <c r="T868">
        <f>IF(AND(S868&gt;1,COUNTIF($A$2:A868,A868)=1),1,0)</f>
        <v>0</v>
      </c>
      <c r="U868">
        <f>COUNTIF(Customers!$A$2:$A$301,C868)</f>
        <v>1</v>
      </c>
      <c r="V868">
        <f t="shared" si="41"/>
        <v>0</v>
      </c>
    </row>
    <row r="869" spans="1:22" ht="14.25" customHeight="1" x14ac:dyDescent="0.35">
      <c r="A869" s="10" t="s">
        <v>1309</v>
      </c>
      <c r="B869" s="11">
        <v>45528</v>
      </c>
      <c r="C869" s="10" t="s">
        <v>678</v>
      </c>
      <c r="D869" s="10" t="s">
        <v>107</v>
      </c>
      <c r="E869" s="10" t="s">
        <v>112</v>
      </c>
      <c r="F869" s="12">
        <v>1</v>
      </c>
      <c r="G869" s="12">
        <v>3250</v>
      </c>
      <c r="H869" s="12">
        <v>14.7</v>
      </c>
      <c r="I869" s="12">
        <v>2772.25</v>
      </c>
      <c r="J869" s="10" t="s">
        <v>51</v>
      </c>
      <c r="K869" s="10" t="s">
        <v>63</v>
      </c>
      <c r="L869" t="str">
        <f>IFERROR(VLOOKUP(D869,Products!A:F,3,0),"")</f>
        <v>Home</v>
      </c>
      <c r="M869" t="str">
        <f>IFERROR(VLOOKUP(E869,Sales_Reps!A:E,3,0),"")</f>
        <v>North</v>
      </c>
      <c r="N869" t="str">
        <f>IFERROR(VLOOKUP(C869,Customers!A:F,5,0),"")</f>
        <v>Retail</v>
      </c>
      <c r="O869">
        <f>IFERROR(VLOOKUP(C869,Customers!A:F,3,0),"")</f>
        <v>24</v>
      </c>
      <c r="P869">
        <f>IFERROR(VLOOKUP(D869,Products!A:F,4,0),"")</f>
        <v>1556</v>
      </c>
      <c r="Q869" t="b">
        <f>IFERROR(VLOOKUP(D869,Products!A:F,6,0),"")</f>
        <v>1</v>
      </c>
      <c r="R869">
        <f t="shared" si="39"/>
        <v>0.52123076923076928</v>
      </c>
      <c r="S869">
        <f t="shared" si="40"/>
        <v>1</v>
      </c>
      <c r="T869">
        <f>IF(AND(S869&gt;1,COUNTIF($A$2:A869,A869)=1),1,0)</f>
        <v>0</v>
      </c>
      <c r="U869">
        <f>COUNTIF(Customers!$A$2:$A$301,C869)</f>
        <v>1</v>
      </c>
      <c r="V869">
        <f t="shared" si="41"/>
        <v>0</v>
      </c>
    </row>
    <row r="870" spans="1:22" ht="14.25" customHeight="1" x14ac:dyDescent="0.35">
      <c r="A870" s="10" t="s">
        <v>1310</v>
      </c>
      <c r="B870" s="11">
        <v>45400</v>
      </c>
      <c r="C870" s="10" t="s">
        <v>380</v>
      </c>
      <c r="D870" s="10" t="s">
        <v>74</v>
      </c>
      <c r="E870" s="10" t="s">
        <v>122</v>
      </c>
      <c r="F870" s="12">
        <v>7</v>
      </c>
      <c r="G870" s="12">
        <v>370</v>
      </c>
      <c r="H870" s="12">
        <v>6</v>
      </c>
      <c r="I870" s="12">
        <v>2434.6</v>
      </c>
      <c r="J870" s="10" t="s">
        <v>104</v>
      </c>
      <c r="K870" s="10" t="s">
        <v>81</v>
      </c>
      <c r="L870" t="str">
        <f>IFERROR(VLOOKUP(D870,Products!A:F,3,0),"")</f>
        <v>Home</v>
      </c>
      <c r="M870" t="str">
        <f>IFERROR(VLOOKUP(E870,Sales_Reps!A:E,3,0),"")</f>
        <v>East</v>
      </c>
      <c r="N870" t="str">
        <f>IFERROR(VLOOKUP(C870,Customers!A:F,5,0),"")</f>
        <v>Corporate</v>
      </c>
      <c r="O870">
        <f>IFERROR(VLOOKUP(C870,Customers!A:F,3,0),"")</f>
        <v>42</v>
      </c>
      <c r="P870">
        <f>IFERROR(VLOOKUP(D870,Products!A:F,4,0),"")</f>
        <v>288</v>
      </c>
      <c r="Q870" t="b">
        <f>IFERROR(VLOOKUP(D870,Products!A:F,6,0),"")</f>
        <v>1</v>
      </c>
      <c r="R870">
        <f t="shared" si="39"/>
        <v>0.22162162162162163</v>
      </c>
      <c r="S870">
        <f t="shared" si="40"/>
        <v>1</v>
      </c>
      <c r="T870">
        <f>IF(AND(S870&gt;1,COUNTIF($A$2:A870,A870)=1),1,0)</f>
        <v>0</v>
      </c>
      <c r="U870">
        <f>COUNTIF(Customers!$A$2:$A$301,C870)</f>
        <v>1</v>
      </c>
      <c r="V870">
        <f t="shared" si="41"/>
        <v>0</v>
      </c>
    </row>
    <row r="871" spans="1:22" ht="14.25" customHeight="1" x14ac:dyDescent="0.35">
      <c r="A871" s="10" t="s">
        <v>1311</v>
      </c>
      <c r="B871" s="11">
        <v>45337</v>
      </c>
      <c r="C871" s="10" t="s">
        <v>1312</v>
      </c>
      <c r="D871" s="10" t="s">
        <v>88</v>
      </c>
      <c r="E871" s="10" t="s">
        <v>193</v>
      </c>
      <c r="F871" s="12">
        <v>7</v>
      </c>
      <c r="G871" s="12">
        <v>5490</v>
      </c>
      <c r="H871" s="12">
        <v>10.199999999999999</v>
      </c>
      <c r="I871" s="12">
        <v>34510.14</v>
      </c>
      <c r="J871" s="10" t="s">
        <v>51</v>
      </c>
      <c r="K871" s="10" t="s">
        <v>52</v>
      </c>
      <c r="L871" t="str">
        <f>IFERROR(VLOOKUP(D871,Products!A:F,3,0),"")</f>
        <v>Home</v>
      </c>
      <c r="M871" t="str">
        <f>IFERROR(VLOOKUP(E871,Sales_Reps!A:E,3,0),"")</f>
        <v>West</v>
      </c>
      <c r="N871" t="str">
        <f>IFERROR(VLOOKUP(C871,Customers!A:F,5,0),"")</f>
        <v/>
      </c>
      <c r="O871" t="str">
        <f>IFERROR(VLOOKUP(C871,Customers!A:F,3,0),"")</f>
        <v/>
      </c>
      <c r="P871">
        <f>IFERROR(VLOOKUP(D871,Products!A:F,4,0),"")</f>
        <v>2549</v>
      </c>
      <c r="Q871" t="b">
        <f>IFERROR(VLOOKUP(D871,Products!A:F,6,0),"")</f>
        <v>1</v>
      </c>
      <c r="R871">
        <f t="shared" si="39"/>
        <v>0.53570127504553733</v>
      </c>
      <c r="S871">
        <f t="shared" si="40"/>
        <v>1</v>
      </c>
      <c r="T871">
        <f>IF(AND(S871&gt;1,COUNTIF($A$2:A871,A871)=1),1,0)</f>
        <v>0</v>
      </c>
      <c r="U871">
        <f>COUNTIF(Customers!$A$2:$A$301,C871)</f>
        <v>0</v>
      </c>
      <c r="V871">
        <f t="shared" si="41"/>
        <v>0</v>
      </c>
    </row>
    <row r="872" spans="1:22" ht="14.25" customHeight="1" x14ac:dyDescent="0.35">
      <c r="A872" s="10" t="s">
        <v>1313</v>
      </c>
      <c r="B872" s="11">
        <v>45482</v>
      </c>
      <c r="C872" s="10" t="s">
        <v>1314</v>
      </c>
      <c r="D872" s="10" t="s">
        <v>372</v>
      </c>
      <c r="E872" s="10" t="s">
        <v>92</v>
      </c>
      <c r="F872" s="12">
        <v>3</v>
      </c>
      <c r="G872" s="12">
        <v>3970</v>
      </c>
      <c r="H872" s="12">
        <v>2.4</v>
      </c>
      <c r="I872" s="12">
        <v>11624.16</v>
      </c>
      <c r="J872" s="10" t="s">
        <v>51</v>
      </c>
      <c r="K872" s="10" t="s">
        <v>76</v>
      </c>
      <c r="L872" t="str">
        <f>IFERROR(VLOOKUP(D872,Products!A:F,3,0),"")</f>
        <v>Electronics</v>
      </c>
      <c r="M872" t="str">
        <f>IFERROR(VLOOKUP(E872,Sales_Reps!A:E,3,0),"")</f>
        <v>West</v>
      </c>
      <c r="N872" t="str">
        <f>IFERROR(VLOOKUP(C872,Customers!A:F,5,0),"")</f>
        <v>Retail</v>
      </c>
      <c r="O872">
        <f>IFERROR(VLOOKUP(C872,Customers!A:F,3,0),"")</f>
        <v>38</v>
      </c>
      <c r="P872">
        <f>IFERROR(VLOOKUP(D872,Products!A:F,4,0),"")</f>
        <v>2865</v>
      </c>
      <c r="Q872" t="b">
        <f>IFERROR(VLOOKUP(D872,Products!A:F,6,0),"")</f>
        <v>1</v>
      </c>
      <c r="R872">
        <f t="shared" si="39"/>
        <v>0.27833753148614609</v>
      </c>
      <c r="S872">
        <f t="shared" si="40"/>
        <v>1</v>
      </c>
      <c r="T872">
        <f>IF(AND(S872&gt;1,COUNTIF($A$2:A872,A872)=1),1,0)</f>
        <v>0</v>
      </c>
      <c r="U872">
        <f>COUNTIF(Customers!$A$2:$A$301,C872)</f>
        <v>1</v>
      </c>
      <c r="V872">
        <f t="shared" si="41"/>
        <v>0</v>
      </c>
    </row>
    <row r="873" spans="1:22" ht="14.25" customHeight="1" x14ac:dyDescent="0.35">
      <c r="A873" s="10" t="s">
        <v>1315</v>
      </c>
      <c r="B873" s="11">
        <v>45583</v>
      </c>
      <c r="C873" s="10" t="s">
        <v>726</v>
      </c>
      <c r="D873" s="10" t="s">
        <v>231</v>
      </c>
      <c r="E873" s="10" t="s">
        <v>50</v>
      </c>
      <c r="F873" s="12">
        <v>4</v>
      </c>
      <c r="G873" s="12">
        <v>1220</v>
      </c>
      <c r="H873" s="12">
        <v>25.3</v>
      </c>
      <c r="I873" s="12">
        <v>3645.36</v>
      </c>
      <c r="J873" s="10" t="s">
        <v>51</v>
      </c>
      <c r="K873" s="10" t="s">
        <v>97</v>
      </c>
      <c r="L873" t="str">
        <f>IFERROR(VLOOKUP(D873,Products!A:F,3,0),"")</f>
        <v>Electronics</v>
      </c>
      <c r="M873" t="str">
        <f>IFERROR(VLOOKUP(E873,Sales_Reps!A:E,3,0),"")</f>
        <v>North</v>
      </c>
      <c r="N873" t="str">
        <f>IFERROR(VLOOKUP(C873,Customers!A:F,5,0),"")</f>
        <v>Retail</v>
      </c>
      <c r="O873">
        <f>IFERROR(VLOOKUP(C873,Customers!A:F,3,0),"")</f>
        <v>52</v>
      </c>
      <c r="P873">
        <f>IFERROR(VLOOKUP(D873,Products!A:F,4,0),"")</f>
        <v>517</v>
      </c>
      <c r="Q873" t="b">
        <f>IFERROR(VLOOKUP(D873,Products!A:F,6,0),"")</f>
        <v>1</v>
      </c>
      <c r="R873">
        <f t="shared" si="39"/>
        <v>0.57622950819672136</v>
      </c>
      <c r="S873">
        <f t="shared" si="40"/>
        <v>1</v>
      </c>
      <c r="T873">
        <f>IF(AND(S873&gt;1,COUNTIF($A$2:A873,A873)=1),1,0)</f>
        <v>0</v>
      </c>
      <c r="U873">
        <f>COUNTIF(Customers!$A$2:$A$301,C873)</f>
        <v>1</v>
      </c>
      <c r="V873">
        <f t="shared" si="41"/>
        <v>0</v>
      </c>
    </row>
    <row r="874" spans="1:22" ht="14.25" customHeight="1" x14ac:dyDescent="0.35">
      <c r="A874" s="10" t="s">
        <v>1316</v>
      </c>
      <c r="B874" s="11">
        <v>45409</v>
      </c>
      <c r="C874" s="10" t="s">
        <v>708</v>
      </c>
      <c r="D874" s="10" t="s">
        <v>70</v>
      </c>
      <c r="E874" s="10" t="s">
        <v>165</v>
      </c>
      <c r="F874" s="12">
        <v>3</v>
      </c>
      <c r="G874" s="12">
        <v>3160</v>
      </c>
      <c r="H874" s="12">
        <v>19.8</v>
      </c>
      <c r="I874" s="12">
        <v>7602.96</v>
      </c>
      <c r="J874" s="10" t="s">
        <v>51</v>
      </c>
      <c r="K874" s="10" t="s">
        <v>97</v>
      </c>
      <c r="L874" t="str">
        <f>IFERROR(VLOOKUP(D874,Products!A:F,3,0),"")</f>
        <v>Apparel</v>
      </c>
      <c r="M874" t="str">
        <f>IFERROR(VLOOKUP(E874,Sales_Reps!A:E,3,0),"")</f>
        <v>West</v>
      </c>
      <c r="N874" t="str">
        <f>IFERROR(VLOOKUP(C874,Customers!A:F,5,0),"")</f>
        <v>Retail</v>
      </c>
      <c r="O874">
        <f>IFERROR(VLOOKUP(C874,Customers!A:F,3,0),"")</f>
        <v>64</v>
      </c>
      <c r="P874">
        <f>IFERROR(VLOOKUP(D874,Products!A:F,4,0),"")</f>
        <v>1886</v>
      </c>
      <c r="Q874" t="b">
        <f>IFERROR(VLOOKUP(D874,Products!A:F,6,0),"")</f>
        <v>1</v>
      </c>
      <c r="R874">
        <f t="shared" si="39"/>
        <v>0.4031645569620253</v>
      </c>
      <c r="S874">
        <f t="shared" si="40"/>
        <v>1</v>
      </c>
      <c r="T874">
        <f>IF(AND(S874&gt;1,COUNTIF($A$2:A874,A874)=1),1,0)</f>
        <v>0</v>
      </c>
      <c r="U874">
        <f>COUNTIF(Customers!$A$2:$A$301,C874)</f>
        <v>1</v>
      </c>
      <c r="V874">
        <f t="shared" si="41"/>
        <v>0</v>
      </c>
    </row>
    <row r="875" spans="1:22" ht="14.25" customHeight="1" x14ac:dyDescent="0.35">
      <c r="A875" s="10" t="s">
        <v>1317</v>
      </c>
      <c r="B875" s="11">
        <v>45430</v>
      </c>
      <c r="C875" s="10" t="s">
        <v>577</v>
      </c>
      <c r="D875" s="10" t="s">
        <v>246</v>
      </c>
      <c r="E875" s="10" t="s">
        <v>71</v>
      </c>
      <c r="F875" s="12">
        <v>1</v>
      </c>
      <c r="G875" s="12">
        <v>300</v>
      </c>
      <c r="H875" s="12">
        <v>24.5</v>
      </c>
      <c r="I875" s="12">
        <v>226.5</v>
      </c>
      <c r="J875" s="10" t="s">
        <v>51</v>
      </c>
      <c r="K875" s="10" t="s">
        <v>76</v>
      </c>
      <c r="L875" t="str">
        <f>IFERROR(VLOOKUP(D875,Products!A:F,3,0),"")</f>
        <v>Electronics</v>
      </c>
      <c r="M875" t="str">
        <f>IFERROR(VLOOKUP(E875,Sales_Reps!A:E,3,0),"")</f>
        <v>North</v>
      </c>
      <c r="N875" t="str">
        <f>IFERROR(VLOOKUP(C875,Customers!A:F,5,0),"")</f>
        <v>Retail</v>
      </c>
      <c r="O875">
        <f>IFERROR(VLOOKUP(C875,Customers!A:F,3,0),"")</f>
        <v>44</v>
      </c>
      <c r="P875">
        <f>IFERROR(VLOOKUP(D875,Products!A:F,4,0),"")</f>
        <v>128</v>
      </c>
      <c r="Q875" t="b">
        <f>IFERROR(VLOOKUP(D875,Products!A:F,6,0),"")</f>
        <v>1</v>
      </c>
      <c r="R875">
        <f t="shared" si="39"/>
        <v>0.57333333333333336</v>
      </c>
      <c r="S875">
        <f t="shared" si="40"/>
        <v>1</v>
      </c>
      <c r="T875">
        <f>IF(AND(S875&gt;1,COUNTIF($A$2:A875,A875)=1),1,0)</f>
        <v>0</v>
      </c>
      <c r="U875">
        <f>COUNTIF(Customers!$A$2:$A$301,C875)</f>
        <v>1</v>
      </c>
      <c r="V875">
        <f t="shared" si="41"/>
        <v>0</v>
      </c>
    </row>
    <row r="876" spans="1:22" ht="14.25" customHeight="1" x14ac:dyDescent="0.35">
      <c r="A876" s="10" t="s">
        <v>1318</v>
      </c>
      <c r="B876" s="11">
        <v>45654</v>
      </c>
      <c r="C876" s="10" t="s">
        <v>1272</v>
      </c>
      <c r="D876" s="10" t="s">
        <v>121</v>
      </c>
      <c r="E876" s="10" t="s">
        <v>193</v>
      </c>
      <c r="F876" s="12">
        <v>5</v>
      </c>
      <c r="G876" s="12">
        <v>3450</v>
      </c>
      <c r="H876" s="12">
        <v>13.4</v>
      </c>
      <c r="I876" s="12">
        <v>14938.5</v>
      </c>
      <c r="J876" s="10" t="s">
        <v>57</v>
      </c>
      <c r="K876" s="10" t="s">
        <v>58</v>
      </c>
      <c r="L876" t="str">
        <f>IFERROR(VLOOKUP(D876,Products!A:F,3,0),"")</f>
        <v>Beauty</v>
      </c>
      <c r="M876" t="str">
        <f>IFERROR(VLOOKUP(E876,Sales_Reps!A:E,3,0),"")</f>
        <v>West</v>
      </c>
      <c r="N876" t="str">
        <f>IFERROR(VLOOKUP(C876,Customers!A:F,5,0),"")</f>
        <v>SMB</v>
      </c>
      <c r="O876">
        <f>IFERROR(VLOOKUP(C876,Customers!A:F,3,0),"")</f>
        <v>51</v>
      </c>
      <c r="P876">
        <f>IFERROR(VLOOKUP(D876,Products!A:F,4,0),"")</f>
        <v>2420</v>
      </c>
      <c r="Q876" t="b">
        <f>IFERROR(VLOOKUP(D876,Products!A:F,6,0),"")</f>
        <v>1</v>
      </c>
      <c r="R876">
        <f t="shared" si="39"/>
        <v>0.29855072463768118</v>
      </c>
      <c r="S876">
        <f t="shared" si="40"/>
        <v>1</v>
      </c>
      <c r="T876">
        <f>IF(AND(S876&gt;1,COUNTIF($A$2:A876,A876)=1),1,0)</f>
        <v>0</v>
      </c>
      <c r="U876">
        <f>COUNTIF(Customers!$A$2:$A$301,C876)</f>
        <v>1</v>
      </c>
      <c r="V876">
        <f t="shared" si="41"/>
        <v>0</v>
      </c>
    </row>
    <row r="877" spans="1:22" ht="14.25" customHeight="1" x14ac:dyDescent="0.35">
      <c r="A877" s="10" t="s">
        <v>1319</v>
      </c>
      <c r="B877" s="11">
        <v>45397</v>
      </c>
      <c r="C877" s="10" t="s">
        <v>253</v>
      </c>
      <c r="D877" s="10" t="s">
        <v>49</v>
      </c>
      <c r="E877" s="10" t="s">
        <v>307</v>
      </c>
      <c r="F877" s="12">
        <v>7</v>
      </c>
      <c r="G877" s="12">
        <v>3620</v>
      </c>
      <c r="H877" s="12">
        <v>19.2</v>
      </c>
      <c r="I877" s="12">
        <v>20474.72</v>
      </c>
      <c r="J877" s="10" t="s">
        <v>51</v>
      </c>
      <c r="K877" s="10" t="s">
        <v>58</v>
      </c>
      <c r="L877" t="str">
        <f>IFERROR(VLOOKUP(D877,Products!A:F,3,0),"")</f>
        <v>Apparel</v>
      </c>
      <c r="M877" t="str">
        <f>IFERROR(VLOOKUP(E877,Sales_Reps!A:E,3,0),"")</f>
        <v>West</v>
      </c>
      <c r="N877" t="str">
        <f>IFERROR(VLOOKUP(C877,Customers!A:F,5,0),"")</f>
        <v>Retail</v>
      </c>
      <c r="O877">
        <f>IFERROR(VLOOKUP(C877,Customers!A:F,3,0),"")</f>
        <v>38</v>
      </c>
      <c r="P877">
        <f>IFERROR(VLOOKUP(D877,Products!A:F,4,0),"")</f>
        <v>2509</v>
      </c>
      <c r="Q877" t="b">
        <f>IFERROR(VLOOKUP(D877,Products!A:F,6,0),"")</f>
        <v>1</v>
      </c>
      <c r="R877">
        <f t="shared" si="39"/>
        <v>0.3069060773480663</v>
      </c>
      <c r="S877">
        <f t="shared" si="40"/>
        <v>1</v>
      </c>
      <c r="T877">
        <f>IF(AND(S877&gt;1,COUNTIF($A$2:A877,A877)=1),1,0)</f>
        <v>0</v>
      </c>
      <c r="U877">
        <f>COUNTIF(Customers!$A$2:$A$301,C877)</f>
        <v>1</v>
      </c>
      <c r="V877">
        <f t="shared" si="41"/>
        <v>0</v>
      </c>
    </row>
    <row r="878" spans="1:22" ht="14.25" customHeight="1" x14ac:dyDescent="0.35">
      <c r="A878" s="10" t="s">
        <v>1320</v>
      </c>
      <c r="B878" s="11">
        <v>45505</v>
      </c>
      <c r="C878" s="10" t="s">
        <v>73</v>
      </c>
      <c r="D878" s="10" t="s">
        <v>95</v>
      </c>
      <c r="E878" s="10" t="s">
        <v>96</v>
      </c>
      <c r="F878" s="12">
        <v>10</v>
      </c>
      <c r="G878" s="12">
        <v>2270</v>
      </c>
      <c r="H878" s="12">
        <v>20.5</v>
      </c>
      <c r="I878" s="12">
        <v>18046.5</v>
      </c>
      <c r="J878" s="10" t="s">
        <v>51</v>
      </c>
      <c r="K878" s="10" t="s">
        <v>76</v>
      </c>
      <c r="L878" t="str">
        <f>IFERROR(VLOOKUP(D878,Products!A:F,3,0),"")</f>
        <v>Grocery</v>
      </c>
      <c r="M878" t="str">
        <f>IFERROR(VLOOKUP(E878,Sales_Reps!A:E,3,0),"")</f>
        <v>South</v>
      </c>
      <c r="N878" t="str">
        <f>IFERROR(VLOOKUP(C878,Customers!A:F,5,0),"")</f>
        <v>Retail</v>
      </c>
      <c r="O878">
        <f>IFERROR(VLOOKUP(C878,Customers!A:F,3,0),"")</f>
        <v>36</v>
      </c>
      <c r="P878">
        <f>IFERROR(VLOOKUP(D878,Products!A:F,4,0),"")</f>
        <v>1203</v>
      </c>
      <c r="Q878" t="b">
        <f>IFERROR(VLOOKUP(D878,Products!A:F,6,0),"")</f>
        <v>1</v>
      </c>
      <c r="R878">
        <f t="shared" si="39"/>
        <v>0.47004405286343615</v>
      </c>
      <c r="S878">
        <f t="shared" si="40"/>
        <v>1</v>
      </c>
      <c r="T878">
        <f>IF(AND(S878&gt;1,COUNTIF($A$2:A878,A878)=1),1,0)</f>
        <v>0</v>
      </c>
      <c r="U878">
        <f>COUNTIF(Customers!$A$2:$A$301,C878)</f>
        <v>1</v>
      </c>
      <c r="V878">
        <f t="shared" si="41"/>
        <v>0</v>
      </c>
    </row>
    <row r="879" spans="1:22" ht="14.25" customHeight="1" x14ac:dyDescent="0.35">
      <c r="A879" s="10" t="s">
        <v>1321</v>
      </c>
      <c r="B879" s="11">
        <v>45386</v>
      </c>
      <c r="C879" s="10" t="s">
        <v>1322</v>
      </c>
      <c r="D879" s="10" t="s">
        <v>137</v>
      </c>
      <c r="E879" s="10" t="s">
        <v>80</v>
      </c>
      <c r="F879" s="12">
        <v>5</v>
      </c>
      <c r="G879" s="12">
        <v>2720</v>
      </c>
      <c r="H879" s="12">
        <v>29.3</v>
      </c>
      <c r="I879" s="12">
        <v>9615.2000000000007</v>
      </c>
      <c r="J879" s="10" t="s">
        <v>51</v>
      </c>
      <c r="K879" s="10" t="s">
        <v>76</v>
      </c>
      <c r="L879" t="str">
        <f>IFERROR(VLOOKUP(D879,Products!A:F,3,0),"")</f>
        <v>Apparel</v>
      </c>
      <c r="M879" t="str">
        <f>IFERROR(VLOOKUP(E879,Sales_Reps!A:E,3,0),"")</f>
        <v>West</v>
      </c>
      <c r="N879" t="str">
        <f>IFERROR(VLOOKUP(C879,Customers!A:F,5,0),"")</f>
        <v>Corporate</v>
      </c>
      <c r="O879">
        <f>IFERROR(VLOOKUP(C879,Customers!A:F,3,0),"")</f>
        <v>42</v>
      </c>
      <c r="P879">
        <f>IFERROR(VLOOKUP(D879,Products!A:F,4,0),"")</f>
        <v>1962</v>
      </c>
      <c r="Q879" t="b">
        <f>IFERROR(VLOOKUP(D879,Products!A:F,6,0),"")</f>
        <v>1</v>
      </c>
      <c r="R879">
        <f t="shared" si="39"/>
        <v>0.2786764705882353</v>
      </c>
      <c r="S879">
        <f t="shared" si="40"/>
        <v>1</v>
      </c>
      <c r="T879">
        <f>IF(AND(S879&gt;1,COUNTIF($A$2:A879,A879)=1),1,0)</f>
        <v>0</v>
      </c>
      <c r="U879">
        <f>COUNTIF(Customers!$A$2:$A$301,C879)</f>
        <v>1</v>
      </c>
      <c r="V879">
        <f t="shared" si="41"/>
        <v>0</v>
      </c>
    </row>
    <row r="880" spans="1:22" ht="14.25" customHeight="1" x14ac:dyDescent="0.35">
      <c r="A880" s="10" t="s">
        <v>1323</v>
      </c>
      <c r="B880" s="11">
        <v>45499</v>
      </c>
      <c r="C880" s="10" t="s">
        <v>927</v>
      </c>
      <c r="D880" s="10" t="s">
        <v>198</v>
      </c>
      <c r="E880" s="10" t="s">
        <v>249</v>
      </c>
      <c r="F880" s="12">
        <v>9</v>
      </c>
      <c r="G880" s="12">
        <v>3780</v>
      </c>
      <c r="H880" s="12">
        <v>2.2999999999999998</v>
      </c>
      <c r="I880" s="12">
        <v>33237.54</v>
      </c>
      <c r="J880" s="10" t="s">
        <v>51</v>
      </c>
      <c r="K880" s="10" t="s">
        <v>58</v>
      </c>
      <c r="L880" t="str">
        <f>IFERROR(VLOOKUP(D880,Products!A:F,3,0),"")</f>
        <v>Grocery</v>
      </c>
      <c r="M880" t="str">
        <f>IFERROR(VLOOKUP(E880,Sales_Reps!A:E,3,0),"")</f>
        <v>East</v>
      </c>
      <c r="N880" t="str">
        <f>IFERROR(VLOOKUP(C880,Customers!A:F,5,0),"")</f>
        <v>Retail</v>
      </c>
      <c r="O880">
        <f>IFERROR(VLOOKUP(C880,Customers!A:F,3,0),"")</f>
        <v>31</v>
      </c>
      <c r="P880">
        <f>IFERROR(VLOOKUP(D880,Products!A:F,4,0),"")</f>
        <v>2436</v>
      </c>
      <c r="Q880" t="b">
        <f>IFERROR(VLOOKUP(D880,Products!A:F,6,0),"")</f>
        <v>1</v>
      </c>
      <c r="R880">
        <f t="shared" si="39"/>
        <v>0.35555555555555557</v>
      </c>
      <c r="S880">
        <f t="shared" si="40"/>
        <v>1</v>
      </c>
      <c r="T880">
        <f>IF(AND(S880&gt;1,COUNTIF($A$2:A880,A880)=1),1,0)</f>
        <v>0</v>
      </c>
      <c r="U880">
        <f>COUNTIF(Customers!$A$2:$A$301,C880)</f>
        <v>1</v>
      </c>
      <c r="V880">
        <f t="shared" si="41"/>
        <v>0</v>
      </c>
    </row>
    <row r="881" spans="1:22" ht="14.25" customHeight="1" x14ac:dyDescent="0.35">
      <c r="A881" s="10" t="s">
        <v>1324</v>
      </c>
      <c r="B881" s="11">
        <v>45636</v>
      </c>
      <c r="C881" s="10" t="s">
        <v>1325</v>
      </c>
      <c r="D881" s="10" t="s">
        <v>315</v>
      </c>
      <c r="E881" s="10" t="s">
        <v>62</v>
      </c>
      <c r="F881" s="12">
        <v>9</v>
      </c>
      <c r="G881" s="12">
        <v>4060</v>
      </c>
      <c r="H881" s="12">
        <v>11.5</v>
      </c>
      <c r="I881" s="12">
        <v>32337.9</v>
      </c>
      <c r="J881" s="10" t="s">
        <v>51</v>
      </c>
      <c r="K881" s="10" t="s">
        <v>58</v>
      </c>
      <c r="L881" t="str">
        <f>IFERROR(VLOOKUP(D881,Products!A:F,3,0),"")</f>
        <v>Grocery</v>
      </c>
      <c r="M881" t="str">
        <f>IFERROR(VLOOKUP(E881,Sales_Reps!A:E,3,0),"")</f>
        <v>South</v>
      </c>
      <c r="N881" t="str">
        <f>IFERROR(VLOOKUP(C881,Customers!A:F,5,0),"")</f>
        <v>Retail</v>
      </c>
      <c r="O881">
        <f>IFERROR(VLOOKUP(C881,Customers!A:F,3,0),"")</f>
        <v>34</v>
      </c>
      <c r="P881">
        <f>IFERROR(VLOOKUP(D881,Products!A:F,4,0),"")</f>
        <v>2911</v>
      </c>
      <c r="Q881" t="b">
        <f>IFERROR(VLOOKUP(D881,Products!A:F,6,0),"")</f>
        <v>1</v>
      </c>
      <c r="R881">
        <f t="shared" si="39"/>
        <v>0.28300492610837441</v>
      </c>
      <c r="S881">
        <f t="shared" si="40"/>
        <v>1</v>
      </c>
      <c r="T881">
        <f>IF(AND(S881&gt;1,COUNTIF($A$2:A881,A881)=1),1,0)</f>
        <v>0</v>
      </c>
      <c r="U881">
        <f>COUNTIF(Customers!$A$2:$A$301,C881)</f>
        <v>1</v>
      </c>
      <c r="V881">
        <f t="shared" si="41"/>
        <v>0</v>
      </c>
    </row>
    <row r="882" spans="1:22" ht="14.25" customHeight="1" x14ac:dyDescent="0.35">
      <c r="A882" s="10" t="s">
        <v>641</v>
      </c>
      <c r="B882" s="11">
        <v>45517</v>
      </c>
      <c r="C882" s="10" t="s">
        <v>384</v>
      </c>
      <c r="D882" s="10" t="s">
        <v>164</v>
      </c>
      <c r="E882" s="10" t="s">
        <v>289</v>
      </c>
      <c r="F882" s="12">
        <v>10</v>
      </c>
      <c r="G882" s="12">
        <v>2760</v>
      </c>
      <c r="H882" s="12">
        <v>3.9</v>
      </c>
      <c r="I882" s="12">
        <v>26523.599999999999</v>
      </c>
      <c r="J882" s="10" t="s">
        <v>108</v>
      </c>
      <c r="K882" s="10" t="s">
        <v>63</v>
      </c>
      <c r="L882" t="str">
        <f>IFERROR(VLOOKUP(D882,Products!A:F,3,0),"")</f>
        <v>Grocery</v>
      </c>
      <c r="M882" t="str">
        <f>IFERROR(VLOOKUP(E882,Sales_Reps!A:E,3,0),"")</f>
        <v>South</v>
      </c>
      <c r="N882" t="str">
        <f>IFERROR(VLOOKUP(C882,Customers!A:F,5,0),"")</f>
        <v>Retail</v>
      </c>
      <c r="O882">
        <f>IFERROR(VLOOKUP(C882,Customers!A:F,3,0),"")</f>
        <v>44</v>
      </c>
      <c r="P882">
        <f>IFERROR(VLOOKUP(D882,Products!A:F,4,0),"")</f>
        <v>1435</v>
      </c>
      <c r="Q882" t="b">
        <f>IFERROR(VLOOKUP(D882,Products!A:F,6,0),"")</f>
        <v>1</v>
      </c>
      <c r="R882">
        <f t="shared" si="39"/>
        <v>0.48007246376811596</v>
      </c>
      <c r="S882">
        <f t="shared" si="40"/>
        <v>2</v>
      </c>
      <c r="T882">
        <f>IF(AND(S882&gt;1,COUNTIF($A$2:A882,A882)=1),1,0)</f>
        <v>0</v>
      </c>
      <c r="U882">
        <f>COUNTIF(Customers!$A$2:$A$301,C882)</f>
        <v>1</v>
      </c>
      <c r="V882">
        <f t="shared" si="41"/>
        <v>0</v>
      </c>
    </row>
    <row r="883" spans="1:22" ht="14.25" customHeight="1" x14ac:dyDescent="0.35">
      <c r="A883" s="10" t="s">
        <v>1326</v>
      </c>
      <c r="B883" s="11">
        <v>45593</v>
      </c>
      <c r="C883" s="10" t="s">
        <v>189</v>
      </c>
      <c r="D883" s="10" t="s">
        <v>128</v>
      </c>
      <c r="E883" s="10" t="s">
        <v>122</v>
      </c>
      <c r="F883" s="12">
        <v>10</v>
      </c>
      <c r="G883" s="12">
        <v>1080</v>
      </c>
      <c r="H883" s="12">
        <v>21.4</v>
      </c>
      <c r="I883" s="12">
        <v>8488.7999999999993</v>
      </c>
      <c r="J883" s="10" t="s">
        <v>51</v>
      </c>
      <c r="K883" s="10" t="s">
        <v>58</v>
      </c>
      <c r="L883" t="str">
        <f>IFERROR(VLOOKUP(D883,Products!A:F,3,0),"")</f>
        <v>Home</v>
      </c>
      <c r="M883" t="str">
        <f>IFERROR(VLOOKUP(E883,Sales_Reps!A:E,3,0),"")</f>
        <v>East</v>
      </c>
      <c r="N883" t="str">
        <f>IFERROR(VLOOKUP(C883,Customers!A:F,5,0),"")</f>
        <v>Retail</v>
      </c>
      <c r="O883">
        <f>IFERROR(VLOOKUP(C883,Customers!A:F,3,0),"")</f>
        <v>37</v>
      </c>
      <c r="P883">
        <f>IFERROR(VLOOKUP(D883,Products!A:F,4,0),"")</f>
        <v>519</v>
      </c>
      <c r="Q883" t="b">
        <f>IFERROR(VLOOKUP(D883,Products!A:F,6,0),"")</f>
        <v>1</v>
      </c>
      <c r="R883">
        <f t="shared" si="39"/>
        <v>0.51944444444444449</v>
      </c>
      <c r="S883">
        <f t="shared" si="40"/>
        <v>1</v>
      </c>
      <c r="T883">
        <f>IF(AND(S883&gt;1,COUNTIF($A$2:A883,A883)=1),1,0)</f>
        <v>0</v>
      </c>
      <c r="U883">
        <f>COUNTIF(Customers!$A$2:$A$301,C883)</f>
        <v>1</v>
      </c>
      <c r="V883">
        <f t="shared" si="41"/>
        <v>0</v>
      </c>
    </row>
    <row r="884" spans="1:22" ht="14.25" customHeight="1" x14ac:dyDescent="0.35">
      <c r="A884" s="10" t="s">
        <v>1327</v>
      </c>
      <c r="B884" s="11">
        <v>45497</v>
      </c>
      <c r="C884" s="10" t="s">
        <v>1322</v>
      </c>
      <c r="D884" s="10" t="s">
        <v>407</v>
      </c>
      <c r="E884" s="10" t="s">
        <v>118</v>
      </c>
      <c r="F884" s="12">
        <v>6</v>
      </c>
      <c r="G884" s="12">
        <v>5080</v>
      </c>
      <c r="H884" s="12">
        <v>29.8</v>
      </c>
      <c r="I884" s="12">
        <v>21396.959999999999</v>
      </c>
      <c r="J884" s="10" t="s">
        <v>57</v>
      </c>
      <c r="K884" s="10" t="s">
        <v>76</v>
      </c>
      <c r="L884" t="str">
        <f>IFERROR(VLOOKUP(D884,Products!A:F,3,0),"")</f>
        <v>Home</v>
      </c>
      <c r="M884" t="str">
        <f>IFERROR(VLOOKUP(E884,Sales_Reps!A:E,3,0),"")</f>
        <v>East</v>
      </c>
      <c r="N884" t="str">
        <f>IFERROR(VLOOKUP(C884,Customers!A:F,5,0),"")</f>
        <v>Corporate</v>
      </c>
      <c r="O884">
        <f>IFERROR(VLOOKUP(C884,Customers!A:F,3,0),"")</f>
        <v>42</v>
      </c>
      <c r="P884">
        <f>IFERROR(VLOOKUP(D884,Products!A:F,4,0),"")</f>
        <v>2459</v>
      </c>
      <c r="Q884" t="b">
        <f>IFERROR(VLOOKUP(D884,Products!A:F,6,0),"")</f>
        <v>1</v>
      </c>
      <c r="R884">
        <f t="shared" si="39"/>
        <v>0.51594488188976373</v>
      </c>
      <c r="S884">
        <f t="shared" si="40"/>
        <v>1</v>
      </c>
      <c r="T884">
        <f>IF(AND(S884&gt;1,COUNTIF($A$2:A884,A884)=1),1,0)</f>
        <v>0</v>
      </c>
      <c r="U884">
        <f>COUNTIF(Customers!$A$2:$A$301,C884)</f>
        <v>1</v>
      </c>
      <c r="V884">
        <f t="shared" si="41"/>
        <v>0</v>
      </c>
    </row>
    <row r="885" spans="1:22" ht="14.25" customHeight="1" x14ac:dyDescent="0.35">
      <c r="A885" s="10" t="s">
        <v>1328</v>
      </c>
      <c r="B885" s="11">
        <v>45293</v>
      </c>
      <c r="C885" s="10" t="s">
        <v>90</v>
      </c>
      <c r="D885" s="10" t="s">
        <v>148</v>
      </c>
      <c r="E885" s="10" t="s">
        <v>134</v>
      </c>
      <c r="F885" s="12">
        <v>1</v>
      </c>
      <c r="G885" s="12">
        <v>4880</v>
      </c>
      <c r="H885" s="12">
        <v>28.2</v>
      </c>
      <c r="I885" s="12">
        <v>3503.84</v>
      </c>
      <c r="J885" s="10" t="s">
        <v>51</v>
      </c>
      <c r="K885" s="10" t="s">
        <v>52</v>
      </c>
      <c r="L885" t="str">
        <f>IFERROR(VLOOKUP(D885,Products!A:F,3,0),"")</f>
        <v>Beauty</v>
      </c>
      <c r="M885" t="str">
        <f>IFERROR(VLOOKUP(E885,Sales_Reps!A:E,3,0),"")</f>
        <v>West</v>
      </c>
      <c r="N885" t="str">
        <f>IFERROR(VLOOKUP(C885,Customers!A:F,5,0),"")</f>
        <v>Retail</v>
      </c>
      <c r="O885">
        <f>IFERROR(VLOOKUP(C885,Customers!A:F,3,0),"")</f>
        <v>56</v>
      </c>
      <c r="P885">
        <f>IFERROR(VLOOKUP(D885,Products!A:F,4,0),"")</f>
        <v>2768</v>
      </c>
      <c r="Q885" t="b">
        <f>IFERROR(VLOOKUP(D885,Products!A:F,6,0),"")</f>
        <v>1</v>
      </c>
      <c r="R885">
        <f t="shared" si="39"/>
        <v>0.43278688524590164</v>
      </c>
      <c r="S885">
        <f t="shared" si="40"/>
        <v>1</v>
      </c>
      <c r="T885">
        <f>IF(AND(S885&gt;1,COUNTIF($A$2:A885,A885)=1),1,0)</f>
        <v>0</v>
      </c>
      <c r="U885">
        <f>COUNTIF(Customers!$A$2:$A$301,C885)</f>
        <v>1</v>
      </c>
      <c r="V885">
        <f t="shared" si="41"/>
        <v>0</v>
      </c>
    </row>
    <row r="886" spans="1:22" ht="14.25" customHeight="1" x14ac:dyDescent="0.35">
      <c r="A886" s="10" t="s">
        <v>1329</v>
      </c>
      <c r="B886" s="11">
        <v>45562</v>
      </c>
      <c r="C886" s="10" t="s">
        <v>176</v>
      </c>
      <c r="D886" s="10" t="s">
        <v>209</v>
      </c>
      <c r="E886" s="10" t="s">
        <v>307</v>
      </c>
      <c r="F886" s="12">
        <v>1</v>
      </c>
      <c r="G886" s="12">
        <v>2270</v>
      </c>
      <c r="H886" s="12">
        <v>27.8</v>
      </c>
      <c r="I886" s="12">
        <v>1638.94</v>
      </c>
      <c r="J886" s="10" t="s">
        <v>51</v>
      </c>
      <c r="K886" s="10" t="s">
        <v>76</v>
      </c>
      <c r="L886" t="str">
        <f>IFERROR(VLOOKUP(D886,Products!A:F,3,0),"")</f>
        <v>Grocery</v>
      </c>
      <c r="M886" t="str">
        <f>IFERROR(VLOOKUP(E886,Sales_Reps!A:E,3,0),"")</f>
        <v>West</v>
      </c>
      <c r="N886" t="str">
        <f>IFERROR(VLOOKUP(C886,Customers!A:F,5,0),"")</f>
        <v>SMB</v>
      </c>
      <c r="O886">
        <f>IFERROR(VLOOKUP(C886,Customers!A:F,3,0),"")</f>
        <v>36</v>
      </c>
      <c r="P886">
        <f>IFERROR(VLOOKUP(D886,Products!A:F,4,0),"")</f>
        <v>1412</v>
      </c>
      <c r="Q886" t="b">
        <f>IFERROR(VLOOKUP(D886,Products!A:F,6,0),"")</f>
        <v>1</v>
      </c>
      <c r="R886">
        <f t="shared" si="39"/>
        <v>0.37797356828193834</v>
      </c>
      <c r="S886">
        <f t="shared" si="40"/>
        <v>1</v>
      </c>
      <c r="T886">
        <f>IF(AND(S886&gt;1,COUNTIF($A$2:A886,A886)=1),1,0)</f>
        <v>0</v>
      </c>
      <c r="U886">
        <f>COUNTIF(Customers!$A$2:$A$301,C886)</f>
        <v>1</v>
      </c>
      <c r="V886">
        <f t="shared" si="41"/>
        <v>0</v>
      </c>
    </row>
    <row r="887" spans="1:22" ht="14.25" customHeight="1" x14ac:dyDescent="0.35">
      <c r="A887" s="10" t="s">
        <v>1330</v>
      </c>
      <c r="B887" s="11">
        <v>45638</v>
      </c>
      <c r="C887" s="10" t="s">
        <v>486</v>
      </c>
      <c r="D887" s="10" t="s">
        <v>372</v>
      </c>
      <c r="E887" s="10" t="s">
        <v>85</v>
      </c>
      <c r="F887" s="12">
        <v>9</v>
      </c>
      <c r="G887" s="12">
        <v>3970</v>
      </c>
      <c r="H887" s="12">
        <v>7</v>
      </c>
      <c r="I887" s="12">
        <v>33228.9</v>
      </c>
      <c r="J887" s="10" t="s">
        <v>51</v>
      </c>
      <c r="K887" s="10" t="s">
        <v>63</v>
      </c>
      <c r="L887" t="str">
        <f>IFERROR(VLOOKUP(D887,Products!A:F,3,0),"")</f>
        <v>Electronics</v>
      </c>
      <c r="M887" t="str">
        <f>IFERROR(VLOOKUP(E887,Sales_Reps!A:E,3,0),"")</f>
        <v>East</v>
      </c>
      <c r="N887" t="str">
        <f>IFERROR(VLOOKUP(C887,Customers!A:F,5,0),"")</f>
        <v>SMB</v>
      </c>
      <c r="O887">
        <f>IFERROR(VLOOKUP(C887,Customers!A:F,3,0),"")</f>
        <v>55</v>
      </c>
      <c r="P887">
        <f>IFERROR(VLOOKUP(D887,Products!A:F,4,0),"")</f>
        <v>2865</v>
      </c>
      <c r="Q887" t="b">
        <f>IFERROR(VLOOKUP(D887,Products!A:F,6,0),"")</f>
        <v>1</v>
      </c>
      <c r="R887">
        <f t="shared" si="39"/>
        <v>0.27833753148614609</v>
      </c>
      <c r="S887">
        <f t="shared" si="40"/>
        <v>1</v>
      </c>
      <c r="T887">
        <f>IF(AND(S887&gt;1,COUNTIF($A$2:A887,A887)=1),1,0)</f>
        <v>0</v>
      </c>
      <c r="U887">
        <f>COUNTIF(Customers!$A$2:$A$301,C887)</f>
        <v>1</v>
      </c>
      <c r="V887">
        <f t="shared" si="41"/>
        <v>0</v>
      </c>
    </row>
    <row r="888" spans="1:22" ht="14.25" customHeight="1" x14ac:dyDescent="0.35">
      <c r="A888" s="10" t="s">
        <v>1331</v>
      </c>
      <c r="B888" s="11">
        <v>45408</v>
      </c>
      <c r="C888" s="10" t="s">
        <v>570</v>
      </c>
      <c r="D888" s="10" t="s">
        <v>155</v>
      </c>
      <c r="E888" s="10" t="s">
        <v>112</v>
      </c>
      <c r="F888" s="12">
        <v>9</v>
      </c>
      <c r="G888" s="12">
        <v>5100</v>
      </c>
      <c r="H888" s="12">
        <v>9.6999999999999993</v>
      </c>
      <c r="I888" s="12">
        <v>41447.699999999997</v>
      </c>
      <c r="J888" s="10" t="s">
        <v>51</v>
      </c>
      <c r="K888" s="10" t="s">
        <v>76</v>
      </c>
      <c r="L888" t="str">
        <f>IFERROR(VLOOKUP(D888,Products!A:F,3,0),"")</f>
        <v>Beauty</v>
      </c>
      <c r="M888" t="str">
        <f>IFERROR(VLOOKUP(E888,Sales_Reps!A:E,3,0),"")</f>
        <v>North</v>
      </c>
      <c r="N888" t="str">
        <f>IFERROR(VLOOKUP(C888,Customers!A:F,5,0),"")</f>
        <v>Retail</v>
      </c>
      <c r="O888">
        <f>IFERROR(VLOOKUP(C888,Customers!A:F,3,0),"")</f>
        <v>52</v>
      </c>
      <c r="P888">
        <f>IFERROR(VLOOKUP(D888,Products!A:F,4,0),"")</f>
        <v>2237</v>
      </c>
      <c r="Q888" t="b">
        <f>IFERROR(VLOOKUP(D888,Products!A:F,6,0),"")</f>
        <v>1</v>
      </c>
      <c r="R888">
        <f t="shared" si="39"/>
        <v>0.56137254901960787</v>
      </c>
      <c r="S888">
        <f t="shared" si="40"/>
        <v>1</v>
      </c>
      <c r="T888">
        <f>IF(AND(S888&gt;1,COUNTIF($A$2:A888,A888)=1),1,0)</f>
        <v>0</v>
      </c>
      <c r="U888">
        <f>COUNTIF(Customers!$A$2:$A$301,C888)</f>
        <v>1</v>
      </c>
      <c r="V888">
        <f t="shared" si="41"/>
        <v>0</v>
      </c>
    </row>
    <row r="889" spans="1:22" ht="14.25" customHeight="1" x14ac:dyDescent="0.35">
      <c r="A889" s="10" t="s">
        <v>1332</v>
      </c>
      <c r="B889" s="11">
        <v>45498</v>
      </c>
      <c r="C889" s="10" t="s">
        <v>510</v>
      </c>
      <c r="D889" s="10" t="s">
        <v>111</v>
      </c>
      <c r="E889" s="10" t="s">
        <v>56</v>
      </c>
      <c r="F889" s="12">
        <v>8</v>
      </c>
      <c r="G889" s="12">
        <v>190</v>
      </c>
      <c r="H889" s="12">
        <v>10.199999999999999</v>
      </c>
      <c r="I889" s="12">
        <v>1364.96</v>
      </c>
      <c r="J889" s="10" t="s">
        <v>51</v>
      </c>
      <c r="K889" s="10" t="s">
        <v>63</v>
      </c>
      <c r="L889" t="str">
        <f>IFERROR(VLOOKUP(D889,Products!A:F,3,0),"")</f>
        <v>Sports</v>
      </c>
      <c r="M889" t="str">
        <f>IFERROR(VLOOKUP(E889,Sales_Reps!A:E,3,0),"")</f>
        <v>North</v>
      </c>
      <c r="N889" t="str">
        <f>IFERROR(VLOOKUP(C889,Customers!A:F,5,0),"")</f>
        <v>SMB</v>
      </c>
      <c r="O889">
        <f>IFERROR(VLOOKUP(C889,Customers!A:F,3,0),"")</f>
        <v>29</v>
      </c>
      <c r="P889">
        <f>IFERROR(VLOOKUP(D889,Products!A:F,4,0),"")</f>
        <v>147</v>
      </c>
      <c r="Q889" t="b">
        <f>IFERROR(VLOOKUP(D889,Products!A:F,6,0),"")</f>
        <v>1</v>
      </c>
      <c r="R889">
        <f t="shared" si="39"/>
        <v>0.22631578947368422</v>
      </c>
      <c r="S889">
        <f t="shared" si="40"/>
        <v>1</v>
      </c>
      <c r="T889">
        <f>IF(AND(S889&gt;1,COUNTIF($A$2:A889,A889)=1),1,0)</f>
        <v>0</v>
      </c>
      <c r="U889">
        <f>COUNTIF(Customers!$A$2:$A$301,C889)</f>
        <v>1</v>
      </c>
      <c r="V889">
        <f t="shared" si="41"/>
        <v>0</v>
      </c>
    </row>
    <row r="890" spans="1:22" ht="14.25" customHeight="1" x14ac:dyDescent="0.35">
      <c r="A890" s="10" t="s">
        <v>1333</v>
      </c>
      <c r="B890" s="11">
        <v>45649</v>
      </c>
      <c r="C890" s="10" t="s">
        <v>335</v>
      </c>
      <c r="D890" s="10" t="s">
        <v>205</v>
      </c>
      <c r="E890" s="10" t="s">
        <v>165</v>
      </c>
      <c r="F890" s="12">
        <v>1</v>
      </c>
      <c r="G890" s="12">
        <v>6080</v>
      </c>
      <c r="H890" s="12">
        <v>5.6</v>
      </c>
      <c r="I890" s="12">
        <v>5739.52</v>
      </c>
      <c r="J890" s="10" t="s">
        <v>51</v>
      </c>
      <c r="K890" s="10" t="s">
        <v>76</v>
      </c>
      <c r="L890" t="str">
        <f>IFERROR(VLOOKUP(D890,Products!A:F,3,0),"")</f>
        <v>Beauty</v>
      </c>
      <c r="M890" t="str">
        <f>IFERROR(VLOOKUP(E890,Sales_Reps!A:E,3,0),"")</f>
        <v>West</v>
      </c>
      <c r="N890" t="str">
        <f>IFERROR(VLOOKUP(C890,Customers!A:F,5,0),"")</f>
        <v>Retail</v>
      </c>
      <c r="O890">
        <f>IFERROR(VLOOKUP(C890,Customers!A:F,3,0),"")</f>
        <v>42</v>
      </c>
      <c r="P890">
        <f>IFERROR(VLOOKUP(D890,Products!A:F,4,0),"")</f>
        <v>2617</v>
      </c>
      <c r="Q890" t="b">
        <f>IFERROR(VLOOKUP(D890,Products!A:F,6,0),"")</f>
        <v>1</v>
      </c>
      <c r="R890">
        <f t="shared" si="39"/>
        <v>0.56957236842105263</v>
      </c>
      <c r="S890">
        <f t="shared" si="40"/>
        <v>1</v>
      </c>
      <c r="T890">
        <f>IF(AND(S890&gt;1,COUNTIF($A$2:A890,A890)=1),1,0)</f>
        <v>0</v>
      </c>
      <c r="U890">
        <f>COUNTIF(Customers!$A$2:$A$301,C890)</f>
        <v>1</v>
      </c>
      <c r="V890">
        <f t="shared" si="41"/>
        <v>0</v>
      </c>
    </row>
    <row r="891" spans="1:22" ht="14.25" customHeight="1" x14ac:dyDescent="0.35">
      <c r="A891" s="10" t="s">
        <v>1334</v>
      </c>
      <c r="B891" s="11">
        <v>45484</v>
      </c>
      <c r="C891" s="10" t="s">
        <v>561</v>
      </c>
      <c r="D891" s="10" t="s">
        <v>79</v>
      </c>
      <c r="E891" s="10" t="s">
        <v>156</v>
      </c>
      <c r="F891" s="12">
        <v>6</v>
      </c>
      <c r="G891" s="12">
        <v>960</v>
      </c>
      <c r="H891" s="12">
        <v>1.9</v>
      </c>
      <c r="I891" s="12">
        <v>5650.56</v>
      </c>
      <c r="J891" s="10" t="s">
        <v>51</v>
      </c>
      <c r="K891" s="10" t="s">
        <v>76</v>
      </c>
      <c r="L891" t="str">
        <f>IFERROR(VLOOKUP(D891,Products!A:F,3,0),"")</f>
        <v>Sports</v>
      </c>
      <c r="M891" t="str">
        <f>IFERROR(VLOOKUP(E891,Sales_Reps!A:E,3,0),"")</f>
        <v>East</v>
      </c>
      <c r="N891" t="str">
        <f>IFERROR(VLOOKUP(C891,Customers!A:F,5,0),"")</f>
        <v>Retail</v>
      </c>
      <c r="O891">
        <f>IFERROR(VLOOKUP(C891,Customers!A:F,3,0),"")</f>
        <v>39</v>
      </c>
      <c r="P891">
        <f>IFERROR(VLOOKUP(D891,Products!A:F,4,0),"")</f>
        <v>705</v>
      </c>
      <c r="Q891" t="b">
        <f>IFERROR(VLOOKUP(D891,Products!A:F,6,0),"")</f>
        <v>1</v>
      </c>
      <c r="R891">
        <f t="shared" si="39"/>
        <v>0.265625</v>
      </c>
      <c r="S891">
        <f t="shared" si="40"/>
        <v>1</v>
      </c>
      <c r="T891">
        <f>IF(AND(S891&gt;1,COUNTIF($A$2:A891,A891)=1),1,0)</f>
        <v>0</v>
      </c>
      <c r="U891">
        <f>COUNTIF(Customers!$A$2:$A$301,C891)</f>
        <v>1</v>
      </c>
      <c r="V891">
        <f t="shared" si="41"/>
        <v>0</v>
      </c>
    </row>
    <row r="892" spans="1:22" ht="14.25" customHeight="1" x14ac:dyDescent="0.35">
      <c r="A892" s="10" t="s">
        <v>1335</v>
      </c>
      <c r="B892" s="11">
        <v>45316</v>
      </c>
      <c r="C892" s="10" t="s">
        <v>497</v>
      </c>
      <c r="D892" s="10" t="s">
        <v>223</v>
      </c>
      <c r="E892" s="10" t="s">
        <v>103</v>
      </c>
      <c r="F892" s="12">
        <v>7</v>
      </c>
      <c r="G892" s="12">
        <v>1540</v>
      </c>
      <c r="H892" s="12">
        <v>7.1</v>
      </c>
      <c r="I892" s="12">
        <v>10014.620000000001</v>
      </c>
      <c r="J892" s="10" t="s">
        <v>51</v>
      </c>
      <c r="K892" s="10" t="s">
        <v>63</v>
      </c>
      <c r="L892" t="str">
        <f>IFERROR(VLOOKUP(D892,Products!A:F,3,0),"")</f>
        <v>Beauty</v>
      </c>
      <c r="M892" t="str">
        <f>IFERROR(VLOOKUP(E892,Sales_Reps!A:E,3,0),"")</f>
        <v>North</v>
      </c>
      <c r="N892" t="str">
        <f>IFERROR(VLOOKUP(C892,Customers!A:F,5,0),"")</f>
        <v>SMB</v>
      </c>
      <c r="O892">
        <f>IFERROR(VLOOKUP(C892,Customers!A:F,3,0),"")</f>
        <v>48</v>
      </c>
      <c r="P892">
        <f>IFERROR(VLOOKUP(D892,Products!A:F,4,0),"")</f>
        <v>647</v>
      </c>
      <c r="Q892" t="b">
        <f>IFERROR(VLOOKUP(D892,Products!A:F,6,0),"")</f>
        <v>0</v>
      </c>
      <c r="R892">
        <f t="shared" si="39"/>
        <v>0.57987012987012987</v>
      </c>
      <c r="S892">
        <f t="shared" si="40"/>
        <v>1</v>
      </c>
      <c r="T892">
        <f>IF(AND(S892&gt;1,COUNTIF($A$2:A892,A892)=1),1,0)</f>
        <v>0</v>
      </c>
      <c r="U892">
        <f>COUNTIF(Customers!$A$2:$A$301,C892)</f>
        <v>1</v>
      </c>
      <c r="V892">
        <f t="shared" si="41"/>
        <v>0</v>
      </c>
    </row>
    <row r="893" spans="1:22" ht="14.25" customHeight="1" x14ac:dyDescent="0.35">
      <c r="A893" s="10" t="s">
        <v>1336</v>
      </c>
      <c r="B893" s="11">
        <v>45328</v>
      </c>
      <c r="C893" s="10" t="s">
        <v>225</v>
      </c>
      <c r="D893" s="10" t="s">
        <v>246</v>
      </c>
      <c r="E893" s="10" t="s">
        <v>237</v>
      </c>
      <c r="F893" s="12">
        <v>10</v>
      </c>
      <c r="G893" s="12">
        <v>300</v>
      </c>
      <c r="H893" s="12">
        <v>12.8</v>
      </c>
      <c r="I893" s="12">
        <v>2616</v>
      </c>
      <c r="J893" s="10" t="s">
        <v>104</v>
      </c>
      <c r="K893" s="10" t="s">
        <v>63</v>
      </c>
      <c r="L893" t="str">
        <f>IFERROR(VLOOKUP(D893,Products!A:F,3,0),"")</f>
        <v>Electronics</v>
      </c>
      <c r="M893" t="str">
        <f>IFERROR(VLOOKUP(E893,Sales_Reps!A:E,3,0),"")</f>
        <v>South</v>
      </c>
      <c r="N893" t="str">
        <f>IFERROR(VLOOKUP(C893,Customers!A:F,5,0),"")</f>
        <v>Retail</v>
      </c>
      <c r="O893">
        <f>IFERROR(VLOOKUP(C893,Customers!A:F,3,0),"")</f>
        <v>54</v>
      </c>
      <c r="P893">
        <f>IFERROR(VLOOKUP(D893,Products!A:F,4,0),"")</f>
        <v>128</v>
      </c>
      <c r="Q893" t="b">
        <f>IFERROR(VLOOKUP(D893,Products!A:F,6,0),"")</f>
        <v>1</v>
      </c>
      <c r="R893">
        <f t="shared" si="39"/>
        <v>0.57333333333333336</v>
      </c>
      <c r="S893">
        <f t="shared" si="40"/>
        <v>1</v>
      </c>
      <c r="T893">
        <f>IF(AND(S893&gt;1,COUNTIF($A$2:A893,A893)=1),1,0)</f>
        <v>0</v>
      </c>
      <c r="U893">
        <f>COUNTIF(Customers!$A$2:$A$301,C893)</f>
        <v>1</v>
      </c>
      <c r="V893">
        <f t="shared" si="41"/>
        <v>0</v>
      </c>
    </row>
    <row r="894" spans="1:22" ht="14.25" customHeight="1" x14ac:dyDescent="0.35">
      <c r="A894" s="10" t="s">
        <v>1337</v>
      </c>
      <c r="B894" s="11">
        <v>45456</v>
      </c>
      <c r="C894" s="10" t="s">
        <v>501</v>
      </c>
      <c r="D894" s="10" t="s">
        <v>148</v>
      </c>
      <c r="E894" s="10" t="s">
        <v>237</v>
      </c>
      <c r="F894" s="12">
        <v>4</v>
      </c>
      <c r="G894" s="12">
        <v>4880</v>
      </c>
      <c r="H894" s="12">
        <v>26.5</v>
      </c>
      <c r="I894" s="12">
        <v>14347.2</v>
      </c>
      <c r="J894" s="10" t="s">
        <v>51</v>
      </c>
      <c r="K894" s="10" t="s">
        <v>97</v>
      </c>
      <c r="L894" t="str">
        <f>IFERROR(VLOOKUP(D894,Products!A:F,3,0),"")</f>
        <v>Beauty</v>
      </c>
      <c r="M894" t="str">
        <f>IFERROR(VLOOKUP(E894,Sales_Reps!A:E,3,0),"")</f>
        <v>South</v>
      </c>
      <c r="N894" t="str">
        <f>IFERROR(VLOOKUP(C894,Customers!A:F,5,0),"")</f>
        <v>SMB</v>
      </c>
      <c r="O894">
        <f>IFERROR(VLOOKUP(C894,Customers!A:F,3,0),"")</f>
        <v>48</v>
      </c>
      <c r="P894">
        <f>IFERROR(VLOOKUP(D894,Products!A:F,4,0),"")</f>
        <v>2768</v>
      </c>
      <c r="Q894" t="b">
        <f>IFERROR(VLOOKUP(D894,Products!A:F,6,0),"")</f>
        <v>1</v>
      </c>
      <c r="R894">
        <f t="shared" si="39"/>
        <v>0.43278688524590164</v>
      </c>
      <c r="S894">
        <f t="shared" si="40"/>
        <v>1</v>
      </c>
      <c r="T894">
        <f>IF(AND(S894&gt;1,COUNTIF($A$2:A894,A894)=1),1,0)</f>
        <v>0</v>
      </c>
      <c r="U894">
        <f>COUNTIF(Customers!$A$2:$A$301,C894)</f>
        <v>1</v>
      </c>
      <c r="V894">
        <f t="shared" si="41"/>
        <v>0</v>
      </c>
    </row>
    <row r="895" spans="1:22" ht="14.25" customHeight="1" x14ac:dyDescent="0.35">
      <c r="A895" s="10" t="s">
        <v>1338</v>
      </c>
      <c r="B895" s="11">
        <v>45589</v>
      </c>
      <c r="C895" s="10" t="s">
        <v>1225</v>
      </c>
      <c r="D895" s="10" t="s">
        <v>74</v>
      </c>
      <c r="E895" s="10" t="s">
        <v>112</v>
      </c>
      <c r="F895" s="12">
        <v>2</v>
      </c>
      <c r="G895" s="12">
        <v>370</v>
      </c>
      <c r="H895" s="12">
        <v>26.5</v>
      </c>
      <c r="I895" s="12">
        <v>543.9</v>
      </c>
      <c r="J895" s="10" t="s">
        <v>51</v>
      </c>
      <c r="K895" s="10" t="s">
        <v>81</v>
      </c>
      <c r="L895" t="str">
        <f>IFERROR(VLOOKUP(D895,Products!A:F,3,0),"")</f>
        <v>Home</v>
      </c>
      <c r="M895" t="str">
        <f>IFERROR(VLOOKUP(E895,Sales_Reps!A:E,3,0),"")</f>
        <v>North</v>
      </c>
      <c r="N895" t="str">
        <f>IFERROR(VLOOKUP(C895,Customers!A:F,5,0),"")</f>
        <v>Retail</v>
      </c>
      <c r="O895">
        <f>IFERROR(VLOOKUP(C895,Customers!A:F,3,0),"")</f>
        <v>54</v>
      </c>
      <c r="P895">
        <f>IFERROR(VLOOKUP(D895,Products!A:F,4,0),"")</f>
        <v>288</v>
      </c>
      <c r="Q895" t="b">
        <f>IFERROR(VLOOKUP(D895,Products!A:F,6,0),"")</f>
        <v>1</v>
      </c>
      <c r="R895">
        <f t="shared" si="39"/>
        <v>0.22162162162162163</v>
      </c>
      <c r="S895">
        <f t="shared" si="40"/>
        <v>1</v>
      </c>
      <c r="T895">
        <f>IF(AND(S895&gt;1,COUNTIF($A$2:A895,A895)=1),1,0)</f>
        <v>0</v>
      </c>
      <c r="U895">
        <f>COUNTIF(Customers!$A$2:$A$301,C895)</f>
        <v>1</v>
      </c>
      <c r="V895">
        <f t="shared" si="41"/>
        <v>0</v>
      </c>
    </row>
    <row r="896" spans="1:22" ht="14.25" customHeight="1" x14ac:dyDescent="0.35">
      <c r="A896" s="10" t="s">
        <v>1339</v>
      </c>
      <c r="B896" s="11">
        <v>45593</v>
      </c>
      <c r="C896" s="10" t="s">
        <v>340</v>
      </c>
      <c r="D896" s="10" t="s">
        <v>234</v>
      </c>
      <c r="E896" s="10" t="s">
        <v>261</v>
      </c>
      <c r="F896" s="12">
        <v>3</v>
      </c>
      <c r="G896" s="12">
        <v>4610</v>
      </c>
      <c r="H896" s="12">
        <v>29.7</v>
      </c>
      <c r="I896" s="12">
        <v>9722.49</v>
      </c>
      <c r="J896" s="10" t="s">
        <v>51</v>
      </c>
      <c r="K896" s="10" t="s">
        <v>81</v>
      </c>
      <c r="L896" t="str">
        <f>IFERROR(VLOOKUP(D896,Products!A:F,3,0),"")</f>
        <v>Home</v>
      </c>
      <c r="M896" t="str">
        <f>IFERROR(VLOOKUP(E896,Sales_Reps!A:E,3,0),"")</f>
        <v>North</v>
      </c>
      <c r="N896" t="str">
        <f>IFERROR(VLOOKUP(C896,Customers!A:F,5,0),"")</f>
        <v>SMB</v>
      </c>
      <c r="O896">
        <f>IFERROR(VLOOKUP(C896,Customers!A:F,3,0),"")</f>
        <v>44</v>
      </c>
      <c r="P896">
        <f>IFERROR(VLOOKUP(D896,Products!A:F,4,0),"")</f>
        <v>1850</v>
      </c>
      <c r="Q896" t="b">
        <f>IFERROR(VLOOKUP(D896,Products!A:F,6,0),"")</f>
        <v>1</v>
      </c>
      <c r="R896">
        <f t="shared" si="39"/>
        <v>0.59869848156182215</v>
      </c>
      <c r="S896">
        <f t="shared" si="40"/>
        <v>1</v>
      </c>
      <c r="T896">
        <f>IF(AND(S896&gt;1,COUNTIF($A$2:A896,A896)=1),1,0)</f>
        <v>0</v>
      </c>
      <c r="U896">
        <f>COUNTIF(Customers!$A$2:$A$301,C896)</f>
        <v>1</v>
      </c>
      <c r="V896">
        <f t="shared" si="41"/>
        <v>0</v>
      </c>
    </row>
    <row r="897" spans="1:22" ht="14.25" customHeight="1" x14ac:dyDescent="0.35">
      <c r="A897" s="10" t="s">
        <v>1340</v>
      </c>
      <c r="B897" s="11">
        <v>45539</v>
      </c>
      <c r="C897" s="10" t="s">
        <v>637</v>
      </c>
      <c r="D897" s="10" t="s">
        <v>102</v>
      </c>
      <c r="E897" s="10" t="s">
        <v>216</v>
      </c>
      <c r="F897" s="12">
        <v>5</v>
      </c>
      <c r="G897" s="12">
        <v>2600</v>
      </c>
      <c r="H897" s="12">
        <v>21.4</v>
      </c>
      <c r="I897" s="12">
        <v>10218</v>
      </c>
      <c r="J897" s="10" t="s">
        <v>51</v>
      </c>
      <c r="K897" s="10" t="s">
        <v>76</v>
      </c>
      <c r="L897" t="str">
        <f>IFERROR(VLOOKUP(D897,Products!A:F,3,0),"")</f>
        <v>Electronics</v>
      </c>
      <c r="M897" t="str">
        <f>IFERROR(VLOOKUP(E897,Sales_Reps!A:E,3,0),"")</f>
        <v>South</v>
      </c>
      <c r="N897" t="str">
        <f>IFERROR(VLOOKUP(C897,Customers!A:F,5,0),"")</f>
        <v>Retail</v>
      </c>
      <c r="O897">
        <f>IFERROR(VLOOKUP(C897,Customers!A:F,3,0),"")</f>
        <v>35</v>
      </c>
      <c r="P897">
        <f>IFERROR(VLOOKUP(D897,Products!A:F,4,0),"")</f>
        <v>1052</v>
      </c>
      <c r="Q897" t="b">
        <f>IFERROR(VLOOKUP(D897,Products!A:F,6,0),"")</f>
        <v>1</v>
      </c>
      <c r="R897">
        <f t="shared" si="39"/>
        <v>0.5953846153846154</v>
      </c>
      <c r="S897">
        <f t="shared" si="40"/>
        <v>1</v>
      </c>
      <c r="T897">
        <f>IF(AND(S897&gt;1,COUNTIF($A$2:A897,A897)=1),1,0)</f>
        <v>0</v>
      </c>
      <c r="U897">
        <f>COUNTIF(Customers!$A$2:$A$301,C897)</f>
        <v>1</v>
      </c>
      <c r="V897">
        <f t="shared" si="41"/>
        <v>0</v>
      </c>
    </row>
    <row r="898" spans="1:22" ht="14.25" customHeight="1" x14ac:dyDescent="0.35">
      <c r="A898" s="10" t="s">
        <v>1018</v>
      </c>
      <c r="B898" s="11">
        <v>45436</v>
      </c>
      <c r="C898" s="10" t="s">
        <v>684</v>
      </c>
      <c r="D898" s="10" t="s">
        <v>231</v>
      </c>
      <c r="E898" s="10" t="s">
        <v>75</v>
      </c>
      <c r="F898" s="12">
        <v>10</v>
      </c>
      <c r="G898" s="12">
        <v>1220</v>
      </c>
      <c r="H898" s="12">
        <v>24.3</v>
      </c>
      <c r="I898" s="12">
        <v>9235.4</v>
      </c>
      <c r="J898" s="10" t="s">
        <v>51</v>
      </c>
      <c r="K898" s="10" t="s">
        <v>52</v>
      </c>
      <c r="L898" t="str">
        <f>IFERROR(VLOOKUP(D898,Products!A:F,3,0),"")</f>
        <v>Electronics</v>
      </c>
      <c r="M898" t="str">
        <f>IFERROR(VLOOKUP(E898,Sales_Reps!A:E,3,0),"")</f>
        <v>West</v>
      </c>
      <c r="N898" t="str">
        <f>IFERROR(VLOOKUP(C898,Customers!A:F,5,0),"")</f>
        <v>Retail</v>
      </c>
      <c r="O898">
        <f>IFERROR(VLOOKUP(C898,Customers!A:F,3,0),"")</f>
        <v>48</v>
      </c>
      <c r="P898">
        <f>IFERROR(VLOOKUP(D898,Products!A:F,4,0),"")</f>
        <v>517</v>
      </c>
      <c r="Q898" t="b">
        <f>IFERROR(VLOOKUP(D898,Products!A:F,6,0),"")</f>
        <v>1</v>
      </c>
      <c r="R898">
        <f t="shared" ref="R898:R961" si="42">IFERROR((G898-P898)/G898,"")</f>
        <v>0.57622950819672136</v>
      </c>
      <c r="S898">
        <f t="shared" ref="S898:S961" si="43">COUNTIF($A$2:$A$2001,A898)</f>
        <v>2</v>
      </c>
      <c r="T898">
        <f>IF(AND(S898&gt;1,COUNTIF($A$2:A898,A898)=1),1,0)</f>
        <v>0</v>
      </c>
      <c r="U898">
        <f>COUNTIF(Customers!$A$2:$A$301,C898)</f>
        <v>1</v>
      </c>
      <c r="V898">
        <f t="shared" ref="V898:V961" si="44">IF(AND(K898="Bengaluru",L898="Grocery"),I898,0)</f>
        <v>0</v>
      </c>
    </row>
    <row r="899" spans="1:22" ht="14.25" customHeight="1" x14ac:dyDescent="0.35">
      <c r="A899" s="10" t="s">
        <v>1341</v>
      </c>
      <c r="B899" s="11">
        <v>45646</v>
      </c>
      <c r="C899" s="10" t="s">
        <v>1342</v>
      </c>
      <c r="D899" s="10" t="s">
        <v>84</v>
      </c>
      <c r="E899" s="10" t="s">
        <v>152</v>
      </c>
      <c r="F899" s="12">
        <v>10</v>
      </c>
      <c r="G899" s="12">
        <v>1430</v>
      </c>
      <c r="H899" s="12">
        <v>5.0999999999999996</v>
      </c>
      <c r="I899" s="12">
        <v>13570.7</v>
      </c>
      <c r="J899" s="10" t="s">
        <v>104</v>
      </c>
      <c r="K899" s="10" t="s">
        <v>58</v>
      </c>
      <c r="L899" t="str">
        <f>IFERROR(VLOOKUP(D899,Products!A:F,3,0),"")</f>
        <v>Electronics</v>
      </c>
      <c r="M899" t="str">
        <f>IFERROR(VLOOKUP(E899,Sales_Reps!A:E,3,0),"")</f>
        <v>South</v>
      </c>
      <c r="N899" t="str">
        <f>IFERROR(VLOOKUP(C899,Customers!A:F,5,0),"")</f>
        <v/>
      </c>
      <c r="O899" t="str">
        <f>IFERROR(VLOOKUP(C899,Customers!A:F,3,0),"")</f>
        <v/>
      </c>
      <c r="P899">
        <f>IFERROR(VLOOKUP(D899,Products!A:F,4,0),"")</f>
        <v>861</v>
      </c>
      <c r="Q899" t="b">
        <f>IFERROR(VLOOKUP(D899,Products!A:F,6,0),"")</f>
        <v>1</v>
      </c>
      <c r="R899">
        <f t="shared" si="42"/>
        <v>0.39790209790209791</v>
      </c>
      <c r="S899">
        <f t="shared" si="43"/>
        <v>1</v>
      </c>
      <c r="T899">
        <f>IF(AND(S899&gt;1,COUNTIF($A$2:A899,A899)=1),1,0)</f>
        <v>0</v>
      </c>
      <c r="U899">
        <f>COUNTIF(Customers!$A$2:$A$301,C899)</f>
        <v>0</v>
      </c>
      <c r="V899">
        <f t="shared" si="44"/>
        <v>0</v>
      </c>
    </row>
    <row r="900" spans="1:22" ht="14.25" customHeight="1" x14ac:dyDescent="0.35">
      <c r="A900" s="10" t="s">
        <v>1343</v>
      </c>
      <c r="B900" s="11">
        <v>45478</v>
      </c>
      <c r="C900" s="10" t="s">
        <v>265</v>
      </c>
      <c r="D900" s="10" t="s">
        <v>148</v>
      </c>
      <c r="E900" s="10" t="s">
        <v>134</v>
      </c>
      <c r="F900" s="12">
        <v>10</v>
      </c>
      <c r="G900" s="12">
        <v>4880</v>
      </c>
      <c r="H900" s="12">
        <v>25.5</v>
      </c>
      <c r="I900" s="12">
        <v>36356</v>
      </c>
      <c r="J900" s="10" t="s">
        <v>104</v>
      </c>
      <c r="K900" s="10" t="s">
        <v>58</v>
      </c>
      <c r="L900" t="str">
        <f>IFERROR(VLOOKUP(D900,Products!A:F,3,0),"")</f>
        <v>Beauty</v>
      </c>
      <c r="M900" t="str">
        <f>IFERROR(VLOOKUP(E900,Sales_Reps!A:E,3,0),"")</f>
        <v>West</v>
      </c>
      <c r="N900" t="str">
        <f>IFERROR(VLOOKUP(C900,Customers!A:F,5,0),"")</f>
        <v>Retail</v>
      </c>
      <c r="O900">
        <f>IFERROR(VLOOKUP(C900,Customers!A:F,3,0),"")</f>
        <v>41</v>
      </c>
      <c r="P900">
        <f>IFERROR(VLOOKUP(D900,Products!A:F,4,0),"")</f>
        <v>2768</v>
      </c>
      <c r="Q900" t="b">
        <f>IFERROR(VLOOKUP(D900,Products!A:F,6,0),"")</f>
        <v>1</v>
      </c>
      <c r="R900">
        <f t="shared" si="42"/>
        <v>0.43278688524590164</v>
      </c>
      <c r="S900">
        <f t="shared" si="43"/>
        <v>1</v>
      </c>
      <c r="T900">
        <f>IF(AND(S900&gt;1,COUNTIF($A$2:A900,A900)=1),1,0)</f>
        <v>0</v>
      </c>
      <c r="U900">
        <f>COUNTIF(Customers!$A$2:$A$301,C900)</f>
        <v>1</v>
      </c>
      <c r="V900">
        <f t="shared" si="44"/>
        <v>0</v>
      </c>
    </row>
    <row r="901" spans="1:22" ht="14.25" customHeight="1" x14ac:dyDescent="0.35">
      <c r="A901" s="10" t="s">
        <v>1344</v>
      </c>
      <c r="B901" s="11">
        <v>45518</v>
      </c>
      <c r="C901" s="10" t="s">
        <v>930</v>
      </c>
      <c r="D901" s="10" t="s">
        <v>205</v>
      </c>
      <c r="E901" s="10" t="s">
        <v>92</v>
      </c>
      <c r="F901" s="12">
        <v>6</v>
      </c>
      <c r="G901" s="12">
        <v>6080</v>
      </c>
      <c r="H901" s="12">
        <v>21.6</v>
      </c>
      <c r="I901" s="12">
        <v>28600.32</v>
      </c>
      <c r="J901" s="10" t="s">
        <v>51</v>
      </c>
      <c r="K901" s="10" t="s">
        <v>97</v>
      </c>
      <c r="L901" t="str">
        <f>IFERROR(VLOOKUP(D901,Products!A:F,3,0),"")</f>
        <v>Beauty</v>
      </c>
      <c r="M901" t="str">
        <f>IFERROR(VLOOKUP(E901,Sales_Reps!A:E,3,0),"")</f>
        <v>West</v>
      </c>
      <c r="N901" t="str">
        <f>IFERROR(VLOOKUP(C901,Customers!A:F,5,0),"")</f>
        <v>SMB</v>
      </c>
      <c r="O901">
        <f>IFERROR(VLOOKUP(C901,Customers!A:F,3,0),"")</f>
        <v>31</v>
      </c>
      <c r="P901">
        <f>IFERROR(VLOOKUP(D901,Products!A:F,4,0),"")</f>
        <v>2617</v>
      </c>
      <c r="Q901" t="b">
        <f>IFERROR(VLOOKUP(D901,Products!A:F,6,0),"")</f>
        <v>1</v>
      </c>
      <c r="R901">
        <f t="shared" si="42"/>
        <v>0.56957236842105263</v>
      </c>
      <c r="S901">
        <f t="shared" si="43"/>
        <v>1</v>
      </c>
      <c r="T901">
        <f>IF(AND(S901&gt;1,COUNTIF($A$2:A901,A901)=1),1,0)</f>
        <v>0</v>
      </c>
      <c r="U901">
        <f>COUNTIF(Customers!$A$2:$A$301,C901)</f>
        <v>1</v>
      </c>
      <c r="V901">
        <f t="shared" si="44"/>
        <v>0</v>
      </c>
    </row>
    <row r="902" spans="1:22" ht="14.25" customHeight="1" x14ac:dyDescent="0.35">
      <c r="A902" s="10" t="s">
        <v>1345</v>
      </c>
      <c r="B902" s="11">
        <v>45319</v>
      </c>
      <c r="C902" s="10" t="s">
        <v>505</v>
      </c>
      <c r="D902" s="10" t="s">
        <v>240</v>
      </c>
      <c r="E902" s="10" t="s">
        <v>216</v>
      </c>
      <c r="F902" s="12">
        <v>3</v>
      </c>
      <c r="G902" s="12">
        <v>3020</v>
      </c>
      <c r="H902" s="12">
        <v>20.7</v>
      </c>
      <c r="I902" s="12">
        <v>7184.58</v>
      </c>
      <c r="J902" s="10" t="s">
        <v>51</v>
      </c>
      <c r="K902" s="10" t="s">
        <v>58</v>
      </c>
      <c r="L902" t="str">
        <f>IFERROR(VLOOKUP(D902,Products!A:F,3,0),"")</f>
        <v>Beauty</v>
      </c>
      <c r="M902" t="str">
        <f>IFERROR(VLOOKUP(E902,Sales_Reps!A:E,3,0),"")</f>
        <v>South</v>
      </c>
      <c r="N902" t="str">
        <f>IFERROR(VLOOKUP(C902,Customers!A:F,5,0),"")</f>
        <v>Corporate</v>
      </c>
      <c r="O902">
        <f>IFERROR(VLOOKUP(C902,Customers!A:F,3,0),"")</f>
        <v>34</v>
      </c>
      <c r="P902">
        <f>IFERROR(VLOOKUP(D902,Products!A:F,4,0),"")</f>
        <v>1626</v>
      </c>
      <c r="Q902" t="b">
        <f>IFERROR(VLOOKUP(D902,Products!A:F,6,0),"")</f>
        <v>1</v>
      </c>
      <c r="R902">
        <f t="shared" si="42"/>
        <v>0.46158940397350995</v>
      </c>
      <c r="S902">
        <f t="shared" si="43"/>
        <v>1</v>
      </c>
      <c r="T902">
        <f>IF(AND(S902&gt;1,COUNTIF($A$2:A902,A902)=1),1,0)</f>
        <v>0</v>
      </c>
      <c r="U902">
        <f>COUNTIF(Customers!$A$2:$A$301,C902)</f>
        <v>1</v>
      </c>
      <c r="V902">
        <f t="shared" si="44"/>
        <v>0</v>
      </c>
    </row>
    <row r="903" spans="1:22" ht="14.25" customHeight="1" x14ac:dyDescent="0.35">
      <c r="A903" s="10" t="s">
        <v>1346</v>
      </c>
      <c r="B903" s="11">
        <v>45445</v>
      </c>
      <c r="C903" s="10" t="s">
        <v>295</v>
      </c>
      <c r="D903" s="10" t="s">
        <v>137</v>
      </c>
      <c r="E903" s="10" t="s">
        <v>216</v>
      </c>
      <c r="F903" s="12">
        <v>9</v>
      </c>
      <c r="G903" s="12">
        <v>2720</v>
      </c>
      <c r="H903" s="12">
        <v>21.4</v>
      </c>
      <c r="I903" s="12">
        <v>19241.28</v>
      </c>
      <c r="J903" s="10" t="s">
        <v>51</v>
      </c>
      <c r="K903" s="10" t="s">
        <v>81</v>
      </c>
      <c r="L903" t="str">
        <f>IFERROR(VLOOKUP(D903,Products!A:F,3,0),"")</f>
        <v>Apparel</v>
      </c>
      <c r="M903" t="str">
        <f>IFERROR(VLOOKUP(E903,Sales_Reps!A:E,3,0),"")</f>
        <v>South</v>
      </c>
      <c r="N903" t="str">
        <f>IFERROR(VLOOKUP(C903,Customers!A:F,5,0),"")</f>
        <v>Corporate</v>
      </c>
      <c r="O903">
        <f>IFERROR(VLOOKUP(C903,Customers!A:F,3,0),"")</f>
        <v>59</v>
      </c>
      <c r="P903">
        <f>IFERROR(VLOOKUP(D903,Products!A:F,4,0),"")</f>
        <v>1962</v>
      </c>
      <c r="Q903" t="b">
        <f>IFERROR(VLOOKUP(D903,Products!A:F,6,0),"")</f>
        <v>1</v>
      </c>
      <c r="R903">
        <f t="shared" si="42"/>
        <v>0.2786764705882353</v>
      </c>
      <c r="S903">
        <f t="shared" si="43"/>
        <v>1</v>
      </c>
      <c r="T903">
        <f>IF(AND(S903&gt;1,COUNTIF($A$2:A903,A903)=1),1,0)</f>
        <v>0</v>
      </c>
      <c r="U903">
        <f>COUNTIF(Customers!$A$2:$A$301,C903)</f>
        <v>1</v>
      </c>
      <c r="V903">
        <f t="shared" si="44"/>
        <v>0</v>
      </c>
    </row>
    <row r="904" spans="1:22" ht="14.25" customHeight="1" x14ac:dyDescent="0.35">
      <c r="A904" s="10" t="s">
        <v>1347</v>
      </c>
      <c r="B904" s="11">
        <v>45417</v>
      </c>
      <c r="C904" s="10" t="s">
        <v>236</v>
      </c>
      <c r="D904" s="10" t="s">
        <v>151</v>
      </c>
      <c r="E904" s="10" t="s">
        <v>75</v>
      </c>
      <c r="F904" s="12">
        <v>10</v>
      </c>
      <c r="G904" s="12">
        <v>3570</v>
      </c>
      <c r="H904" s="12">
        <v>4.4000000000000004</v>
      </c>
      <c r="I904" s="12">
        <v>34129.199999999997</v>
      </c>
      <c r="J904" s="10" t="s">
        <v>51</v>
      </c>
      <c r="K904" s="10" t="s">
        <v>58</v>
      </c>
      <c r="L904" t="str">
        <f>IFERROR(VLOOKUP(D904,Products!A:F,3,0),"")</f>
        <v>Electronics</v>
      </c>
      <c r="M904" t="str">
        <f>IFERROR(VLOOKUP(E904,Sales_Reps!A:E,3,0),"")</f>
        <v>West</v>
      </c>
      <c r="N904" t="str">
        <f>IFERROR(VLOOKUP(C904,Customers!A:F,5,0),"")</f>
        <v>SMB</v>
      </c>
      <c r="O904">
        <f>IFERROR(VLOOKUP(C904,Customers!A:F,3,0),"")</f>
        <v>55</v>
      </c>
      <c r="P904">
        <f>IFERROR(VLOOKUP(D904,Products!A:F,4,0),"")</f>
        <v>1665</v>
      </c>
      <c r="Q904" t="b">
        <f>IFERROR(VLOOKUP(D904,Products!A:F,6,0),"")</f>
        <v>1</v>
      </c>
      <c r="R904">
        <f t="shared" si="42"/>
        <v>0.53361344537815125</v>
      </c>
      <c r="S904">
        <f t="shared" si="43"/>
        <v>1</v>
      </c>
      <c r="T904">
        <f>IF(AND(S904&gt;1,COUNTIF($A$2:A904,A904)=1),1,0)</f>
        <v>0</v>
      </c>
      <c r="U904">
        <f>COUNTIF(Customers!$A$2:$A$301,C904)</f>
        <v>1</v>
      </c>
      <c r="V904">
        <f t="shared" si="44"/>
        <v>0</v>
      </c>
    </row>
    <row r="905" spans="1:22" ht="14.25" customHeight="1" x14ac:dyDescent="0.35">
      <c r="A905" s="10" t="s">
        <v>1348</v>
      </c>
      <c r="B905" s="11">
        <v>45309</v>
      </c>
      <c r="C905" s="10" t="s">
        <v>991</v>
      </c>
      <c r="D905" s="10" t="s">
        <v>128</v>
      </c>
      <c r="E905" s="10" t="s">
        <v>62</v>
      </c>
      <c r="F905" s="12">
        <v>8</v>
      </c>
      <c r="G905" s="12">
        <v>1080</v>
      </c>
      <c r="H905" s="12">
        <v>23.8</v>
      </c>
      <c r="I905" s="12">
        <v>6583.68</v>
      </c>
      <c r="J905" s="10" t="s">
        <v>51</v>
      </c>
      <c r="K905" s="10" t="s">
        <v>76</v>
      </c>
      <c r="L905" t="str">
        <f>IFERROR(VLOOKUP(D905,Products!A:F,3,0),"")</f>
        <v>Home</v>
      </c>
      <c r="M905" t="str">
        <f>IFERROR(VLOOKUP(E905,Sales_Reps!A:E,3,0),"")</f>
        <v>South</v>
      </c>
      <c r="N905" t="str">
        <f>IFERROR(VLOOKUP(C905,Customers!A:F,5,0),"")</f>
        <v>SMB</v>
      </c>
      <c r="O905">
        <f>IFERROR(VLOOKUP(C905,Customers!A:F,3,0),"")</f>
        <v>47</v>
      </c>
      <c r="P905">
        <f>IFERROR(VLOOKUP(D905,Products!A:F,4,0),"")</f>
        <v>519</v>
      </c>
      <c r="Q905" t="b">
        <f>IFERROR(VLOOKUP(D905,Products!A:F,6,0),"")</f>
        <v>1</v>
      </c>
      <c r="R905">
        <f t="shared" si="42"/>
        <v>0.51944444444444449</v>
      </c>
      <c r="S905">
        <f t="shared" si="43"/>
        <v>1</v>
      </c>
      <c r="T905">
        <f>IF(AND(S905&gt;1,COUNTIF($A$2:A905,A905)=1),1,0)</f>
        <v>0</v>
      </c>
      <c r="U905">
        <f>COUNTIF(Customers!$A$2:$A$301,C905)</f>
        <v>1</v>
      </c>
      <c r="V905">
        <f t="shared" si="44"/>
        <v>0</v>
      </c>
    </row>
    <row r="906" spans="1:22" ht="14.25" customHeight="1" x14ac:dyDescent="0.35">
      <c r="A906" s="10" t="s">
        <v>1349</v>
      </c>
      <c r="B906" s="11">
        <v>45367</v>
      </c>
      <c r="C906" s="10" t="s">
        <v>801</v>
      </c>
      <c r="D906" s="10" t="s">
        <v>466</v>
      </c>
      <c r="E906" s="10" t="s">
        <v>237</v>
      </c>
      <c r="F906" s="12">
        <v>8</v>
      </c>
      <c r="G906" s="12">
        <v>1090</v>
      </c>
      <c r="H906" s="12">
        <v>17.5</v>
      </c>
      <c r="I906" s="12">
        <v>7194</v>
      </c>
      <c r="J906" s="10" t="s">
        <v>51</v>
      </c>
      <c r="K906" s="10" t="s">
        <v>81</v>
      </c>
      <c r="L906" t="str">
        <f>IFERROR(VLOOKUP(D906,Products!A:F,3,0),"")</f>
        <v>Home</v>
      </c>
      <c r="M906" t="str">
        <f>IFERROR(VLOOKUP(E906,Sales_Reps!A:E,3,0),"")</f>
        <v>South</v>
      </c>
      <c r="N906" t="str">
        <f>IFERROR(VLOOKUP(C906,Customers!A:F,5,0),"")</f>
        <v>Retail</v>
      </c>
      <c r="O906">
        <f>IFERROR(VLOOKUP(C906,Customers!A:F,3,0),"")</f>
        <v>37</v>
      </c>
      <c r="P906">
        <f>IFERROR(VLOOKUP(D906,Products!A:F,4,0),"")</f>
        <v>464</v>
      </c>
      <c r="Q906" t="b">
        <f>IFERROR(VLOOKUP(D906,Products!A:F,6,0),"")</f>
        <v>1</v>
      </c>
      <c r="R906">
        <f t="shared" si="42"/>
        <v>0.57431192660550456</v>
      </c>
      <c r="S906">
        <f t="shared" si="43"/>
        <v>1</v>
      </c>
      <c r="T906">
        <f>IF(AND(S906&gt;1,COUNTIF($A$2:A906,A906)=1),1,0)</f>
        <v>0</v>
      </c>
      <c r="U906">
        <f>COUNTIF(Customers!$A$2:$A$301,C906)</f>
        <v>1</v>
      </c>
      <c r="V906">
        <f t="shared" si="44"/>
        <v>0</v>
      </c>
    </row>
    <row r="907" spans="1:22" ht="14.25" customHeight="1" x14ac:dyDescent="0.35">
      <c r="A907" s="10" t="s">
        <v>1350</v>
      </c>
      <c r="B907" s="11">
        <v>45615</v>
      </c>
      <c r="C907" s="10" t="s">
        <v>1272</v>
      </c>
      <c r="D907" s="10" t="s">
        <v>623</v>
      </c>
      <c r="E907" s="10" t="s">
        <v>307</v>
      </c>
      <c r="F907" s="12">
        <v>7</v>
      </c>
      <c r="G907" s="12">
        <v>3560</v>
      </c>
      <c r="H907" s="12">
        <v>11.1</v>
      </c>
      <c r="I907" s="12">
        <v>22153.88</v>
      </c>
      <c r="J907" s="10" t="s">
        <v>51</v>
      </c>
      <c r="K907" s="10" t="s">
        <v>58</v>
      </c>
      <c r="L907" t="str">
        <f>IFERROR(VLOOKUP(D907,Products!A:F,3,0),"")</f>
        <v>Apparel</v>
      </c>
      <c r="M907" t="str">
        <f>IFERROR(VLOOKUP(E907,Sales_Reps!A:E,3,0),"")</f>
        <v>West</v>
      </c>
      <c r="N907" t="str">
        <f>IFERROR(VLOOKUP(C907,Customers!A:F,5,0),"")</f>
        <v>SMB</v>
      </c>
      <c r="O907">
        <f>IFERROR(VLOOKUP(C907,Customers!A:F,3,0),"")</f>
        <v>51</v>
      </c>
      <c r="P907">
        <f>IFERROR(VLOOKUP(D907,Products!A:F,4,0),"")</f>
        <v>2629</v>
      </c>
      <c r="Q907" t="b">
        <f>IFERROR(VLOOKUP(D907,Products!A:F,6,0),"")</f>
        <v>1</v>
      </c>
      <c r="R907">
        <f t="shared" si="42"/>
        <v>0.26151685393258428</v>
      </c>
      <c r="S907">
        <f t="shared" si="43"/>
        <v>1</v>
      </c>
      <c r="T907">
        <f>IF(AND(S907&gt;1,COUNTIF($A$2:A907,A907)=1),1,0)</f>
        <v>0</v>
      </c>
      <c r="U907">
        <f>COUNTIF(Customers!$A$2:$A$301,C907)</f>
        <v>1</v>
      </c>
      <c r="V907">
        <f t="shared" si="44"/>
        <v>0</v>
      </c>
    </row>
    <row r="908" spans="1:22" ht="14.25" customHeight="1" x14ac:dyDescent="0.35">
      <c r="A908" s="10" t="s">
        <v>1351</v>
      </c>
      <c r="B908" s="11">
        <v>45499</v>
      </c>
      <c r="C908" s="10" t="s">
        <v>192</v>
      </c>
      <c r="D908" s="10" t="s">
        <v>111</v>
      </c>
      <c r="E908" s="10" t="s">
        <v>249</v>
      </c>
      <c r="F908" s="12">
        <v>6</v>
      </c>
      <c r="G908" s="12">
        <v>190</v>
      </c>
      <c r="H908" s="12">
        <v>17.100000000000001</v>
      </c>
      <c r="I908" s="12">
        <v>945.06</v>
      </c>
      <c r="J908" s="10" t="s">
        <v>104</v>
      </c>
      <c r="K908" s="10" t="s">
        <v>76</v>
      </c>
      <c r="L908" t="str">
        <f>IFERROR(VLOOKUP(D908,Products!A:F,3,0),"")</f>
        <v>Sports</v>
      </c>
      <c r="M908" t="str">
        <f>IFERROR(VLOOKUP(E908,Sales_Reps!A:E,3,0),"")</f>
        <v>East</v>
      </c>
      <c r="N908" t="str">
        <f>IFERROR(VLOOKUP(C908,Customers!A:F,5,0),"")</f>
        <v>SMB</v>
      </c>
      <c r="O908">
        <f>IFERROR(VLOOKUP(C908,Customers!A:F,3,0),"")</f>
        <v>54</v>
      </c>
      <c r="P908">
        <f>IFERROR(VLOOKUP(D908,Products!A:F,4,0),"")</f>
        <v>147</v>
      </c>
      <c r="Q908" t="b">
        <f>IFERROR(VLOOKUP(D908,Products!A:F,6,0),"")</f>
        <v>1</v>
      </c>
      <c r="R908">
        <f t="shared" si="42"/>
        <v>0.22631578947368422</v>
      </c>
      <c r="S908">
        <f t="shared" si="43"/>
        <v>1</v>
      </c>
      <c r="T908">
        <f>IF(AND(S908&gt;1,COUNTIF($A$2:A908,A908)=1),1,0)</f>
        <v>0</v>
      </c>
      <c r="U908">
        <f>COUNTIF(Customers!$A$2:$A$301,C908)</f>
        <v>1</v>
      </c>
      <c r="V908">
        <f t="shared" si="44"/>
        <v>0</v>
      </c>
    </row>
    <row r="909" spans="1:22" ht="14.25" customHeight="1" x14ac:dyDescent="0.35">
      <c r="A909" s="10" t="s">
        <v>1352</v>
      </c>
      <c r="B909" s="11">
        <v>45356</v>
      </c>
      <c r="C909" s="10" t="s">
        <v>681</v>
      </c>
      <c r="D909" s="10" t="s">
        <v>315</v>
      </c>
      <c r="E909" s="10" t="s">
        <v>75</v>
      </c>
      <c r="F909" s="12">
        <v>7</v>
      </c>
      <c r="G909" s="12">
        <v>4060</v>
      </c>
      <c r="H909" s="12">
        <v>0.6</v>
      </c>
      <c r="I909" s="12">
        <v>28249.48</v>
      </c>
      <c r="J909" s="10" t="s">
        <v>51</v>
      </c>
      <c r="K909" s="10" t="s">
        <v>58</v>
      </c>
      <c r="L909" t="str">
        <f>IFERROR(VLOOKUP(D909,Products!A:F,3,0),"")</f>
        <v>Grocery</v>
      </c>
      <c r="M909" t="str">
        <f>IFERROR(VLOOKUP(E909,Sales_Reps!A:E,3,0),"")</f>
        <v>West</v>
      </c>
      <c r="N909" t="str">
        <f>IFERROR(VLOOKUP(C909,Customers!A:F,5,0),"")</f>
        <v>Retail</v>
      </c>
      <c r="O909">
        <f>IFERROR(VLOOKUP(C909,Customers!A:F,3,0),"")</f>
        <v>24</v>
      </c>
      <c r="P909">
        <f>IFERROR(VLOOKUP(D909,Products!A:F,4,0),"")</f>
        <v>2911</v>
      </c>
      <c r="Q909" t="b">
        <f>IFERROR(VLOOKUP(D909,Products!A:F,6,0),"")</f>
        <v>1</v>
      </c>
      <c r="R909">
        <f t="shared" si="42"/>
        <v>0.28300492610837441</v>
      </c>
      <c r="S909">
        <f t="shared" si="43"/>
        <v>1</v>
      </c>
      <c r="T909">
        <f>IF(AND(S909&gt;1,COUNTIF($A$2:A909,A909)=1),1,0)</f>
        <v>0</v>
      </c>
      <c r="U909">
        <f>COUNTIF(Customers!$A$2:$A$301,C909)</f>
        <v>1</v>
      </c>
      <c r="V909">
        <f t="shared" si="44"/>
        <v>0</v>
      </c>
    </row>
    <row r="910" spans="1:22" ht="14.25" customHeight="1" x14ac:dyDescent="0.35">
      <c r="A910" s="10" t="s">
        <v>1353</v>
      </c>
      <c r="B910" s="11">
        <v>45346</v>
      </c>
      <c r="C910" s="10" t="s">
        <v>572</v>
      </c>
      <c r="D910" s="10" t="s">
        <v>234</v>
      </c>
      <c r="E910" s="10" t="s">
        <v>122</v>
      </c>
      <c r="F910" s="12">
        <v>4</v>
      </c>
      <c r="G910" s="12">
        <v>4610</v>
      </c>
      <c r="H910" s="12">
        <v>1.9</v>
      </c>
      <c r="I910" s="12">
        <v>18089.64</v>
      </c>
      <c r="J910" s="10" t="s">
        <v>57</v>
      </c>
      <c r="K910" s="10" t="s">
        <v>52</v>
      </c>
      <c r="L910" t="str">
        <f>IFERROR(VLOOKUP(D910,Products!A:F,3,0),"")</f>
        <v>Home</v>
      </c>
      <c r="M910" t="str">
        <f>IFERROR(VLOOKUP(E910,Sales_Reps!A:E,3,0),"")</f>
        <v>East</v>
      </c>
      <c r="N910" t="str">
        <f>IFERROR(VLOOKUP(C910,Customers!A:F,5,0),"")</f>
        <v>Corporate</v>
      </c>
      <c r="O910">
        <f>IFERROR(VLOOKUP(C910,Customers!A:F,3,0),"")</f>
        <v>40</v>
      </c>
      <c r="P910">
        <f>IFERROR(VLOOKUP(D910,Products!A:F,4,0),"")</f>
        <v>1850</v>
      </c>
      <c r="Q910" t="b">
        <f>IFERROR(VLOOKUP(D910,Products!A:F,6,0),"")</f>
        <v>1</v>
      </c>
      <c r="R910">
        <f t="shared" si="42"/>
        <v>0.59869848156182215</v>
      </c>
      <c r="S910">
        <f t="shared" si="43"/>
        <v>1</v>
      </c>
      <c r="T910">
        <f>IF(AND(S910&gt;1,COUNTIF($A$2:A910,A910)=1),1,0)</f>
        <v>0</v>
      </c>
      <c r="U910">
        <f>COUNTIF(Customers!$A$2:$A$301,C910)</f>
        <v>1</v>
      </c>
      <c r="V910">
        <f t="shared" si="44"/>
        <v>0</v>
      </c>
    </row>
    <row r="911" spans="1:22" ht="14.25" customHeight="1" x14ac:dyDescent="0.35">
      <c r="A911" s="10" t="s">
        <v>1354</v>
      </c>
      <c r="B911" s="11">
        <v>45640</v>
      </c>
      <c r="C911" s="10" t="s">
        <v>585</v>
      </c>
      <c r="D911" s="10" t="s">
        <v>228</v>
      </c>
      <c r="E911" s="10" t="s">
        <v>156</v>
      </c>
      <c r="F911" s="12">
        <v>4</v>
      </c>
      <c r="G911" s="12">
        <v>4070</v>
      </c>
      <c r="H911" s="12">
        <v>26.8</v>
      </c>
      <c r="I911" s="12">
        <v>11916.96</v>
      </c>
      <c r="J911" s="10" t="s">
        <v>51</v>
      </c>
      <c r="K911" s="10" t="s">
        <v>58</v>
      </c>
      <c r="L911" t="str">
        <f>IFERROR(VLOOKUP(D911,Products!A:F,3,0),"")</f>
        <v>Grocery</v>
      </c>
      <c r="M911" t="str">
        <f>IFERROR(VLOOKUP(E911,Sales_Reps!A:E,3,0),"")</f>
        <v>East</v>
      </c>
      <c r="N911" t="str">
        <f>IFERROR(VLOOKUP(C911,Customers!A:F,5,0),"")</f>
        <v>Corporate</v>
      </c>
      <c r="O911">
        <f>IFERROR(VLOOKUP(C911,Customers!A:F,3,0),"")</f>
        <v>22</v>
      </c>
      <c r="P911">
        <f>IFERROR(VLOOKUP(D911,Products!A:F,4,0),"")</f>
        <v>2027</v>
      </c>
      <c r="Q911" t="b">
        <f>IFERROR(VLOOKUP(D911,Products!A:F,6,0),"")</f>
        <v>1</v>
      </c>
      <c r="R911">
        <f t="shared" si="42"/>
        <v>0.50196560196560192</v>
      </c>
      <c r="S911">
        <f t="shared" si="43"/>
        <v>1</v>
      </c>
      <c r="T911">
        <f>IF(AND(S911&gt;1,COUNTIF($A$2:A911,A911)=1),1,0)</f>
        <v>0</v>
      </c>
      <c r="U911">
        <f>COUNTIF(Customers!$A$2:$A$301,C911)</f>
        <v>1</v>
      </c>
      <c r="V911">
        <f t="shared" si="44"/>
        <v>0</v>
      </c>
    </row>
    <row r="912" spans="1:22" ht="14.25" customHeight="1" x14ac:dyDescent="0.35">
      <c r="A912" s="10" t="s">
        <v>1355</v>
      </c>
      <c r="B912" s="11">
        <v>45633</v>
      </c>
      <c r="C912" s="10" t="s">
        <v>220</v>
      </c>
      <c r="D912" s="10" t="s">
        <v>49</v>
      </c>
      <c r="E912" s="10" t="s">
        <v>103</v>
      </c>
      <c r="F912" s="12">
        <v>4</v>
      </c>
      <c r="G912" s="12">
        <v>3620</v>
      </c>
      <c r="H912" s="12">
        <v>11.7</v>
      </c>
      <c r="I912" s="12">
        <v>12785.84</v>
      </c>
      <c r="J912" s="10" t="s">
        <v>51</v>
      </c>
      <c r="K912" s="10" t="s">
        <v>97</v>
      </c>
      <c r="L912" t="str">
        <f>IFERROR(VLOOKUP(D912,Products!A:F,3,0),"")</f>
        <v>Apparel</v>
      </c>
      <c r="M912" t="str">
        <f>IFERROR(VLOOKUP(E912,Sales_Reps!A:E,3,0),"")</f>
        <v>North</v>
      </c>
      <c r="N912" t="str">
        <f>IFERROR(VLOOKUP(C912,Customers!A:F,5,0),"")</f>
        <v>Retail</v>
      </c>
      <c r="O912">
        <f>IFERROR(VLOOKUP(C912,Customers!A:F,3,0),"")</f>
        <v>27</v>
      </c>
      <c r="P912">
        <f>IFERROR(VLOOKUP(D912,Products!A:F,4,0),"")</f>
        <v>2509</v>
      </c>
      <c r="Q912" t="b">
        <f>IFERROR(VLOOKUP(D912,Products!A:F,6,0),"")</f>
        <v>1</v>
      </c>
      <c r="R912">
        <f t="shared" si="42"/>
        <v>0.3069060773480663</v>
      </c>
      <c r="S912">
        <f t="shared" si="43"/>
        <v>1</v>
      </c>
      <c r="T912">
        <f>IF(AND(S912&gt;1,COUNTIF($A$2:A912,A912)=1),1,0)</f>
        <v>0</v>
      </c>
      <c r="U912">
        <f>COUNTIF(Customers!$A$2:$A$301,C912)</f>
        <v>1</v>
      </c>
      <c r="V912">
        <f t="shared" si="44"/>
        <v>0</v>
      </c>
    </row>
    <row r="913" spans="1:22" ht="14.25" customHeight="1" x14ac:dyDescent="0.35">
      <c r="A913" s="10" t="s">
        <v>1356</v>
      </c>
      <c r="B913" s="11">
        <v>45430</v>
      </c>
      <c r="C913" s="10" t="s">
        <v>282</v>
      </c>
      <c r="D913" s="10" t="s">
        <v>372</v>
      </c>
      <c r="E913" s="10" t="s">
        <v>134</v>
      </c>
      <c r="F913" s="12">
        <v>3</v>
      </c>
      <c r="G913" s="12">
        <v>3970</v>
      </c>
      <c r="H913" s="12">
        <v>24.7</v>
      </c>
      <c r="I913" s="12">
        <v>8968.23</v>
      </c>
      <c r="J913" s="10" t="s">
        <v>51</v>
      </c>
      <c r="K913" s="10" t="s">
        <v>58</v>
      </c>
      <c r="L913" t="str">
        <f>IFERROR(VLOOKUP(D913,Products!A:F,3,0),"")</f>
        <v>Electronics</v>
      </c>
      <c r="M913" t="str">
        <f>IFERROR(VLOOKUP(E913,Sales_Reps!A:E,3,0),"")</f>
        <v>West</v>
      </c>
      <c r="N913" t="str">
        <f>IFERROR(VLOOKUP(C913,Customers!A:F,5,0),"")</f>
        <v>SMB</v>
      </c>
      <c r="O913">
        <f>IFERROR(VLOOKUP(C913,Customers!A:F,3,0),"")</f>
        <v>57</v>
      </c>
      <c r="P913">
        <f>IFERROR(VLOOKUP(D913,Products!A:F,4,0),"")</f>
        <v>2865</v>
      </c>
      <c r="Q913" t="b">
        <f>IFERROR(VLOOKUP(D913,Products!A:F,6,0),"")</f>
        <v>1</v>
      </c>
      <c r="R913">
        <f t="shared" si="42"/>
        <v>0.27833753148614609</v>
      </c>
      <c r="S913">
        <f t="shared" si="43"/>
        <v>1</v>
      </c>
      <c r="T913">
        <f>IF(AND(S913&gt;1,COUNTIF($A$2:A913,A913)=1),1,0)</f>
        <v>0</v>
      </c>
      <c r="U913">
        <f>COUNTIF(Customers!$A$2:$A$301,C913)</f>
        <v>1</v>
      </c>
      <c r="V913">
        <f t="shared" si="44"/>
        <v>0</v>
      </c>
    </row>
    <row r="914" spans="1:22" ht="14.25" customHeight="1" x14ac:dyDescent="0.35">
      <c r="A914" s="10" t="s">
        <v>1357</v>
      </c>
      <c r="B914" s="11">
        <v>45355</v>
      </c>
      <c r="C914" s="10" t="s">
        <v>380</v>
      </c>
      <c r="D914" s="10" t="s">
        <v>91</v>
      </c>
      <c r="E914" s="10" t="s">
        <v>92</v>
      </c>
      <c r="F914" s="12">
        <v>4</v>
      </c>
      <c r="G914" s="12">
        <v>970</v>
      </c>
      <c r="H914" s="12">
        <v>0.4</v>
      </c>
      <c r="I914" s="12">
        <v>3864.48</v>
      </c>
      <c r="J914" s="10" t="s">
        <v>51</v>
      </c>
      <c r="K914" s="10" t="s">
        <v>81</v>
      </c>
      <c r="L914" t="str">
        <f>IFERROR(VLOOKUP(D914,Products!A:F,3,0),"")</f>
        <v>Grocery</v>
      </c>
      <c r="M914" t="str">
        <f>IFERROR(VLOOKUP(E914,Sales_Reps!A:E,3,0),"")</f>
        <v>West</v>
      </c>
      <c r="N914" t="str">
        <f>IFERROR(VLOOKUP(C914,Customers!A:F,5,0),"")</f>
        <v>Corporate</v>
      </c>
      <c r="O914">
        <f>IFERROR(VLOOKUP(C914,Customers!A:F,3,0),"")</f>
        <v>42</v>
      </c>
      <c r="P914">
        <f>IFERROR(VLOOKUP(D914,Products!A:F,4,0),"")</f>
        <v>434</v>
      </c>
      <c r="Q914" t="b">
        <f>IFERROR(VLOOKUP(D914,Products!A:F,6,0),"")</f>
        <v>1</v>
      </c>
      <c r="R914">
        <f t="shared" si="42"/>
        <v>0.5525773195876289</v>
      </c>
      <c r="S914">
        <f t="shared" si="43"/>
        <v>1</v>
      </c>
      <c r="T914">
        <f>IF(AND(S914&gt;1,COUNTIF($A$2:A914,A914)=1),1,0)</f>
        <v>0</v>
      </c>
      <c r="U914">
        <f>COUNTIF(Customers!$A$2:$A$301,C914)</f>
        <v>1</v>
      </c>
      <c r="V914">
        <f t="shared" si="44"/>
        <v>3864.48</v>
      </c>
    </row>
    <row r="915" spans="1:22" ht="14.25" customHeight="1" x14ac:dyDescent="0.35">
      <c r="A915" s="10" t="s">
        <v>1358</v>
      </c>
      <c r="B915" s="11">
        <v>45379</v>
      </c>
      <c r="C915" s="10" t="s">
        <v>263</v>
      </c>
      <c r="D915" s="10" t="s">
        <v>79</v>
      </c>
      <c r="E915" s="10" t="s">
        <v>118</v>
      </c>
      <c r="F915" s="12">
        <v>2</v>
      </c>
      <c r="G915" s="12">
        <v>960</v>
      </c>
      <c r="H915" s="12">
        <v>1.4</v>
      </c>
      <c r="I915" s="12">
        <v>1893.12</v>
      </c>
      <c r="J915" s="10" t="s">
        <v>51</v>
      </c>
      <c r="K915" s="10" t="s">
        <v>97</v>
      </c>
      <c r="L915" t="str">
        <f>IFERROR(VLOOKUP(D915,Products!A:F,3,0),"")</f>
        <v>Sports</v>
      </c>
      <c r="M915" t="str">
        <f>IFERROR(VLOOKUP(E915,Sales_Reps!A:E,3,0),"")</f>
        <v>East</v>
      </c>
      <c r="N915" t="str">
        <f>IFERROR(VLOOKUP(C915,Customers!A:F,5,0),"")</f>
        <v>Retail</v>
      </c>
      <c r="O915">
        <f>IFERROR(VLOOKUP(C915,Customers!A:F,3,0),"")</f>
        <v>29</v>
      </c>
      <c r="P915">
        <f>IFERROR(VLOOKUP(D915,Products!A:F,4,0),"")</f>
        <v>705</v>
      </c>
      <c r="Q915" t="b">
        <f>IFERROR(VLOOKUP(D915,Products!A:F,6,0),"")</f>
        <v>1</v>
      </c>
      <c r="R915">
        <f t="shared" si="42"/>
        <v>0.265625</v>
      </c>
      <c r="S915">
        <f t="shared" si="43"/>
        <v>1</v>
      </c>
      <c r="T915">
        <f>IF(AND(S915&gt;1,COUNTIF($A$2:A915,A915)=1),1,0)</f>
        <v>0</v>
      </c>
      <c r="U915">
        <f>COUNTIF(Customers!$A$2:$A$301,C915)</f>
        <v>1</v>
      </c>
      <c r="V915">
        <f t="shared" si="44"/>
        <v>0</v>
      </c>
    </row>
    <row r="916" spans="1:22" ht="14.25" customHeight="1" x14ac:dyDescent="0.35">
      <c r="A916" s="10" t="s">
        <v>1359</v>
      </c>
      <c r="B916" s="11">
        <v>45375</v>
      </c>
      <c r="C916" s="10" t="s">
        <v>124</v>
      </c>
      <c r="D916" s="10" t="s">
        <v>246</v>
      </c>
      <c r="E916" s="10" t="s">
        <v>310</v>
      </c>
      <c r="F916" s="12">
        <v>7</v>
      </c>
      <c r="G916" s="12">
        <v>300</v>
      </c>
      <c r="H916" s="12">
        <v>20.399999999999999</v>
      </c>
      <c r="I916" s="12">
        <v>1671.6</v>
      </c>
      <c r="J916" s="10" t="s">
        <v>51</v>
      </c>
      <c r="K916" s="10" t="s">
        <v>76</v>
      </c>
      <c r="L916" t="str">
        <f>IFERROR(VLOOKUP(D916,Products!A:F,3,0),"")</f>
        <v>Electronics</v>
      </c>
      <c r="M916" t="str">
        <f>IFERROR(VLOOKUP(E916,Sales_Reps!A:E,3,0),"")</f>
        <v>South</v>
      </c>
      <c r="N916" t="str">
        <f>IFERROR(VLOOKUP(C916,Customers!A:F,5,0),"")</f>
        <v>Retail</v>
      </c>
      <c r="O916">
        <f>IFERROR(VLOOKUP(C916,Customers!A:F,3,0),"")</f>
        <v>54</v>
      </c>
      <c r="P916">
        <f>IFERROR(VLOOKUP(D916,Products!A:F,4,0),"")</f>
        <v>128</v>
      </c>
      <c r="Q916" t="b">
        <f>IFERROR(VLOOKUP(D916,Products!A:F,6,0),"")</f>
        <v>1</v>
      </c>
      <c r="R916">
        <f t="shared" si="42"/>
        <v>0.57333333333333336</v>
      </c>
      <c r="S916">
        <f t="shared" si="43"/>
        <v>1</v>
      </c>
      <c r="T916">
        <f>IF(AND(S916&gt;1,COUNTIF($A$2:A916,A916)=1),1,0)</f>
        <v>0</v>
      </c>
      <c r="U916">
        <f>COUNTIF(Customers!$A$2:$A$301,C916)</f>
        <v>1</v>
      </c>
      <c r="V916">
        <f t="shared" si="44"/>
        <v>0</v>
      </c>
    </row>
    <row r="917" spans="1:22" ht="14.25" customHeight="1" x14ac:dyDescent="0.35">
      <c r="A917" s="10" t="s">
        <v>1360</v>
      </c>
      <c r="B917" s="11">
        <v>45397</v>
      </c>
      <c r="C917" s="10" t="s">
        <v>276</v>
      </c>
      <c r="D917" s="10" t="s">
        <v>102</v>
      </c>
      <c r="E917" s="10" t="s">
        <v>62</v>
      </c>
      <c r="F917" s="12">
        <v>8</v>
      </c>
      <c r="G917" s="12">
        <v>2600</v>
      </c>
      <c r="H917" s="12">
        <v>2.2000000000000002</v>
      </c>
      <c r="I917" s="12">
        <v>20342.400000000001</v>
      </c>
      <c r="J917" s="10" t="s">
        <v>104</v>
      </c>
      <c r="K917" s="10" t="s">
        <v>97</v>
      </c>
      <c r="L917" t="str">
        <f>IFERROR(VLOOKUP(D917,Products!A:F,3,0),"")</f>
        <v>Electronics</v>
      </c>
      <c r="M917" t="str">
        <f>IFERROR(VLOOKUP(E917,Sales_Reps!A:E,3,0),"")</f>
        <v>South</v>
      </c>
      <c r="N917" t="str">
        <f>IFERROR(VLOOKUP(C917,Customers!A:F,5,0),"")</f>
        <v>Retail</v>
      </c>
      <c r="O917">
        <f>IFERROR(VLOOKUP(C917,Customers!A:F,3,0),"")</f>
        <v>46</v>
      </c>
      <c r="P917">
        <f>IFERROR(VLOOKUP(D917,Products!A:F,4,0),"")</f>
        <v>1052</v>
      </c>
      <c r="Q917" t="b">
        <f>IFERROR(VLOOKUP(D917,Products!A:F,6,0),"")</f>
        <v>1</v>
      </c>
      <c r="R917">
        <f t="shared" si="42"/>
        <v>0.5953846153846154</v>
      </c>
      <c r="S917">
        <f t="shared" si="43"/>
        <v>1</v>
      </c>
      <c r="T917">
        <f>IF(AND(S917&gt;1,COUNTIF($A$2:A917,A917)=1),1,0)</f>
        <v>0</v>
      </c>
      <c r="U917">
        <f>COUNTIF(Customers!$A$2:$A$301,C917)</f>
        <v>1</v>
      </c>
      <c r="V917">
        <f t="shared" si="44"/>
        <v>0</v>
      </c>
    </row>
    <row r="918" spans="1:22" ht="14.25" customHeight="1" x14ac:dyDescent="0.35">
      <c r="A918" s="10" t="s">
        <v>1361</v>
      </c>
      <c r="B918" s="11">
        <v>45571</v>
      </c>
      <c r="C918" s="10" t="s">
        <v>449</v>
      </c>
      <c r="D918" s="10" t="s">
        <v>74</v>
      </c>
      <c r="E918" s="10" t="s">
        <v>71</v>
      </c>
      <c r="F918" s="12">
        <v>2</v>
      </c>
      <c r="G918" s="12">
        <v>370</v>
      </c>
      <c r="H918" s="12">
        <v>17.7</v>
      </c>
      <c r="I918" s="12">
        <v>609.02</v>
      </c>
      <c r="J918" s="10" t="s">
        <v>51</v>
      </c>
      <c r="K918" s="10" t="s">
        <v>52</v>
      </c>
      <c r="L918" t="str">
        <f>IFERROR(VLOOKUP(D918,Products!A:F,3,0),"")</f>
        <v>Home</v>
      </c>
      <c r="M918" t="str">
        <f>IFERROR(VLOOKUP(E918,Sales_Reps!A:E,3,0),"")</f>
        <v>North</v>
      </c>
      <c r="N918" t="str">
        <f>IFERROR(VLOOKUP(C918,Customers!A:F,5,0),"")</f>
        <v>Retail</v>
      </c>
      <c r="O918">
        <f>IFERROR(VLOOKUP(C918,Customers!A:F,3,0),"")</f>
        <v>49</v>
      </c>
      <c r="P918">
        <f>IFERROR(VLOOKUP(D918,Products!A:F,4,0),"")</f>
        <v>288</v>
      </c>
      <c r="Q918" t="b">
        <f>IFERROR(VLOOKUP(D918,Products!A:F,6,0),"")</f>
        <v>1</v>
      </c>
      <c r="R918">
        <f t="shared" si="42"/>
        <v>0.22162162162162163</v>
      </c>
      <c r="S918">
        <f t="shared" si="43"/>
        <v>1</v>
      </c>
      <c r="T918">
        <f>IF(AND(S918&gt;1,COUNTIF($A$2:A918,A918)=1),1,0)</f>
        <v>0</v>
      </c>
      <c r="U918">
        <f>COUNTIF(Customers!$A$2:$A$301,C918)</f>
        <v>1</v>
      </c>
      <c r="V918">
        <f t="shared" si="44"/>
        <v>0</v>
      </c>
    </row>
    <row r="919" spans="1:22" ht="14.25" customHeight="1" x14ac:dyDescent="0.35">
      <c r="A919" s="10" t="s">
        <v>1362</v>
      </c>
      <c r="B919" s="11">
        <v>45455</v>
      </c>
      <c r="C919" s="10" t="s">
        <v>142</v>
      </c>
      <c r="D919" s="10" t="s">
        <v>121</v>
      </c>
      <c r="E919" s="10" t="s">
        <v>165</v>
      </c>
      <c r="F919" s="12">
        <v>4</v>
      </c>
      <c r="G919" s="12">
        <v>3450</v>
      </c>
      <c r="H919" s="12">
        <v>9.8000000000000007</v>
      </c>
      <c r="I919" s="12">
        <v>12447.6</v>
      </c>
      <c r="J919" s="10" t="s">
        <v>104</v>
      </c>
      <c r="K919" s="10" t="s">
        <v>58</v>
      </c>
      <c r="L919" t="str">
        <f>IFERROR(VLOOKUP(D919,Products!A:F,3,0),"")</f>
        <v>Beauty</v>
      </c>
      <c r="M919" t="str">
        <f>IFERROR(VLOOKUP(E919,Sales_Reps!A:E,3,0),"")</f>
        <v>West</v>
      </c>
      <c r="N919" t="str">
        <f>IFERROR(VLOOKUP(C919,Customers!A:F,5,0),"")</f>
        <v>Corporate</v>
      </c>
      <c r="O919">
        <f>IFERROR(VLOOKUP(C919,Customers!A:F,3,0),"")</f>
        <v>55</v>
      </c>
      <c r="P919">
        <f>IFERROR(VLOOKUP(D919,Products!A:F,4,0),"")</f>
        <v>2420</v>
      </c>
      <c r="Q919" t="b">
        <f>IFERROR(VLOOKUP(D919,Products!A:F,6,0),"")</f>
        <v>1</v>
      </c>
      <c r="R919">
        <f t="shared" si="42"/>
        <v>0.29855072463768118</v>
      </c>
      <c r="S919">
        <f t="shared" si="43"/>
        <v>1</v>
      </c>
      <c r="T919">
        <f>IF(AND(S919&gt;1,COUNTIF($A$2:A919,A919)=1),1,0)</f>
        <v>0</v>
      </c>
      <c r="U919">
        <f>COUNTIF(Customers!$A$2:$A$301,C919)</f>
        <v>1</v>
      </c>
      <c r="V919">
        <f t="shared" si="44"/>
        <v>0</v>
      </c>
    </row>
    <row r="920" spans="1:22" ht="14.25" customHeight="1" x14ac:dyDescent="0.35">
      <c r="A920" s="10" t="s">
        <v>1363</v>
      </c>
      <c r="B920" s="11">
        <v>45486</v>
      </c>
      <c r="C920" s="10" t="s">
        <v>745</v>
      </c>
      <c r="D920" s="10" t="s">
        <v>131</v>
      </c>
      <c r="E920" s="10" t="s">
        <v>156</v>
      </c>
      <c r="F920" s="12">
        <v>1</v>
      </c>
      <c r="G920" s="12">
        <v>2480</v>
      </c>
      <c r="H920" s="12">
        <v>5.8</v>
      </c>
      <c r="I920" s="12">
        <v>2336.16</v>
      </c>
      <c r="J920" s="10" t="s">
        <v>51</v>
      </c>
      <c r="K920" s="10" t="s">
        <v>63</v>
      </c>
      <c r="L920" t="str">
        <f>IFERROR(VLOOKUP(D920,Products!A:F,3,0),"")</f>
        <v>Apparel</v>
      </c>
      <c r="M920" t="str">
        <f>IFERROR(VLOOKUP(E920,Sales_Reps!A:E,3,0),"")</f>
        <v>East</v>
      </c>
      <c r="N920" t="str">
        <f>IFERROR(VLOOKUP(C920,Customers!A:F,5,0),"")</f>
        <v>SMB</v>
      </c>
      <c r="O920">
        <f>IFERROR(VLOOKUP(C920,Customers!A:F,3,0),"")</f>
        <v>29</v>
      </c>
      <c r="P920">
        <f>IFERROR(VLOOKUP(D920,Products!A:F,4,0),"")</f>
        <v>1173</v>
      </c>
      <c r="Q920" t="b">
        <f>IFERROR(VLOOKUP(D920,Products!A:F,6,0),"")</f>
        <v>1</v>
      </c>
      <c r="R920">
        <f t="shared" si="42"/>
        <v>0.52701612903225803</v>
      </c>
      <c r="S920">
        <f t="shared" si="43"/>
        <v>1</v>
      </c>
      <c r="T920">
        <f>IF(AND(S920&gt;1,COUNTIF($A$2:A920,A920)=1),1,0)</f>
        <v>0</v>
      </c>
      <c r="U920">
        <f>COUNTIF(Customers!$A$2:$A$301,C920)</f>
        <v>1</v>
      </c>
      <c r="V920">
        <f t="shared" si="44"/>
        <v>0</v>
      </c>
    </row>
    <row r="921" spans="1:22" ht="14.25" customHeight="1" x14ac:dyDescent="0.35">
      <c r="A921" s="10" t="s">
        <v>1364</v>
      </c>
      <c r="B921" s="11">
        <v>45329</v>
      </c>
      <c r="C921" s="10" t="s">
        <v>515</v>
      </c>
      <c r="D921" s="10" t="s">
        <v>66</v>
      </c>
      <c r="E921" s="10" t="s">
        <v>85</v>
      </c>
      <c r="F921" s="12">
        <v>5</v>
      </c>
      <c r="G921" s="12">
        <v>3660</v>
      </c>
      <c r="H921" s="12">
        <v>4.7</v>
      </c>
      <c r="I921" s="12">
        <v>17439.900000000001</v>
      </c>
      <c r="J921" s="10" t="s">
        <v>57</v>
      </c>
      <c r="K921" s="10" t="s">
        <v>76</v>
      </c>
      <c r="L921" t="str">
        <f>IFERROR(VLOOKUP(D921,Products!A:F,3,0),"")</f>
        <v>Grocery</v>
      </c>
      <c r="M921" t="str">
        <f>IFERROR(VLOOKUP(E921,Sales_Reps!A:E,3,0),"")</f>
        <v>East</v>
      </c>
      <c r="N921" t="str">
        <f>IFERROR(VLOOKUP(C921,Customers!A:F,5,0),"")</f>
        <v>Corporate</v>
      </c>
      <c r="O921">
        <f>IFERROR(VLOOKUP(C921,Customers!A:F,3,0),"")</f>
        <v>60</v>
      </c>
      <c r="P921">
        <f>IFERROR(VLOOKUP(D921,Products!A:F,4,0),"")</f>
        <v>2214</v>
      </c>
      <c r="Q921" t="b">
        <f>IFERROR(VLOOKUP(D921,Products!A:F,6,0),"")</f>
        <v>0</v>
      </c>
      <c r="R921">
        <f t="shared" si="42"/>
        <v>0.39508196721311473</v>
      </c>
      <c r="S921">
        <f t="shared" si="43"/>
        <v>1</v>
      </c>
      <c r="T921">
        <f>IF(AND(S921&gt;1,COUNTIF($A$2:A921,A921)=1),1,0)</f>
        <v>0</v>
      </c>
      <c r="U921">
        <f>COUNTIF(Customers!$A$2:$A$301,C921)</f>
        <v>1</v>
      </c>
      <c r="V921">
        <f t="shared" si="44"/>
        <v>0</v>
      </c>
    </row>
    <row r="922" spans="1:22" ht="14.25" customHeight="1" x14ac:dyDescent="0.35">
      <c r="A922" s="10" t="s">
        <v>1365</v>
      </c>
      <c r="B922" s="11">
        <v>45315</v>
      </c>
      <c r="C922" s="10" t="s">
        <v>306</v>
      </c>
      <c r="D922" s="10" t="s">
        <v>140</v>
      </c>
      <c r="E922" s="10" t="s">
        <v>118</v>
      </c>
      <c r="F922" s="12">
        <v>7</v>
      </c>
      <c r="G922" s="12">
        <v>1650</v>
      </c>
      <c r="H922" s="12">
        <v>8.6</v>
      </c>
      <c r="I922" s="12">
        <v>10556.7</v>
      </c>
      <c r="J922" s="10" t="s">
        <v>51</v>
      </c>
      <c r="K922" s="10" t="s">
        <v>58</v>
      </c>
      <c r="L922" t="str">
        <f>IFERROR(VLOOKUP(D922,Products!A:F,3,0),"")</f>
        <v>Beauty</v>
      </c>
      <c r="M922" t="str">
        <f>IFERROR(VLOOKUP(E922,Sales_Reps!A:E,3,0),"")</f>
        <v>East</v>
      </c>
      <c r="N922" t="str">
        <f>IFERROR(VLOOKUP(C922,Customers!A:F,5,0),"")</f>
        <v>Retail</v>
      </c>
      <c r="O922">
        <f>IFERROR(VLOOKUP(C922,Customers!A:F,3,0),"")</f>
        <v>26</v>
      </c>
      <c r="P922">
        <f>IFERROR(VLOOKUP(D922,Products!A:F,4,0),"")</f>
        <v>1222</v>
      </c>
      <c r="Q922" t="b">
        <f>IFERROR(VLOOKUP(D922,Products!A:F,6,0),"")</f>
        <v>1</v>
      </c>
      <c r="R922">
        <f t="shared" si="42"/>
        <v>0.2593939393939394</v>
      </c>
      <c r="S922">
        <f t="shared" si="43"/>
        <v>1</v>
      </c>
      <c r="T922">
        <f>IF(AND(S922&gt;1,COUNTIF($A$2:A922,A922)=1),1,0)</f>
        <v>0</v>
      </c>
      <c r="U922">
        <f>COUNTIF(Customers!$A$2:$A$301,C922)</f>
        <v>1</v>
      </c>
      <c r="V922">
        <f t="shared" si="44"/>
        <v>0</v>
      </c>
    </row>
    <row r="923" spans="1:22" ht="14.25" customHeight="1" x14ac:dyDescent="0.35">
      <c r="A923" s="10" t="s">
        <v>1366</v>
      </c>
      <c r="B923" s="11">
        <v>45473</v>
      </c>
      <c r="C923" s="10" t="s">
        <v>154</v>
      </c>
      <c r="D923" s="10" t="s">
        <v>111</v>
      </c>
      <c r="E923" s="10" t="s">
        <v>75</v>
      </c>
      <c r="F923" s="12">
        <v>6</v>
      </c>
      <c r="G923" s="12">
        <v>190</v>
      </c>
      <c r="H923" s="12">
        <v>14.6</v>
      </c>
      <c r="I923" s="12">
        <v>973.56</v>
      </c>
      <c r="J923" s="10" t="s">
        <v>51</v>
      </c>
      <c r="K923" s="10" t="s">
        <v>97</v>
      </c>
      <c r="L923" t="str">
        <f>IFERROR(VLOOKUP(D923,Products!A:F,3,0),"")</f>
        <v>Sports</v>
      </c>
      <c r="M923" t="str">
        <f>IFERROR(VLOOKUP(E923,Sales_Reps!A:E,3,0),"")</f>
        <v>West</v>
      </c>
      <c r="N923" t="str">
        <f>IFERROR(VLOOKUP(C923,Customers!A:F,5,0),"")</f>
        <v>Corporate</v>
      </c>
      <c r="O923">
        <f>IFERROR(VLOOKUP(C923,Customers!A:F,3,0),"")</f>
        <v>56</v>
      </c>
      <c r="P923">
        <f>IFERROR(VLOOKUP(D923,Products!A:F,4,0),"")</f>
        <v>147</v>
      </c>
      <c r="Q923" t="b">
        <f>IFERROR(VLOOKUP(D923,Products!A:F,6,0),"")</f>
        <v>1</v>
      </c>
      <c r="R923">
        <f t="shared" si="42"/>
        <v>0.22631578947368422</v>
      </c>
      <c r="S923">
        <f t="shared" si="43"/>
        <v>1</v>
      </c>
      <c r="T923">
        <f>IF(AND(S923&gt;1,COUNTIF($A$2:A923,A923)=1),1,0)</f>
        <v>0</v>
      </c>
      <c r="U923">
        <f>COUNTIF(Customers!$A$2:$A$301,C923)</f>
        <v>1</v>
      </c>
      <c r="V923">
        <f t="shared" si="44"/>
        <v>0</v>
      </c>
    </row>
    <row r="924" spans="1:22" ht="14.25" customHeight="1" x14ac:dyDescent="0.35">
      <c r="A924" s="10" t="s">
        <v>1367</v>
      </c>
      <c r="B924" s="11">
        <v>45546</v>
      </c>
      <c r="C924" s="10" t="s">
        <v>572</v>
      </c>
      <c r="D924" s="10" t="s">
        <v>209</v>
      </c>
      <c r="E924" s="10" t="s">
        <v>179</v>
      </c>
      <c r="F924" s="12">
        <v>5</v>
      </c>
      <c r="G924" s="12">
        <v>2270</v>
      </c>
      <c r="H924" s="12">
        <v>5.9</v>
      </c>
      <c r="I924" s="12">
        <v>10680.35</v>
      </c>
      <c r="J924" s="10" t="s">
        <v>51</v>
      </c>
      <c r="K924" s="10" t="s">
        <v>52</v>
      </c>
      <c r="L924" t="str">
        <f>IFERROR(VLOOKUP(D924,Products!A:F,3,0),"")</f>
        <v>Grocery</v>
      </c>
      <c r="M924" t="str">
        <f>IFERROR(VLOOKUP(E924,Sales_Reps!A:E,3,0),"")</f>
        <v>North</v>
      </c>
      <c r="N924" t="str">
        <f>IFERROR(VLOOKUP(C924,Customers!A:F,5,0),"")</f>
        <v>Corporate</v>
      </c>
      <c r="O924">
        <f>IFERROR(VLOOKUP(C924,Customers!A:F,3,0),"")</f>
        <v>40</v>
      </c>
      <c r="P924">
        <f>IFERROR(VLOOKUP(D924,Products!A:F,4,0),"")</f>
        <v>1412</v>
      </c>
      <c r="Q924" t="b">
        <f>IFERROR(VLOOKUP(D924,Products!A:F,6,0),"")</f>
        <v>1</v>
      </c>
      <c r="R924">
        <f t="shared" si="42"/>
        <v>0.37797356828193834</v>
      </c>
      <c r="S924">
        <f t="shared" si="43"/>
        <v>1</v>
      </c>
      <c r="T924">
        <f>IF(AND(S924&gt;1,COUNTIF($A$2:A924,A924)=1),1,0)</f>
        <v>0</v>
      </c>
      <c r="U924">
        <f>COUNTIF(Customers!$A$2:$A$301,C924)</f>
        <v>1</v>
      </c>
      <c r="V924">
        <f t="shared" si="44"/>
        <v>0</v>
      </c>
    </row>
    <row r="925" spans="1:22" ht="14.25" customHeight="1" x14ac:dyDescent="0.35">
      <c r="A925" s="10" t="s">
        <v>1368</v>
      </c>
      <c r="B925" s="11">
        <v>45625</v>
      </c>
      <c r="C925" s="10" t="s">
        <v>954</v>
      </c>
      <c r="D925" s="10" t="s">
        <v>95</v>
      </c>
      <c r="E925" s="10" t="s">
        <v>237</v>
      </c>
      <c r="F925" s="12">
        <v>1</v>
      </c>
      <c r="G925" s="12">
        <v>2270</v>
      </c>
      <c r="H925" s="12">
        <v>14.9</v>
      </c>
      <c r="I925" s="12">
        <v>1931.77</v>
      </c>
      <c r="J925" s="10" t="s">
        <v>51</v>
      </c>
      <c r="K925" s="10" t="s">
        <v>81</v>
      </c>
      <c r="L925" t="str">
        <f>IFERROR(VLOOKUP(D925,Products!A:F,3,0),"")</f>
        <v>Grocery</v>
      </c>
      <c r="M925" t="str">
        <f>IFERROR(VLOOKUP(E925,Sales_Reps!A:E,3,0),"")</f>
        <v>South</v>
      </c>
      <c r="N925" t="str">
        <f>IFERROR(VLOOKUP(C925,Customers!A:F,5,0),"")</f>
        <v>Retail</v>
      </c>
      <c r="O925">
        <f>IFERROR(VLOOKUP(C925,Customers!A:F,3,0),"")</f>
        <v>61</v>
      </c>
      <c r="P925">
        <f>IFERROR(VLOOKUP(D925,Products!A:F,4,0),"")</f>
        <v>1203</v>
      </c>
      <c r="Q925" t="b">
        <f>IFERROR(VLOOKUP(D925,Products!A:F,6,0),"")</f>
        <v>1</v>
      </c>
      <c r="R925">
        <f t="shared" si="42"/>
        <v>0.47004405286343615</v>
      </c>
      <c r="S925">
        <f t="shared" si="43"/>
        <v>1</v>
      </c>
      <c r="T925">
        <f>IF(AND(S925&gt;1,COUNTIF($A$2:A925,A925)=1),1,0)</f>
        <v>0</v>
      </c>
      <c r="U925">
        <f>COUNTIF(Customers!$A$2:$A$301,C925)</f>
        <v>1</v>
      </c>
      <c r="V925">
        <f t="shared" si="44"/>
        <v>1931.77</v>
      </c>
    </row>
    <row r="926" spans="1:22" ht="14.25" customHeight="1" x14ac:dyDescent="0.35">
      <c r="A926" s="10" t="s">
        <v>1369</v>
      </c>
      <c r="B926" s="11">
        <v>45579</v>
      </c>
      <c r="C926" s="10" t="s">
        <v>570</v>
      </c>
      <c r="D926" s="10" t="s">
        <v>416</v>
      </c>
      <c r="E926" s="10" t="s">
        <v>267</v>
      </c>
      <c r="F926" s="12">
        <v>4</v>
      </c>
      <c r="G926" s="12">
        <v>3450</v>
      </c>
      <c r="H926" s="12">
        <v>11.7</v>
      </c>
      <c r="I926" s="12">
        <v>12185.4</v>
      </c>
      <c r="J926" s="10" t="s">
        <v>104</v>
      </c>
      <c r="K926" s="10" t="s">
        <v>76</v>
      </c>
      <c r="L926" t="str">
        <f>IFERROR(VLOOKUP(D926,Products!A:F,3,0),"")</f>
        <v>Apparel</v>
      </c>
      <c r="M926" t="str">
        <f>IFERROR(VLOOKUP(E926,Sales_Reps!A:E,3,0),"")</f>
        <v>East</v>
      </c>
      <c r="N926" t="str">
        <f>IFERROR(VLOOKUP(C926,Customers!A:F,5,0),"")</f>
        <v>Retail</v>
      </c>
      <c r="O926">
        <f>IFERROR(VLOOKUP(C926,Customers!A:F,3,0),"")</f>
        <v>52</v>
      </c>
      <c r="P926">
        <f>IFERROR(VLOOKUP(D926,Products!A:F,4,0),"")</f>
        <v>1748</v>
      </c>
      <c r="Q926" t="b">
        <f>IFERROR(VLOOKUP(D926,Products!A:F,6,0),"")</f>
        <v>1</v>
      </c>
      <c r="R926">
        <f t="shared" si="42"/>
        <v>0.49333333333333335</v>
      </c>
      <c r="S926">
        <f t="shared" si="43"/>
        <v>1</v>
      </c>
      <c r="T926">
        <f>IF(AND(S926&gt;1,COUNTIF($A$2:A926,A926)=1),1,0)</f>
        <v>0</v>
      </c>
      <c r="U926">
        <f>COUNTIF(Customers!$A$2:$A$301,C926)</f>
        <v>1</v>
      </c>
      <c r="V926">
        <f t="shared" si="44"/>
        <v>0</v>
      </c>
    </row>
    <row r="927" spans="1:22" ht="14.25" customHeight="1" x14ac:dyDescent="0.35">
      <c r="A927" s="10" t="s">
        <v>1370</v>
      </c>
      <c r="B927" s="11">
        <v>45323</v>
      </c>
      <c r="C927" s="10" t="s">
        <v>492</v>
      </c>
      <c r="D927" s="10" t="s">
        <v>240</v>
      </c>
      <c r="E927" s="10" t="s">
        <v>92</v>
      </c>
      <c r="F927" s="12">
        <v>7</v>
      </c>
      <c r="G927" s="12">
        <v>3020</v>
      </c>
      <c r="H927" s="12">
        <v>18.8</v>
      </c>
      <c r="I927" s="12">
        <v>17165.68</v>
      </c>
      <c r="J927" s="10" t="s">
        <v>51</v>
      </c>
      <c r="K927" s="10" t="s">
        <v>76</v>
      </c>
      <c r="L927" t="str">
        <f>IFERROR(VLOOKUP(D927,Products!A:F,3,0),"")</f>
        <v>Beauty</v>
      </c>
      <c r="M927" t="str">
        <f>IFERROR(VLOOKUP(E927,Sales_Reps!A:E,3,0),"")</f>
        <v>West</v>
      </c>
      <c r="N927" t="str">
        <f>IFERROR(VLOOKUP(C927,Customers!A:F,5,0),"")</f>
        <v>Retail</v>
      </c>
      <c r="O927">
        <f>IFERROR(VLOOKUP(C927,Customers!A:F,3,0),"")</f>
        <v>44</v>
      </c>
      <c r="P927">
        <f>IFERROR(VLOOKUP(D927,Products!A:F,4,0),"")</f>
        <v>1626</v>
      </c>
      <c r="Q927" t="b">
        <f>IFERROR(VLOOKUP(D927,Products!A:F,6,0),"")</f>
        <v>1</v>
      </c>
      <c r="R927">
        <f t="shared" si="42"/>
        <v>0.46158940397350995</v>
      </c>
      <c r="S927">
        <f t="shared" si="43"/>
        <v>1</v>
      </c>
      <c r="T927">
        <f>IF(AND(S927&gt;1,COUNTIF($A$2:A927,A927)=1),1,0)</f>
        <v>0</v>
      </c>
      <c r="U927">
        <f>COUNTIF(Customers!$A$2:$A$301,C927)</f>
        <v>1</v>
      </c>
      <c r="V927">
        <f t="shared" si="44"/>
        <v>0</v>
      </c>
    </row>
    <row r="928" spans="1:22" ht="14.25" customHeight="1" x14ac:dyDescent="0.35">
      <c r="A928" s="10" t="s">
        <v>1371</v>
      </c>
      <c r="B928" s="11">
        <v>45613</v>
      </c>
      <c r="C928" s="10" t="s">
        <v>834</v>
      </c>
      <c r="D928" s="10" t="s">
        <v>259</v>
      </c>
      <c r="E928" s="10" t="s">
        <v>310</v>
      </c>
      <c r="F928" s="12">
        <v>4</v>
      </c>
      <c r="G928" s="12">
        <v>2030</v>
      </c>
      <c r="H928" s="12">
        <v>25.7</v>
      </c>
      <c r="I928" s="12">
        <v>6033.16</v>
      </c>
      <c r="J928" s="10" t="s">
        <v>51</v>
      </c>
      <c r="K928" s="10" t="s">
        <v>81</v>
      </c>
      <c r="L928" t="str">
        <f>IFERROR(VLOOKUP(D928,Products!A:F,3,0),"")</f>
        <v>Home</v>
      </c>
      <c r="M928" t="str">
        <f>IFERROR(VLOOKUP(E928,Sales_Reps!A:E,3,0),"")</f>
        <v>South</v>
      </c>
      <c r="N928" t="str">
        <f>IFERROR(VLOOKUP(C928,Customers!A:F,5,0),"")</f>
        <v>Retail</v>
      </c>
      <c r="O928">
        <f>IFERROR(VLOOKUP(C928,Customers!A:F,3,0),"")</f>
        <v>47</v>
      </c>
      <c r="P928">
        <f>IFERROR(VLOOKUP(D928,Products!A:F,4,0),"")</f>
        <v>1143</v>
      </c>
      <c r="Q928" t="b">
        <f>IFERROR(VLOOKUP(D928,Products!A:F,6,0),"")</f>
        <v>1</v>
      </c>
      <c r="R928">
        <f t="shared" si="42"/>
        <v>0.43694581280788175</v>
      </c>
      <c r="S928">
        <f t="shared" si="43"/>
        <v>1</v>
      </c>
      <c r="T928">
        <f>IF(AND(S928&gt;1,COUNTIF($A$2:A928,A928)=1),1,0)</f>
        <v>0</v>
      </c>
      <c r="U928">
        <f>COUNTIF(Customers!$A$2:$A$301,C928)</f>
        <v>1</v>
      </c>
      <c r="V928">
        <f t="shared" si="44"/>
        <v>0</v>
      </c>
    </row>
    <row r="929" spans="1:22" ht="14.25" customHeight="1" x14ac:dyDescent="0.35">
      <c r="A929" s="10" t="s">
        <v>1372</v>
      </c>
      <c r="B929" s="11">
        <v>45362</v>
      </c>
      <c r="C929" s="10" t="s">
        <v>253</v>
      </c>
      <c r="D929" s="10" t="s">
        <v>416</v>
      </c>
      <c r="E929" s="10" t="s">
        <v>62</v>
      </c>
      <c r="F929" s="12">
        <v>4</v>
      </c>
      <c r="G929" s="12">
        <v>3450</v>
      </c>
      <c r="H929" s="12">
        <v>3.9</v>
      </c>
      <c r="I929" s="12">
        <v>13261.8</v>
      </c>
      <c r="J929" s="10" t="s">
        <v>51</v>
      </c>
      <c r="K929" s="10" t="s">
        <v>58</v>
      </c>
      <c r="L929" t="str">
        <f>IFERROR(VLOOKUP(D929,Products!A:F,3,0),"")</f>
        <v>Apparel</v>
      </c>
      <c r="M929" t="str">
        <f>IFERROR(VLOOKUP(E929,Sales_Reps!A:E,3,0),"")</f>
        <v>South</v>
      </c>
      <c r="N929" t="str">
        <f>IFERROR(VLOOKUP(C929,Customers!A:F,5,0),"")</f>
        <v>Retail</v>
      </c>
      <c r="O929">
        <f>IFERROR(VLOOKUP(C929,Customers!A:F,3,0),"")</f>
        <v>38</v>
      </c>
      <c r="P929">
        <f>IFERROR(VLOOKUP(D929,Products!A:F,4,0),"")</f>
        <v>1748</v>
      </c>
      <c r="Q929" t="b">
        <f>IFERROR(VLOOKUP(D929,Products!A:F,6,0),"")</f>
        <v>1</v>
      </c>
      <c r="R929">
        <f t="shared" si="42"/>
        <v>0.49333333333333335</v>
      </c>
      <c r="S929">
        <f t="shared" si="43"/>
        <v>1</v>
      </c>
      <c r="T929">
        <f>IF(AND(S929&gt;1,COUNTIF($A$2:A929,A929)=1),1,0)</f>
        <v>0</v>
      </c>
      <c r="U929">
        <f>COUNTIF(Customers!$A$2:$A$301,C929)</f>
        <v>1</v>
      </c>
      <c r="V929">
        <f t="shared" si="44"/>
        <v>0</v>
      </c>
    </row>
    <row r="930" spans="1:22" ht="14.25" customHeight="1" x14ac:dyDescent="0.35">
      <c r="A930" s="10" t="s">
        <v>1373</v>
      </c>
      <c r="B930" s="11">
        <v>45347</v>
      </c>
      <c r="C930" s="10" t="s">
        <v>492</v>
      </c>
      <c r="D930" s="10" t="s">
        <v>344</v>
      </c>
      <c r="E930" s="10" t="s">
        <v>92</v>
      </c>
      <c r="F930" s="12">
        <v>5</v>
      </c>
      <c r="G930" s="12">
        <v>960</v>
      </c>
      <c r="H930" s="12">
        <v>8</v>
      </c>
      <c r="I930" s="12">
        <v>4416</v>
      </c>
      <c r="J930" s="10" t="s">
        <v>51</v>
      </c>
      <c r="K930" s="10" t="s">
        <v>76</v>
      </c>
      <c r="L930" t="str">
        <f>IFERROR(VLOOKUP(D930,Products!A:F,3,0),"")</f>
        <v>Beauty</v>
      </c>
      <c r="M930" t="str">
        <f>IFERROR(VLOOKUP(E930,Sales_Reps!A:E,3,0),"")</f>
        <v>West</v>
      </c>
      <c r="N930" t="str">
        <f>IFERROR(VLOOKUP(C930,Customers!A:F,5,0),"")</f>
        <v>Retail</v>
      </c>
      <c r="O930">
        <f>IFERROR(VLOOKUP(C930,Customers!A:F,3,0),"")</f>
        <v>44</v>
      </c>
      <c r="P930">
        <f>IFERROR(VLOOKUP(D930,Products!A:F,4,0),"")</f>
        <v>675</v>
      </c>
      <c r="Q930" t="b">
        <f>IFERROR(VLOOKUP(D930,Products!A:F,6,0),"")</f>
        <v>1</v>
      </c>
      <c r="R930">
        <f t="shared" si="42"/>
        <v>0.296875</v>
      </c>
      <c r="S930">
        <f t="shared" si="43"/>
        <v>1</v>
      </c>
      <c r="T930">
        <f>IF(AND(S930&gt;1,COUNTIF($A$2:A930,A930)=1),1,0)</f>
        <v>0</v>
      </c>
      <c r="U930">
        <f>COUNTIF(Customers!$A$2:$A$301,C930)</f>
        <v>1</v>
      </c>
      <c r="V930">
        <f t="shared" si="44"/>
        <v>0</v>
      </c>
    </row>
    <row r="931" spans="1:22" ht="14.25" customHeight="1" x14ac:dyDescent="0.35">
      <c r="A931" s="10" t="s">
        <v>1374</v>
      </c>
      <c r="B931" s="11">
        <v>45550</v>
      </c>
      <c r="C931" s="10" t="s">
        <v>60</v>
      </c>
      <c r="D931" s="10" t="s">
        <v>372</v>
      </c>
      <c r="E931" s="10" t="s">
        <v>179</v>
      </c>
      <c r="F931" s="12">
        <v>7</v>
      </c>
      <c r="G931" s="12">
        <v>3970</v>
      </c>
      <c r="H931" s="12">
        <v>11.7</v>
      </c>
      <c r="I931" s="12">
        <v>24538.57</v>
      </c>
      <c r="J931" s="10" t="s">
        <v>51</v>
      </c>
      <c r="K931" s="10" t="s">
        <v>63</v>
      </c>
      <c r="L931" t="str">
        <f>IFERROR(VLOOKUP(D931,Products!A:F,3,0),"")</f>
        <v>Electronics</v>
      </c>
      <c r="M931" t="str">
        <f>IFERROR(VLOOKUP(E931,Sales_Reps!A:E,3,0),"")</f>
        <v>North</v>
      </c>
      <c r="N931" t="str">
        <f>IFERROR(VLOOKUP(C931,Customers!A:F,5,0),"")</f>
        <v>Retail</v>
      </c>
      <c r="O931">
        <f>IFERROR(VLOOKUP(C931,Customers!A:F,3,0),"")</f>
        <v>52</v>
      </c>
      <c r="P931">
        <f>IFERROR(VLOOKUP(D931,Products!A:F,4,0),"")</f>
        <v>2865</v>
      </c>
      <c r="Q931" t="b">
        <f>IFERROR(VLOOKUP(D931,Products!A:F,6,0),"")</f>
        <v>1</v>
      </c>
      <c r="R931">
        <f t="shared" si="42"/>
        <v>0.27833753148614609</v>
      </c>
      <c r="S931">
        <f t="shared" si="43"/>
        <v>1</v>
      </c>
      <c r="T931">
        <f>IF(AND(S931&gt;1,COUNTIF($A$2:A931,A931)=1),1,0)</f>
        <v>0</v>
      </c>
      <c r="U931">
        <f>COUNTIF(Customers!$A$2:$A$301,C931)</f>
        <v>1</v>
      </c>
      <c r="V931">
        <f t="shared" si="44"/>
        <v>0</v>
      </c>
    </row>
    <row r="932" spans="1:22" ht="14.25" customHeight="1" x14ac:dyDescent="0.35">
      <c r="A932" s="10" t="s">
        <v>1375</v>
      </c>
      <c r="B932" s="11">
        <v>45554</v>
      </c>
      <c r="C932" s="10" t="s">
        <v>269</v>
      </c>
      <c r="D932" s="10" t="s">
        <v>324</v>
      </c>
      <c r="E932" s="10" t="s">
        <v>165</v>
      </c>
      <c r="F932" s="12">
        <v>3</v>
      </c>
      <c r="G932" s="12">
        <v>5410</v>
      </c>
      <c r="H932" s="12">
        <v>10</v>
      </c>
      <c r="I932" s="12">
        <v>14607</v>
      </c>
      <c r="J932" s="10" t="s">
        <v>51</v>
      </c>
      <c r="K932" s="10" t="s">
        <v>97</v>
      </c>
      <c r="L932" t="str">
        <f>IFERROR(VLOOKUP(D932,Products!A:F,3,0),"")</f>
        <v>Sports</v>
      </c>
      <c r="M932" t="str">
        <f>IFERROR(VLOOKUP(E932,Sales_Reps!A:E,3,0),"")</f>
        <v>West</v>
      </c>
      <c r="N932" t="str">
        <f>IFERROR(VLOOKUP(C932,Customers!A:F,5,0),"")</f>
        <v>Corporate</v>
      </c>
      <c r="O932">
        <f>IFERROR(VLOOKUP(C932,Customers!A:F,3,0),"")</f>
        <v>46</v>
      </c>
      <c r="P932">
        <f>IFERROR(VLOOKUP(D932,Products!A:F,4,0),"")</f>
        <v>2265</v>
      </c>
      <c r="Q932" t="b">
        <f>IFERROR(VLOOKUP(D932,Products!A:F,6,0),"")</f>
        <v>1</v>
      </c>
      <c r="R932">
        <f t="shared" si="42"/>
        <v>0.58133086876155271</v>
      </c>
      <c r="S932">
        <f t="shared" si="43"/>
        <v>1</v>
      </c>
      <c r="T932">
        <f>IF(AND(S932&gt;1,COUNTIF($A$2:A932,A932)=1),1,0)</f>
        <v>0</v>
      </c>
      <c r="U932">
        <f>COUNTIF(Customers!$A$2:$A$301,C932)</f>
        <v>1</v>
      </c>
      <c r="V932">
        <f t="shared" si="44"/>
        <v>0</v>
      </c>
    </row>
    <row r="933" spans="1:22" ht="14.25" customHeight="1" x14ac:dyDescent="0.35">
      <c r="A933" s="10" t="s">
        <v>1376</v>
      </c>
      <c r="B933" s="11">
        <v>45428</v>
      </c>
      <c r="C933" s="10" t="s">
        <v>424</v>
      </c>
      <c r="D933" s="10" t="s">
        <v>151</v>
      </c>
      <c r="E933" s="10" t="s">
        <v>50</v>
      </c>
      <c r="F933" s="12">
        <v>8</v>
      </c>
      <c r="G933" s="12">
        <v>3570</v>
      </c>
      <c r="H933" s="12">
        <v>8.5</v>
      </c>
      <c r="I933" s="12">
        <v>26132.400000000001</v>
      </c>
      <c r="J933" s="10" t="s">
        <v>51</v>
      </c>
      <c r="K933" s="10" t="s">
        <v>52</v>
      </c>
      <c r="L933" t="str">
        <f>IFERROR(VLOOKUP(D933,Products!A:F,3,0),"")</f>
        <v>Electronics</v>
      </c>
      <c r="M933" t="str">
        <f>IFERROR(VLOOKUP(E933,Sales_Reps!A:E,3,0),"")</f>
        <v>North</v>
      </c>
      <c r="N933" t="str">
        <f>IFERROR(VLOOKUP(C933,Customers!A:F,5,0),"")</f>
        <v>Corporate</v>
      </c>
      <c r="O933">
        <f>IFERROR(VLOOKUP(C933,Customers!A:F,3,0),"")</f>
        <v>37</v>
      </c>
      <c r="P933">
        <f>IFERROR(VLOOKUP(D933,Products!A:F,4,0),"")</f>
        <v>1665</v>
      </c>
      <c r="Q933" t="b">
        <f>IFERROR(VLOOKUP(D933,Products!A:F,6,0),"")</f>
        <v>1</v>
      </c>
      <c r="R933">
        <f t="shared" si="42"/>
        <v>0.53361344537815125</v>
      </c>
      <c r="S933">
        <f t="shared" si="43"/>
        <v>1</v>
      </c>
      <c r="T933">
        <f>IF(AND(S933&gt;1,COUNTIF($A$2:A933,A933)=1),1,0)</f>
        <v>0</v>
      </c>
      <c r="U933">
        <f>COUNTIF(Customers!$A$2:$A$301,C933)</f>
        <v>1</v>
      </c>
      <c r="V933">
        <f t="shared" si="44"/>
        <v>0</v>
      </c>
    </row>
    <row r="934" spans="1:22" ht="14.25" customHeight="1" x14ac:dyDescent="0.35">
      <c r="A934" s="10" t="s">
        <v>1377</v>
      </c>
      <c r="B934" s="11">
        <v>45517</v>
      </c>
      <c r="C934" s="10" t="s">
        <v>192</v>
      </c>
      <c r="D934" s="10" t="s">
        <v>102</v>
      </c>
      <c r="E934" s="10" t="s">
        <v>62</v>
      </c>
      <c r="F934" s="12">
        <v>7</v>
      </c>
      <c r="G934" s="12">
        <v>2600</v>
      </c>
      <c r="H934" s="12">
        <v>27.1</v>
      </c>
      <c r="I934" s="12">
        <v>13267.8</v>
      </c>
      <c r="J934" s="10" t="s">
        <v>51</v>
      </c>
      <c r="K934" s="10" t="s">
        <v>76</v>
      </c>
      <c r="L934" t="str">
        <f>IFERROR(VLOOKUP(D934,Products!A:F,3,0),"")</f>
        <v>Electronics</v>
      </c>
      <c r="M934" t="str">
        <f>IFERROR(VLOOKUP(E934,Sales_Reps!A:E,3,0),"")</f>
        <v>South</v>
      </c>
      <c r="N934" t="str">
        <f>IFERROR(VLOOKUP(C934,Customers!A:F,5,0),"")</f>
        <v>SMB</v>
      </c>
      <c r="O934">
        <f>IFERROR(VLOOKUP(C934,Customers!A:F,3,0),"")</f>
        <v>54</v>
      </c>
      <c r="P934">
        <f>IFERROR(VLOOKUP(D934,Products!A:F,4,0),"")</f>
        <v>1052</v>
      </c>
      <c r="Q934" t="b">
        <f>IFERROR(VLOOKUP(D934,Products!A:F,6,0),"")</f>
        <v>1</v>
      </c>
      <c r="R934">
        <f t="shared" si="42"/>
        <v>0.5953846153846154</v>
      </c>
      <c r="S934">
        <f t="shared" si="43"/>
        <v>1</v>
      </c>
      <c r="T934">
        <f>IF(AND(S934&gt;1,COUNTIF($A$2:A934,A934)=1),1,0)</f>
        <v>0</v>
      </c>
      <c r="U934">
        <f>COUNTIF(Customers!$A$2:$A$301,C934)</f>
        <v>1</v>
      </c>
      <c r="V934">
        <f t="shared" si="44"/>
        <v>0</v>
      </c>
    </row>
    <row r="935" spans="1:22" ht="14.25" customHeight="1" x14ac:dyDescent="0.35">
      <c r="A935" s="10" t="s">
        <v>1378</v>
      </c>
      <c r="B935" s="11">
        <v>45442</v>
      </c>
      <c r="C935" s="10" t="s">
        <v>230</v>
      </c>
      <c r="D935" s="10" t="s">
        <v>61</v>
      </c>
      <c r="E935" s="10" t="s">
        <v>165</v>
      </c>
      <c r="F935" s="12">
        <v>6</v>
      </c>
      <c r="G935" s="12">
        <v>470</v>
      </c>
      <c r="H935" s="12">
        <v>2.4</v>
      </c>
      <c r="I935" s="12">
        <v>2752.32</v>
      </c>
      <c r="J935" s="10" t="s">
        <v>57</v>
      </c>
      <c r="K935" s="10" t="s">
        <v>63</v>
      </c>
      <c r="L935" t="str">
        <f>IFERROR(VLOOKUP(D935,Products!A:F,3,0),"")</f>
        <v>Sports</v>
      </c>
      <c r="M935" t="str">
        <f>IFERROR(VLOOKUP(E935,Sales_Reps!A:E,3,0),"")</f>
        <v>West</v>
      </c>
      <c r="N935" t="str">
        <f>IFERROR(VLOOKUP(C935,Customers!A:F,5,0),"")</f>
        <v>Corporate</v>
      </c>
      <c r="O935">
        <f>IFERROR(VLOOKUP(C935,Customers!A:F,3,0),"")</f>
        <v>55</v>
      </c>
      <c r="P935">
        <f>IFERROR(VLOOKUP(D935,Products!A:F,4,0),"")</f>
        <v>302</v>
      </c>
      <c r="Q935" t="b">
        <f>IFERROR(VLOOKUP(D935,Products!A:F,6,0),"")</f>
        <v>0</v>
      </c>
      <c r="R935">
        <f t="shared" si="42"/>
        <v>0.35744680851063831</v>
      </c>
      <c r="S935">
        <f t="shared" si="43"/>
        <v>1</v>
      </c>
      <c r="T935">
        <f>IF(AND(S935&gt;1,COUNTIF($A$2:A935,A935)=1),1,0)</f>
        <v>0</v>
      </c>
      <c r="U935">
        <f>COUNTIF(Customers!$A$2:$A$301,C935)</f>
        <v>1</v>
      </c>
      <c r="V935">
        <f t="shared" si="44"/>
        <v>0</v>
      </c>
    </row>
    <row r="936" spans="1:22" ht="14.25" customHeight="1" x14ac:dyDescent="0.35">
      <c r="A936" s="10" t="s">
        <v>1379</v>
      </c>
      <c r="B936" s="11">
        <v>45371</v>
      </c>
      <c r="C936" s="10" t="s">
        <v>723</v>
      </c>
      <c r="D936" s="10" t="s">
        <v>61</v>
      </c>
      <c r="E936" s="10" t="s">
        <v>75</v>
      </c>
      <c r="F936" s="12">
        <v>3</v>
      </c>
      <c r="G936" s="12">
        <v>470</v>
      </c>
      <c r="H936" s="12">
        <v>6.3</v>
      </c>
      <c r="I936" s="12">
        <v>1321.17</v>
      </c>
      <c r="J936" s="10" t="s">
        <v>51</v>
      </c>
      <c r="K936" s="10" t="s">
        <v>81</v>
      </c>
      <c r="L936" t="str">
        <f>IFERROR(VLOOKUP(D936,Products!A:F,3,0),"")</f>
        <v>Sports</v>
      </c>
      <c r="M936" t="str">
        <f>IFERROR(VLOOKUP(E936,Sales_Reps!A:E,3,0),"")</f>
        <v>West</v>
      </c>
      <c r="N936" t="str">
        <f>IFERROR(VLOOKUP(C936,Customers!A:F,5,0),"")</f>
        <v>Retail</v>
      </c>
      <c r="O936">
        <f>IFERROR(VLOOKUP(C936,Customers!A:F,3,0),"")</f>
        <v>29</v>
      </c>
      <c r="P936">
        <f>IFERROR(VLOOKUP(D936,Products!A:F,4,0),"")</f>
        <v>302</v>
      </c>
      <c r="Q936" t="b">
        <f>IFERROR(VLOOKUP(D936,Products!A:F,6,0),"")</f>
        <v>0</v>
      </c>
      <c r="R936">
        <f t="shared" si="42"/>
        <v>0.35744680851063831</v>
      </c>
      <c r="S936">
        <f t="shared" si="43"/>
        <v>1</v>
      </c>
      <c r="T936">
        <f>IF(AND(S936&gt;1,COUNTIF($A$2:A936,A936)=1),1,0)</f>
        <v>0</v>
      </c>
      <c r="U936">
        <f>COUNTIF(Customers!$A$2:$A$301,C936)</f>
        <v>1</v>
      </c>
      <c r="V936">
        <f t="shared" si="44"/>
        <v>0</v>
      </c>
    </row>
    <row r="937" spans="1:22" ht="14.25" customHeight="1" x14ac:dyDescent="0.35">
      <c r="A937" s="10" t="s">
        <v>1380</v>
      </c>
      <c r="B937" s="11">
        <v>45540</v>
      </c>
      <c r="C937" s="10" t="s">
        <v>1272</v>
      </c>
      <c r="D937" s="10" t="s">
        <v>425</v>
      </c>
      <c r="E937" s="10" t="s">
        <v>103</v>
      </c>
      <c r="F937" s="12">
        <v>3</v>
      </c>
      <c r="G937" s="12">
        <v>3780</v>
      </c>
      <c r="H937" s="12">
        <v>19.399999999999999</v>
      </c>
      <c r="I937" s="12">
        <v>9140.0400000000009</v>
      </c>
      <c r="J937" s="10" t="s">
        <v>57</v>
      </c>
      <c r="K937" s="10" t="s">
        <v>58</v>
      </c>
      <c r="L937" t="str">
        <f>IFERROR(VLOOKUP(D937,Products!A:F,3,0),"")</f>
        <v>Sports</v>
      </c>
      <c r="M937" t="str">
        <f>IFERROR(VLOOKUP(E937,Sales_Reps!A:E,3,0),"")</f>
        <v>North</v>
      </c>
      <c r="N937" t="str">
        <f>IFERROR(VLOOKUP(C937,Customers!A:F,5,0),"")</f>
        <v>SMB</v>
      </c>
      <c r="O937">
        <f>IFERROR(VLOOKUP(C937,Customers!A:F,3,0),"")</f>
        <v>51</v>
      </c>
      <c r="P937">
        <f>IFERROR(VLOOKUP(D937,Products!A:F,4,0),"")</f>
        <v>1860</v>
      </c>
      <c r="Q937" t="b">
        <f>IFERROR(VLOOKUP(D937,Products!A:F,6,0),"")</f>
        <v>1</v>
      </c>
      <c r="R937">
        <f t="shared" si="42"/>
        <v>0.50793650793650791</v>
      </c>
      <c r="S937">
        <f t="shared" si="43"/>
        <v>1</v>
      </c>
      <c r="T937">
        <f>IF(AND(S937&gt;1,COUNTIF($A$2:A937,A937)=1),1,0)</f>
        <v>0</v>
      </c>
      <c r="U937">
        <f>COUNTIF(Customers!$A$2:$A$301,C937)</f>
        <v>1</v>
      </c>
      <c r="V937">
        <f t="shared" si="44"/>
        <v>0</v>
      </c>
    </row>
    <row r="938" spans="1:22" ht="14.25" customHeight="1" x14ac:dyDescent="0.35">
      <c r="A938" s="10" t="s">
        <v>1381</v>
      </c>
      <c r="B938" s="11">
        <v>45392</v>
      </c>
      <c r="C938" s="10" t="s">
        <v>90</v>
      </c>
      <c r="D938" s="10" t="s">
        <v>479</v>
      </c>
      <c r="E938" s="10" t="s">
        <v>85</v>
      </c>
      <c r="F938" s="12">
        <v>5</v>
      </c>
      <c r="G938" s="12">
        <v>6940</v>
      </c>
      <c r="H938" s="12">
        <v>12.6</v>
      </c>
      <c r="I938" s="12">
        <v>30327.8</v>
      </c>
      <c r="J938" s="10" t="s">
        <v>51</v>
      </c>
      <c r="K938" s="10" t="s">
        <v>52</v>
      </c>
      <c r="L938" t="str">
        <f>IFERROR(VLOOKUP(D938,Products!A:F,3,0),"")</f>
        <v>Sports</v>
      </c>
      <c r="M938" t="str">
        <f>IFERROR(VLOOKUP(E938,Sales_Reps!A:E,3,0),"")</f>
        <v>East</v>
      </c>
      <c r="N938" t="str">
        <f>IFERROR(VLOOKUP(C938,Customers!A:F,5,0),"")</f>
        <v>Retail</v>
      </c>
      <c r="O938">
        <f>IFERROR(VLOOKUP(C938,Customers!A:F,3,0),"")</f>
        <v>56</v>
      </c>
      <c r="P938">
        <f>IFERROR(VLOOKUP(D938,Products!A:F,4,0),"")</f>
        <v>2827</v>
      </c>
      <c r="Q938" t="b">
        <f>IFERROR(VLOOKUP(D938,Products!A:F,6,0),"")</f>
        <v>1</v>
      </c>
      <c r="R938">
        <f t="shared" si="42"/>
        <v>0.5926512968299712</v>
      </c>
      <c r="S938">
        <f t="shared" si="43"/>
        <v>1</v>
      </c>
      <c r="T938">
        <f>IF(AND(S938&gt;1,COUNTIF($A$2:A938,A938)=1),1,0)</f>
        <v>0</v>
      </c>
      <c r="U938">
        <f>COUNTIF(Customers!$A$2:$A$301,C938)</f>
        <v>1</v>
      </c>
      <c r="V938">
        <f t="shared" si="44"/>
        <v>0</v>
      </c>
    </row>
    <row r="939" spans="1:22" ht="14.25" customHeight="1" x14ac:dyDescent="0.35">
      <c r="A939" s="10" t="s">
        <v>1382</v>
      </c>
      <c r="B939" s="11">
        <v>45386</v>
      </c>
      <c r="C939" s="10" t="s">
        <v>377</v>
      </c>
      <c r="D939" s="10" t="s">
        <v>212</v>
      </c>
      <c r="E939" s="10" t="s">
        <v>134</v>
      </c>
      <c r="F939" s="12">
        <v>2</v>
      </c>
      <c r="G939" s="12">
        <v>3870</v>
      </c>
      <c r="H939" s="12">
        <v>10.5</v>
      </c>
      <c r="I939" s="12">
        <v>6927.3</v>
      </c>
      <c r="J939" s="10" t="s">
        <v>51</v>
      </c>
      <c r="K939" s="10" t="s">
        <v>52</v>
      </c>
      <c r="L939" t="str">
        <f>IFERROR(VLOOKUP(D939,Products!A:F,3,0),"")</f>
        <v>Electronics</v>
      </c>
      <c r="M939" t="str">
        <f>IFERROR(VLOOKUP(E939,Sales_Reps!A:E,3,0),"")</f>
        <v>West</v>
      </c>
      <c r="N939" t="str">
        <f>IFERROR(VLOOKUP(C939,Customers!A:F,5,0),"")</f>
        <v>Retail</v>
      </c>
      <c r="O939">
        <f>IFERROR(VLOOKUP(C939,Customers!A:F,3,0),"")</f>
        <v>22</v>
      </c>
      <c r="P939">
        <f>IFERROR(VLOOKUP(D939,Products!A:F,4,0),"")</f>
        <v>1559</v>
      </c>
      <c r="Q939" t="b">
        <f>IFERROR(VLOOKUP(D939,Products!A:F,6,0),"")</f>
        <v>1</v>
      </c>
      <c r="R939">
        <f t="shared" si="42"/>
        <v>0.59715762273901807</v>
      </c>
      <c r="S939">
        <f t="shared" si="43"/>
        <v>1</v>
      </c>
      <c r="T939">
        <f>IF(AND(S939&gt;1,COUNTIF($A$2:A939,A939)=1),1,0)</f>
        <v>0</v>
      </c>
      <c r="U939">
        <f>COUNTIF(Customers!$A$2:$A$301,C939)</f>
        <v>1</v>
      </c>
      <c r="V939">
        <f t="shared" si="44"/>
        <v>0</v>
      </c>
    </row>
    <row r="940" spans="1:22" ht="14.25" customHeight="1" x14ac:dyDescent="0.35">
      <c r="A940" s="10" t="s">
        <v>1383</v>
      </c>
      <c r="B940" s="11">
        <v>45516</v>
      </c>
      <c r="C940" s="10" t="s">
        <v>805</v>
      </c>
      <c r="D940" s="10" t="s">
        <v>324</v>
      </c>
      <c r="E940" s="10" t="s">
        <v>62</v>
      </c>
      <c r="F940" s="12">
        <v>8</v>
      </c>
      <c r="G940" s="12">
        <v>5410</v>
      </c>
      <c r="H940" s="12">
        <v>28.4</v>
      </c>
      <c r="I940" s="12">
        <v>30988.48</v>
      </c>
      <c r="J940" s="10" t="s">
        <v>57</v>
      </c>
      <c r="K940" s="10" t="s">
        <v>81</v>
      </c>
      <c r="L940" t="str">
        <f>IFERROR(VLOOKUP(D940,Products!A:F,3,0),"")</f>
        <v>Sports</v>
      </c>
      <c r="M940" t="str">
        <f>IFERROR(VLOOKUP(E940,Sales_Reps!A:E,3,0),"")</f>
        <v>South</v>
      </c>
      <c r="N940" t="str">
        <f>IFERROR(VLOOKUP(C940,Customers!A:F,5,0),"")</f>
        <v>Corporate</v>
      </c>
      <c r="O940">
        <f>IFERROR(VLOOKUP(C940,Customers!A:F,3,0),"")</f>
        <v>41</v>
      </c>
      <c r="P940">
        <f>IFERROR(VLOOKUP(D940,Products!A:F,4,0),"")</f>
        <v>2265</v>
      </c>
      <c r="Q940" t="b">
        <f>IFERROR(VLOOKUP(D940,Products!A:F,6,0),"")</f>
        <v>1</v>
      </c>
      <c r="R940">
        <f t="shared" si="42"/>
        <v>0.58133086876155271</v>
      </c>
      <c r="S940">
        <f t="shared" si="43"/>
        <v>1</v>
      </c>
      <c r="T940">
        <f>IF(AND(S940&gt;1,COUNTIF($A$2:A940,A940)=1),1,0)</f>
        <v>0</v>
      </c>
      <c r="U940">
        <f>COUNTIF(Customers!$A$2:$A$301,C940)</f>
        <v>1</v>
      </c>
      <c r="V940">
        <f t="shared" si="44"/>
        <v>0</v>
      </c>
    </row>
    <row r="941" spans="1:22" ht="14.25" customHeight="1" x14ac:dyDescent="0.35">
      <c r="A941" s="10" t="s">
        <v>1384</v>
      </c>
      <c r="B941" s="11">
        <v>45618</v>
      </c>
      <c r="C941" s="10" t="s">
        <v>161</v>
      </c>
      <c r="D941" s="10" t="s">
        <v>372</v>
      </c>
      <c r="E941" s="10" t="s">
        <v>134</v>
      </c>
      <c r="F941" s="12">
        <v>7</v>
      </c>
      <c r="G941" s="12">
        <v>3970</v>
      </c>
      <c r="H941" s="12">
        <v>12.3</v>
      </c>
      <c r="I941" s="12">
        <v>24371.83</v>
      </c>
      <c r="J941" s="10" t="s">
        <v>51</v>
      </c>
      <c r="K941" s="10" t="s">
        <v>52</v>
      </c>
      <c r="L941" t="str">
        <f>IFERROR(VLOOKUP(D941,Products!A:F,3,0),"")</f>
        <v>Electronics</v>
      </c>
      <c r="M941" t="str">
        <f>IFERROR(VLOOKUP(E941,Sales_Reps!A:E,3,0),"")</f>
        <v>West</v>
      </c>
      <c r="N941" t="str">
        <f>IFERROR(VLOOKUP(C941,Customers!A:F,5,0),"")</f>
        <v>Corporate</v>
      </c>
      <c r="O941">
        <f>IFERROR(VLOOKUP(C941,Customers!A:F,3,0),"")</f>
        <v>47</v>
      </c>
      <c r="P941">
        <f>IFERROR(VLOOKUP(D941,Products!A:F,4,0),"")</f>
        <v>2865</v>
      </c>
      <c r="Q941" t="b">
        <f>IFERROR(VLOOKUP(D941,Products!A:F,6,0),"")</f>
        <v>1</v>
      </c>
      <c r="R941">
        <f t="shared" si="42"/>
        <v>0.27833753148614609</v>
      </c>
      <c r="S941">
        <f t="shared" si="43"/>
        <v>1</v>
      </c>
      <c r="T941">
        <f>IF(AND(S941&gt;1,COUNTIF($A$2:A941,A941)=1),1,0)</f>
        <v>0</v>
      </c>
      <c r="U941">
        <f>COUNTIF(Customers!$A$2:$A$301,C941)</f>
        <v>1</v>
      </c>
      <c r="V941">
        <f t="shared" si="44"/>
        <v>0</v>
      </c>
    </row>
    <row r="942" spans="1:22" ht="14.25" customHeight="1" x14ac:dyDescent="0.35">
      <c r="A942" s="10" t="s">
        <v>1385</v>
      </c>
      <c r="B942" s="11">
        <v>45610</v>
      </c>
      <c r="C942" s="10" t="s">
        <v>579</v>
      </c>
      <c r="D942" s="10" t="s">
        <v>479</v>
      </c>
      <c r="E942" s="10" t="s">
        <v>179</v>
      </c>
      <c r="F942" s="12">
        <v>5</v>
      </c>
      <c r="G942" s="12">
        <v>6940</v>
      </c>
      <c r="H942" s="12">
        <v>1.5</v>
      </c>
      <c r="I942" s="12">
        <v>34179.5</v>
      </c>
      <c r="J942" s="10" t="s">
        <v>51</v>
      </c>
      <c r="K942" s="10" t="s">
        <v>76</v>
      </c>
      <c r="L942" t="str">
        <f>IFERROR(VLOOKUP(D942,Products!A:F,3,0),"")</f>
        <v>Sports</v>
      </c>
      <c r="M942" t="str">
        <f>IFERROR(VLOOKUP(E942,Sales_Reps!A:E,3,0),"")</f>
        <v>North</v>
      </c>
      <c r="N942" t="str">
        <f>IFERROR(VLOOKUP(C942,Customers!A:F,5,0),"")</f>
        <v>Retail</v>
      </c>
      <c r="O942">
        <f>IFERROR(VLOOKUP(C942,Customers!A:F,3,0),"")</f>
        <v>53</v>
      </c>
      <c r="P942">
        <f>IFERROR(VLOOKUP(D942,Products!A:F,4,0),"")</f>
        <v>2827</v>
      </c>
      <c r="Q942" t="b">
        <f>IFERROR(VLOOKUP(D942,Products!A:F,6,0),"")</f>
        <v>1</v>
      </c>
      <c r="R942">
        <f t="shared" si="42"/>
        <v>0.5926512968299712</v>
      </c>
      <c r="S942">
        <f t="shared" si="43"/>
        <v>1</v>
      </c>
      <c r="T942">
        <f>IF(AND(S942&gt;1,COUNTIF($A$2:A942,A942)=1),1,0)</f>
        <v>0</v>
      </c>
      <c r="U942">
        <f>COUNTIF(Customers!$A$2:$A$301,C942)</f>
        <v>1</v>
      </c>
      <c r="V942">
        <f t="shared" si="44"/>
        <v>0</v>
      </c>
    </row>
    <row r="943" spans="1:22" ht="14.25" customHeight="1" x14ac:dyDescent="0.35">
      <c r="A943" s="10" t="s">
        <v>1386</v>
      </c>
      <c r="B943" s="11">
        <v>45541</v>
      </c>
      <c r="C943" s="10" t="s">
        <v>1002</v>
      </c>
      <c r="D943" s="10" t="s">
        <v>70</v>
      </c>
      <c r="E943" s="10" t="s">
        <v>67</v>
      </c>
      <c r="F943" s="12">
        <v>7</v>
      </c>
      <c r="G943" s="12">
        <v>3160</v>
      </c>
      <c r="H943" s="12">
        <v>2.4</v>
      </c>
      <c r="I943" s="12">
        <v>21589.119999999999</v>
      </c>
      <c r="J943" s="10" t="s">
        <v>108</v>
      </c>
      <c r="K943" s="10" t="s">
        <v>81</v>
      </c>
      <c r="L943" t="str">
        <f>IFERROR(VLOOKUP(D943,Products!A:F,3,0),"")</f>
        <v>Apparel</v>
      </c>
      <c r="M943" t="str">
        <f>IFERROR(VLOOKUP(E943,Sales_Reps!A:E,3,0),"")</f>
        <v>North</v>
      </c>
      <c r="N943" t="str">
        <f>IFERROR(VLOOKUP(C943,Customers!A:F,5,0),"")</f>
        <v>Corporate</v>
      </c>
      <c r="O943">
        <f>IFERROR(VLOOKUP(C943,Customers!A:F,3,0),"")</f>
        <v>55</v>
      </c>
      <c r="P943">
        <f>IFERROR(VLOOKUP(D943,Products!A:F,4,0),"")</f>
        <v>1886</v>
      </c>
      <c r="Q943" t="b">
        <f>IFERROR(VLOOKUP(D943,Products!A:F,6,0),"")</f>
        <v>1</v>
      </c>
      <c r="R943">
        <f t="shared" si="42"/>
        <v>0.4031645569620253</v>
      </c>
      <c r="S943">
        <f t="shared" si="43"/>
        <v>1</v>
      </c>
      <c r="T943">
        <f>IF(AND(S943&gt;1,COUNTIF($A$2:A943,A943)=1),1,0)</f>
        <v>0</v>
      </c>
      <c r="U943">
        <f>COUNTIF(Customers!$A$2:$A$301,C943)</f>
        <v>1</v>
      </c>
      <c r="V943">
        <f t="shared" si="44"/>
        <v>0</v>
      </c>
    </row>
    <row r="944" spans="1:22" ht="14.25" customHeight="1" x14ac:dyDescent="0.35">
      <c r="A944" s="10" t="s">
        <v>1387</v>
      </c>
      <c r="B944" s="11">
        <v>45497</v>
      </c>
      <c r="C944" s="10" t="s">
        <v>721</v>
      </c>
      <c r="D944" s="10" t="s">
        <v>55</v>
      </c>
      <c r="E944" s="10" t="s">
        <v>80</v>
      </c>
      <c r="F944" s="12">
        <v>2</v>
      </c>
      <c r="G944" s="12">
        <v>820</v>
      </c>
      <c r="H944" s="12">
        <v>8.1</v>
      </c>
      <c r="I944" s="12">
        <v>1507.16</v>
      </c>
      <c r="J944" s="10" t="s">
        <v>51</v>
      </c>
      <c r="K944" s="10" t="s">
        <v>81</v>
      </c>
      <c r="L944" t="str">
        <f>IFERROR(VLOOKUP(D944,Products!A:F,3,0),"")</f>
        <v>Apparel</v>
      </c>
      <c r="M944" t="str">
        <f>IFERROR(VLOOKUP(E944,Sales_Reps!A:E,3,0),"")</f>
        <v>West</v>
      </c>
      <c r="N944" t="str">
        <f>IFERROR(VLOOKUP(C944,Customers!A:F,5,0),"")</f>
        <v>Corporate</v>
      </c>
      <c r="O944">
        <f>IFERROR(VLOOKUP(C944,Customers!A:F,3,0),"")</f>
        <v>43</v>
      </c>
      <c r="P944">
        <f>IFERROR(VLOOKUP(D944,Products!A:F,4,0),"")</f>
        <v>391</v>
      </c>
      <c r="Q944" t="b">
        <f>IFERROR(VLOOKUP(D944,Products!A:F,6,0),"")</f>
        <v>1</v>
      </c>
      <c r="R944">
        <f t="shared" si="42"/>
        <v>0.52317073170731709</v>
      </c>
      <c r="S944">
        <f t="shared" si="43"/>
        <v>1</v>
      </c>
      <c r="T944">
        <f>IF(AND(S944&gt;1,COUNTIF($A$2:A944,A944)=1),1,0)</f>
        <v>0</v>
      </c>
      <c r="U944">
        <f>COUNTIF(Customers!$A$2:$A$301,C944)</f>
        <v>1</v>
      </c>
      <c r="V944">
        <f t="shared" si="44"/>
        <v>0</v>
      </c>
    </row>
    <row r="945" spans="1:22" ht="14.25" customHeight="1" x14ac:dyDescent="0.35">
      <c r="A945" s="10" t="s">
        <v>1388</v>
      </c>
      <c r="B945" s="11">
        <v>45567</v>
      </c>
      <c r="C945" s="10" t="s">
        <v>214</v>
      </c>
      <c r="D945" s="10" t="s">
        <v>223</v>
      </c>
      <c r="E945" s="10" t="s">
        <v>134</v>
      </c>
      <c r="F945" s="12">
        <v>2</v>
      </c>
      <c r="G945" s="12">
        <v>1540</v>
      </c>
      <c r="H945" s="12">
        <v>17.7</v>
      </c>
      <c r="I945" s="12">
        <v>2534.84</v>
      </c>
      <c r="J945" s="10" t="s">
        <v>51</v>
      </c>
      <c r="K945" s="10" t="s">
        <v>81</v>
      </c>
      <c r="L945" t="str">
        <f>IFERROR(VLOOKUP(D945,Products!A:F,3,0),"")</f>
        <v>Beauty</v>
      </c>
      <c r="M945" t="str">
        <f>IFERROR(VLOOKUP(E945,Sales_Reps!A:E,3,0),"")</f>
        <v>West</v>
      </c>
      <c r="N945" t="str">
        <f>IFERROR(VLOOKUP(C945,Customers!A:F,5,0),"")</f>
        <v>SMB</v>
      </c>
      <c r="O945">
        <f>IFERROR(VLOOKUP(C945,Customers!A:F,3,0),"")</f>
        <v>34</v>
      </c>
      <c r="P945">
        <f>IFERROR(VLOOKUP(D945,Products!A:F,4,0),"")</f>
        <v>647</v>
      </c>
      <c r="Q945" t="b">
        <f>IFERROR(VLOOKUP(D945,Products!A:F,6,0),"")</f>
        <v>0</v>
      </c>
      <c r="R945">
        <f t="shared" si="42"/>
        <v>0.57987012987012987</v>
      </c>
      <c r="S945">
        <f t="shared" si="43"/>
        <v>1</v>
      </c>
      <c r="T945">
        <f>IF(AND(S945&gt;1,COUNTIF($A$2:A945,A945)=1),1,0)</f>
        <v>0</v>
      </c>
      <c r="U945">
        <f>COUNTIF(Customers!$A$2:$A$301,C945)</f>
        <v>1</v>
      </c>
      <c r="V945">
        <f t="shared" si="44"/>
        <v>0</v>
      </c>
    </row>
    <row r="946" spans="1:22" ht="14.25" customHeight="1" x14ac:dyDescent="0.35">
      <c r="A946" s="10" t="s">
        <v>1389</v>
      </c>
      <c r="B946" s="11">
        <v>45451</v>
      </c>
      <c r="C946" s="10" t="s">
        <v>723</v>
      </c>
      <c r="D946" s="10" t="s">
        <v>212</v>
      </c>
      <c r="E946" s="10" t="s">
        <v>179</v>
      </c>
      <c r="F946" s="12">
        <v>10</v>
      </c>
      <c r="G946" s="12">
        <v>3870</v>
      </c>
      <c r="H946" s="12">
        <v>12.2</v>
      </c>
      <c r="I946" s="12">
        <v>33978.6</v>
      </c>
      <c r="J946" s="10" t="s">
        <v>108</v>
      </c>
      <c r="K946" s="10" t="s">
        <v>81</v>
      </c>
      <c r="L946" t="str">
        <f>IFERROR(VLOOKUP(D946,Products!A:F,3,0),"")</f>
        <v>Electronics</v>
      </c>
      <c r="M946" t="str">
        <f>IFERROR(VLOOKUP(E946,Sales_Reps!A:E,3,0),"")</f>
        <v>North</v>
      </c>
      <c r="N946" t="str">
        <f>IFERROR(VLOOKUP(C946,Customers!A:F,5,0),"")</f>
        <v>Retail</v>
      </c>
      <c r="O946">
        <f>IFERROR(VLOOKUP(C946,Customers!A:F,3,0),"")</f>
        <v>29</v>
      </c>
      <c r="P946">
        <f>IFERROR(VLOOKUP(D946,Products!A:F,4,0),"")</f>
        <v>1559</v>
      </c>
      <c r="Q946" t="b">
        <f>IFERROR(VLOOKUP(D946,Products!A:F,6,0),"")</f>
        <v>1</v>
      </c>
      <c r="R946">
        <f t="shared" si="42"/>
        <v>0.59715762273901807</v>
      </c>
      <c r="S946">
        <f t="shared" si="43"/>
        <v>1</v>
      </c>
      <c r="T946">
        <f>IF(AND(S946&gt;1,COUNTIF($A$2:A946,A946)=1),1,0)</f>
        <v>0</v>
      </c>
      <c r="U946">
        <f>COUNTIF(Customers!$A$2:$A$301,C946)</f>
        <v>1</v>
      </c>
      <c r="V946">
        <f t="shared" si="44"/>
        <v>0</v>
      </c>
    </row>
    <row r="947" spans="1:22" ht="14.25" customHeight="1" x14ac:dyDescent="0.35">
      <c r="A947" s="10" t="s">
        <v>1390</v>
      </c>
      <c r="B947" s="11">
        <v>45488</v>
      </c>
      <c r="C947" s="10" t="s">
        <v>356</v>
      </c>
      <c r="D947" s="10" t="s">
        <v>243</v>
      </c>
      <c r="E947" s="10" t="s">
        <v>261</v>
      </c>
      <c r="F947" s="12">
        <v>7</v>
      </c>
      <c r="G947" s="12">
        <v>2660</v>
      </c>
      <c r="H947" s="12">
        <v>4.7</v>
      </c>
      <c r="I947" s="12">
        <v>17744.86</v>
      </c>
      <c r="J947" s="10" t="s">
        <v>51</v>
      </c>
      <c r="K947" s="10" t="s">
        <v>76</v>
      </c>
      <c r="L947" t="str">
        <f>IFERROR(VLOOKUP(D947,Products!A:F,3,0),"")</f>
        <v>Electronics</v>
      </c>
      <c r="M947" t="str">
        <f>IFERROR(VLOOKUP(E947,Sales_Reps!A:E,3,0),"")</f>
        <v>North</v>
      </c>
      <c r="N947" t="str">
        <f>IFERROR(VLOOKUP(C947,Customers!A:F,5,0),"")</f>
        <v>Retail</v>
      </c>
      <c r="O947">
        <f>IFERROR(VLOOKUP(C947,Customers!A:F,3,0),"")</f>
        <v>50</v>
      </c>
      <c r="P947">
        <f>IFERROR(VLOOKUP(D947,Products!A:F,4,0),"")</f>
        <v>1259</v>
      </c>
      <c r="Q947" t="b">
        <f>IFERROR(VLOOKUP(D947,Products!A:F,6,0),"")</f>
        <v>0</v>
      </c>
      <c r="R947">
        <f t="shared" si="42"/>
        <v>0.52669172932330832</v>
      </c>
      <c r="S947">
        <f t="shared" si="43"/>
        <v>1</v>
      </c>
      <c r="T947">
        <f>IF(AND(S947&gt;1,COUNTIF($A$2:A947,A947)=1),1,0)</f>
        <v>0</v>
      </c>
      <c r="U947">
        <f>COUNTIF(Customers!$A$2:$A$301,C947)</f>
        <v>1</v>
      </c>
      <c r="V947">
        <f t="shared" si="44"/>
        <v>0</v>
      </c>
    </row>
    <row r="948" spans="1:22" ht="14.25" customHeight="1" x14ac:dyDescent="0.35">
      <c r="A948" s="10" t="s">
        <v>1391</v>
      </c>
      <c r="B948" s="11">
        <v>45431</v>
      </c>
      <c r="C948" s="10" t="s">
        <v>365</v>
      </c>
      <c r="D948" s="10" t="s">
        <v>151</v>
      </c>
      <c r="E948" s="10" t="s">
        <v>168</v>
      </c>
      <c r="F948" s="12">
        <v>4</v>
      </c>
      <c r="G948" s="12">
        <v>3570</v>
      </c>
      <c r="H948" s="12">
        <v>19.3</v>
      </c>
      <c r="I948" s="12">
        <v>11523.96</v>
      </c>
      <c r="J948" s="10" t="s">
        <v>51</v>
      </c>
      <c r="K948" s="10" t="s">
        <v>58</v>
      </c>
      <c r="L948" t="str">
        <f>IFERROR(VLOOKUP(D948,Products!A:F,3,0),"")</f>
        <v>Electronics</v>
      </c>
      <c r="M948" t="str">
        <f>IFERROR(VLOOKUP(E948,Sales_Reps!A:E,3,0),"")</f>
        <v>South</v>
      </c>
      <c r="N948" t="str">
        <f>IFERROR(VLOOKUP(C948,Customers!A:F,5,0),"")</f>
        <v>SMB</v>
      </c>
      <c r="O948">
        <f>IFERROR(VLOOKUP(C948,Customers!A:F,3,0),"")</f>
        <v>51</v>
      </c>
      <c r="P948">
        <f>IFERROR(VLOOKUP(D948,Products!A:F,4,0),"")</f>
        <v>1665</v>
      </c>
      <c r="Q948" t="b">
        <f>IFERROR(VLOOKUP(D948,Products!A:F,6,0),"")</f>
        <v>1</v>
      </c>
      <c r="R948">
        <f t="shared" si="42"/>
        <v>0.53361344537815125</v>
      </c>
      <c r="S948">
        <f t="shared" si="43"/>
        <v>2</v>
      </c>
      <c r="T948">
        <f>IF(AND(S948&gt;1,COUNTIF($A$2:A948,A948)=1),1,0)</f>
        <v>1</v>
      </c>
      <c r="U948">
        <f>COUNTIF(Customers!$A$2:$A$301,C948)</f>
        <v>1</v>
      </c>
      <c r="V948">
        <f t="shared" si="44"/>
        <v>0</v>
      </c>
    </row>
    <row r="949" spans="1:22" ht="14.25" customHeight="1" x14ac:dyDescent="0.35">
      <c r="A949" s="10" t="s">
        <v>1392</v>
      </c>
      <c r="B949" s="11">
        <v>45393</v>
      </c>
      <c r="C949" s="10" t="s">
        <v>150</v>
      </c>
      <c r="D949" s="10" t="s">
        <v>259</v>
      </c>
      <c r="E949" s="10" t="s">
        <v>261</v>
      </c>
      <c r="F949" s="12">
        <v>2</v>
      </c>
      <c r="G949" s="12">
        <v>2030</v>
      </c>
      <c r="H949" s="12">
        <v>2.6</v>
      </c>
      <c r="I949" s="12">
        <v>3954.44</v>
      </c>
      <c r="J949" s="10" t="s">
        <v>51</v>
      </c>
      <c r="K949" s="10" t="s">
        <v>58</v>
      </c>
      <c r="L949" t="str">
        <f>IFERROR(VLOOKUP(D949,Products!A:F,3,0),"")</f>
        <v>Home</v>
      </c>
      <c r="M949" t="str">
        <f>IFERROR(VLOOKUP(E949,Sales_Reps!A:E,3,0),"")</f>
        <v>North</v>
      </c>
      <c r="N949" t="str">
        <f>IFERROR(VLOOKUP(C949,Customers!A:F,5,0),"")</f>
        <v>SMB</v>
      </c>
      <c r="O949">
        <f>IFERROR(VLOOKUP(C949,Customers!A:F,3,0),"")</f>
        <v>52</v>
      </c>
      <c r="P949">
        <f>IFERROR(VLOOKUP(D949,Products!A:F,4,0),"")</f>
        <v>1143</v>
      </c>
      <c r="Q949" t="b">
        <f>IFERROR(VLOOKUP(D949,Products!A:F,6,0),"")</f>
        <v>1</v>
      </c>
      <c r="R949">
        <f t="shared" si="42"/>
        <v>0.43694581280788175</v>
      </c>
      <c r="S949">
        <f t="shared" si="43"/>
        <v>1</v>
      </c>
      <c r="T949">
        <f>IF(AND(S949&gt;1,COUNTIF($A$2:A949,A949)=1),1,0)</f>
        <v>0</v>
      </c>
      <c r="U949">
        <f>COUNTIF(Customers!$A$2:$A$301,C949)</f>
        <v>1</v>
      </c>
      <c r="V949">
        <f t="shared" si="44"/>
        <v>0</v>
      </c>
    </row>
    <row r="950" spans="1:22" ht="14.25" customHeight="1" x14ac:dyDescent="0.35">
      <c r="A950" s="10" t="s">
        <v>1393</v>
      </c>
      <c r="B950" s="11">
        <v>45427</v>
      </c>
      <c r="C950" s="10" t="s">
        <v>418</v>
      </c>
      <c r="D950" s="10" t="s">
        <v>70</v>
      </c>
      <c r="E950" s="10" t="s">
        <v>216</v>
      </c>
      <c r="F950" s="12">
        <v>6</v>
      </c>
      <c r="G950" s="12">
        <v>3160</v>
      </c>
      <c r="H950" s="12">
        <v>25.8</v>
      </c>
      <c r="I950" s="12">
        <v>14068.32</v>
      </c>
      <c r="J950" s="10" t="s">
        <v>51</v>
      </c>
      <c r="K950" s="10" t="s">
        <v>97</v>
      </c>
      <c r="L950" t="str">
        <f>IFERROR(VLOOKUP(D950,Products!A:F,3,0),"")</f>
        <v>Apparel</v>
      </c>
      <c r="M950" t="str">
        <f>IFERROR(VLOOKUP(E950,Sales_Reps!A:E,3,0),"")</f>
        <v>South</v>
      </c>
      <c r="N950" t="str">
        <f>IFERROR(VLOOKUP(C950,Customers!A:F,5,0),"")</f>
        <v>Corporate</v>
      </c>
      <c r="O950">
        <f>IFERROR(VLOOKUP(C950,Customers!A:F,3,0),"")</f>
        <v>43</v>
      </c>
      <c r="P950">
        <f>IFERROR(VLOOKUP(D950,Products!A:F,4,0),"")</f>
        <v>1886</v>
      </c>
      <c r="Q950" t="b">
        <f>IFERROR(VLOOKUP(D950,Products!A:F,6,0),"")</f>
        <v>1</v>
      </c>
      <c r="R950">
        <f t="shared" si="42"/>
        <v>0.4031645569620253</v>
      </c>
      <c r="S950">
        <f t="shared" si="43"/>
        <v>1</v>
      </c>
      <c r="T950">
        <f>IF(AND(S950&gt;1,COUNTIF($A$2:A950,A950)=1),1,0)</f>
        <v>0</v>
      </c>
      <c r="U950">
        <f>COUNTIF(Customers!$A$2:$A$301,C950)</f>
        <v>1</v>
      </c>
      <c r="V950">
        <f t="shared" si="44"/>
        <v>0</v>
      </c>
    </row>
    <row r="951" spans="1:22" ht="14.25" customHeight="1" x14ac:dyDescent="0.35">
      <c r="A951" s="10" t="s">
        <v>1394</v>
      </c>
      <c r="B951" s="11">
        <v>45591</v>
      </c>
      <c r="C951" s="10" t="s">
        <v>486</v>
      </c>
      <c r="D951" s="10" t="s">
        <v>407</v>
      </c>
      <c r="E951" s="10" t="s">
        <v>62</v>
      </c>
      <c r="F951" s="12">
        <v>4</v>
      </c>
      <c r="G951" s="12">
        <v>5080</v>
      </c>
      <c r="H951" s="12">
        <v>2</v>
      </c>
      <c r="I951" s="12">
        <v>19913.599999999999</v>
      </c>
      <c r="J951" s="10" t="s">
        <v>51</v>
      </c>
      <c r="K951" s="10" t="s">
        <v>1395</v>
      </c>
      <c r="L951" t="str">
        <f>IFERROR(VLOOKUP(D951,Products!A:F,3,0),"")</f>
        <v>Home</v>
      </c>
      <c r="M951" t="str">
        <f>IFERROR(VLOOKUP(E951,Sales_Reps!A:E,3,0),"")</f>
        <v>South</v>
      </c>
      <c r="N951" t="str">
        <f>IFERROR(VLOOKUP(C951,Customers!A:F,5,0),"")</f>
        <v>SMB</v>
      </c>
      <c r="O951">
        <f>IFERROR(VLOOKUP(C951,Customers!A:F,3,0),"")</f>
        <v>55</v>
      </c>
      <c r="P951">
        <f>IFERROR(VLOOKUP(D951,Products!A:F,4,0),"")</f>
        <v>2459</v>
      </c>
      <c r="Q951" t="b">
        <f>IFERROR(VLOOKUP(D951,Products!A:F,6,0),"")</f>
        <v>1</v>
      </c>
      <c r="R951">
        <f t="shared" si="42"/>
        <v>0.51594488188976373</v>
      </c>
      <c r="S951">
        <f t="shared" si="43"/>
        <v>1</v>
      </c>
      <c r="T951">
        <f>IF(AND(S951&gt;1,COUNTIF($A$2:A951,A951)=1),1,0)</f>
        <v>0</v>
      </c>
      <c r="U951">
        <f>COUNTIF(Customers!$A$2:$A$301,C951)</f>
        <v>1</v>
      </c>
      <c r="V951">
        <f t="shared" si="44"/>
        <v>0</v>
      </c>
    </row>
    <row r="952" spans="1:22" ht="14.25" customHeight="1" x14ac:dyDescent="0.35">
      <c r="A952" s="10" t="s">
        <v>1396</v>
      </c>
      <c r="B952" s="11">
        <v>45327</v>
      </c>
      <c r="C952" s="10" t="s">
        <v>424</v>
      </c>
      <c r="D952" s="10" t="s">
        <v>121</v>
      </c>
      <c r="E952" s="10" t="s">
        <v>96</v>
      </c>
      <c r="F952" s="12">
        <v>6</v>
      </c>
      <c r="G952" s="12">
        <v>3450</v>
      </c>
      <c r="H952" s="12">
        <v>1.8</v>
      </c>
      <c r="I952" s="12">
        <v>20327.400000000001</v>
      </c>
      <c r="J952" s="10" t="s">
        <v>104</v>
      </c>
      <c r="K952" s="10" t="s">
        <v>52</v>
      </c>
      <c r="L952" t="str">
        <f>IFERROR(VLOOKUP(D952,Products!A:F,3,0),"")</f>
        <v>Beauty</v>
      </c>
      <c r="M952" t="str">
        <f>IFERROR(VLOOKUP(E952,Sales_Reps!A:E,3,0),"")</f>
        <v>South</v>
      </c>
      <c r="N952" t="str">
        <f>IFERROR(VLOOKUP(C952,Customers!A:F,5,0),"")</f>
        <v>Corporate</v>
      </c>
      <c r="O952">
        <f>IFERROR(VLOOKUP(C952,Customers!A:F,3,0),"")</f>
        <v>37</v>
      </c>
      <c r="P952">
        <f>IFERROR(VLOOKUP(D952,Products!A:F,4,0),"")</f>
        <v>2420</v>
      </c>
      <c r="Q952" t="b">
        <f>IFERROR(VLOOKUP(D952,Products!A:F,6,0),"")</f>
        <v>1</v>
      </c>
      <c r="R952">
        <f t="shared" si="42"/>
        <v>0.29855072463768118</v>
      </c>
      <c r="S952">
        <f t="shared" si="43"/>
        <v>1</v>
      </c>
      <c r="T952">
        <f>IF(AND(S952&gt;1,COUNTIF($A$2:A952,A952)=1),1,0)</f>
        <v>0</v>
      </c>
      <c r="U952">
        <f>COUNTIF(Customers!$A$2:$A$301,C952)</f>
        <v>1</v>
      </c>
      <c r="V952">
        <f t="shared" si="44"/>
        <v>0</v>
      </c>
    </row>
    <row r="953" spans="1:22" ht="14.25" customHeight="1" x14ac:dyDescent="0.35">
      <c r="A953" s="10" t="s">
        <v>1397</v>
      </c>
      <c r="B953" s="11">
        <v>45575</v>
      </c>
      <c r="C953" s="10" t="s">
        <v>561</v>
      </c>
      <c r="D953" s="10" t="s">
        <v>125</v>
      </c>
      <c r="E953" s="10" t="s">
        <v>310</v>
      </c>
      <c r="F953" s="12">
        <v>3</v>
      </c>
      <c r="G953" s="12">
        <v>3450</v>
      </c>
      <c r="H953" s="12">
        <v>4.7</v>
      </c>
      <c r="I953" s="12">
        <v>9863.5499999999993</v>
      </c>
      <c r="J953" s="10" t="s">
        <v>57</v>
      </c>
      <c r="K953" s="10" t="s">
        <v>76</v>
      </c>
      <c r="L953" t="str">
        <f>IFERROR(VLOOKUP(D953,Products!A:F,3,0),"")</f>
        <v>Sports</v>
      </c>
      <c r="M953" t="str">
        <f>IFERROR(VLOOKUP(E953,Sales_Reps!A:E,3,0),"")</f>
        <v>South</v>
      </c>
      <c r="N953" t="str">
        <f>IFERROR(VLOOKUP(C953,Customers!A:F,5,0),"")</f>
        <v>Retail</v>
      </c>
      <c r="O953">
        <f>IFERROR(VLOOKUP(C953,Customers!A:F,3,0),"")</f>
        <v>39</v>
      </c>
      <c r="P953">
        <f>IFERROR(VLOOKUP(D953,Products!A:F,4,0),"")</f>
        <v>2467</v>
      </c>
      <c r="Q953" t="b">
        <f>IFERROR(VLOOKUP(D953,Products!A:F,6,0),"")</f>
        <v>1</v>
      </c>
      <c r="R953">
        <f t="shared" si="42"/>
        <v>0.28492753623188405</v>
      </c>
      <c r="S953">
        <f t="shared" si="43"/>
        <v>1</v>
      </c>
      <c r="T953">
        <f>IF(AND(S953&gt;1,COUNTIF($A$2:A953,A953)=1),1,0)</f>
        <v>0</v>
      </c>
      <c r="U953">
        <f>COUNTIF(Customers!$A$2:$A$301,C953)</f>
        <v>1</v>
      </c>
      <c r="V953">
        <f t="shared" si="44"/>
        <v>0</v>
      </c>
    </row>
    <row r="954" spans="1:22" ht="14.25" customHeight="1" x14ac:dyDescent="0.35">
      <c r="A954" s="10" t="s">
        <v>1398</v>
      </c>
      <c r="B954" s="11">
        <v>45367</v>
      </c>
      <c r="C954" s="10" t="s">
        <v>172</v>
      </c>
      <c r="D954" s="10" t="s">
        <v>328</v>
      </c>
      <c r="E954" s="10" t="s">
        <v>307</v>
      </c>
      <c r="F954" s="12">
        <v>7</v>
      </c>
      <c r="G954" s="12">
        <v>5330</v>
      </c>
      <c r="H954" s="12">
        <v>16.399999999999999</v>
      </c>
      <c r="I954" s="12">
        <v>31191.16</v>
      </c>
      <c r="J954" s="10" t="s">
        <v>51</v>
      </c>
      <c r="K954" s="10" t="s">
        <v>97</v>
      </c>
      <c r="L954" t="str">
        <f>IFERROR(VLOOKUP(D954,Products!A:F,3,0),"")</f>
        <v>Electronics</v>
      </c>
      <c r="M954" t="str">
        <f>IFERROR(VLOOKUP(E954,Sales_Reps!A:E,3,0),"")</f>
        <v>West</v>
      </c>
      <c r="N954" t="str">
        <f>IFERROR(VLOOKUP(C954,Customers!A:F,5,0),"")</f>
        <v>Retail</v>
      </c>
      <c r="O954">
        <f>IFERROR(VLOOKUP(C954,Customers!A:F,3,0),"")</f>
        <v>26</v>
      </c>
      <c r="P954">
        <f>IFERROR(VLOOKUP(D954,Products!A:F,4,0),"")</f>
        <v>2405</v>
      </c>
      <c r="Q954" t="b">
        <f>IFERROR(VLOOKUP(D954,Products!A:F,6,0),"")</f>
        <v>1</v>
      </c>
      <c r="R954">
        <f t="shared" si="42"/>
        <v>0.54878048780487809</v>
      </c>
      <c r="S954">
        <f t="shared" si="43"/>
        <v>1</v>
      </c>
      <c r="T954">
        <f>IF(AND(S954&gt;1,COUNTIF($A$2:A954,A954)=1),1,0)</f>
        <v>0</v>
      </c>
      <c r="U954">
        <f>COUNTIF(Customers!$A$2:$A$301,C954)</f>
        <v>1</v>
      </c>
      <c r="V954">
        <f t="shared" si="44"/>
        <v>0</v>
      </c>
    </row>
    <row r="955" spans="1:22" ht="14.25" customHeight="1" x14ac:dyDescent="0.35">
      <c r="A955" s="10" t="s">
        <v>1399</v>
      </c>
      <c r="B955" s="11">
        <v>45522</v>
      </c>
      <c r="C955" s="10" t="s">
        <v>570</v>
      </c>
      <c r="D955" s="10" t="s">
        <v>302</v>
      </c>
      <c r="E955" s="10" t="s">
        <v>112</v>
      </c>
      <c r="F955" s="12">
        <v>6</v>
      </c>
      <c r="G955" s="12">
        <v>2210</v>
      </c>
      <c r="H955" s="12">
        <v>13.1</v>
      </c>
      <c r="I955" s="12">
        <v>11522.94</v>
      </c>
      <c r="J955" s="10" t="s">
        <v>51</v>
      </c>
      <c r="K955" s="10" t="s">
        <v>76</v>
      </c>
      <c r="L955" t="str">
        <f>IFERROR(VLOOKUP(D955,Products!A:F,3,0),"")</f>
        <v>Grocery</v>
      </c>
      <c r="M955" t="str">
        <f>IFERROR(VLOOKUP(E955,Sales_Reps!A:E,3,0),"")</f>
        <v>North</v>
      </c>
      <c r="N955" t="str">
        <f>IFERROR(VLOOKUP(C955,Customers!A:F,5,0),"")</f>
        <v>Retail</v>
      </c>
      <c r="O955">
        <f>IFERROR(VLOOKUP(C955,Customers!A:F,3,0),"")</f>
        <v>52</v>
      </c>
      <c r="P955">
        <f>IFERROR(VLOOKUP(D955,Products!A:F,4,0),"")</f>
        <v>1010</v>
      </c>
      <c r="Q955" t="b">
        <f>IFERROR(VLOOKUP(D955,Products!A:F,6,0),"")</f>
        <v>1</v>
      </c>
      <c r="R955">
        <f t="shared" si="42"/>
        <v>0.54298642533936647</v>
      </c>
      <c r="S955">
        <f t="shared" si="43"/>
        <v>1</v>
      </c>
      <c r="T955">
        <f>IF(AND(S955&gt;1,COUNTIF($A$2:A955,A955)=1),1,0)</f>
        <v>0</v>
      </c>
      <c r="U955">
        <f>COUNTIF(Customers!$A$2:$A$301,C955)</f>
        <v>1</v>
      </c>
      <c r="V955">
        <f t="shared" si="44"/>
        <v>0</v>
      </c>
    </row>
    <row r="956" spans="1:22" ht="14.25" customHeight="1" x14ac:dyDescent="0.35">
      <c r="A956" s="10" t="s">
        <v>1400</v>
      </c>
      <c r="B956" s="11">
        <v>45579</v>
      </c>
      <c r="C956" s="10" t="s">
        <v>411</v>
      </c>
      <c r="D956" s="10" t="s">
        <v>128</v>
      </c>
      <c r="E956" s="10" t="s">
        <v>165</v>
      </c>
      <c r="F956" s="12">
        <v>8</v>
      </c>
      <c r="G956" s="12">
        <v>1080</v>
      </c>
      <c r="H956" s="12">
        <v>8.6999999999999993</v>
      </c>
      <c r="I956" s="12">
        <v>7888.32</v>
      </c>
      <c r="J956" s="10" t="s">
        <v>51</v>
      </c>
      <c r="K956" s="10" t="s">
        <v>76</v>
      </c>
      <c r="L956" t="str">
        <f>IFERROR(VLOOKUP(D956,Products!A:F,3,0),"")</f>
        <v>Home</v>
      </c>
      <c r="M956" t="str">
        <f>IFERROR(VLOOKUP(E956,Sales_Reps!A:E,3,0),"")</f>
        <v>West</v>
      </c>
      <c r="N956" t="str">
        <f>IFERROR(VLOOKUP(C956,Customers!A:F,5,0),"")</f>
        <v>Retail</v>
      </c>
      <c r="O956">
        <f>IFERROR(VLOOKUP(C956,Customers!A:F,3,0),"")</f>
        <v>41</v>
      </c>
      <c r="P956">
        <f>IFERROR(VLOOKUP(D956,Products!A:F,4,0),"")</f>
        <v>519</v>
      </c>
      <c r="Q956" t="b">
        <f>IFERROR(VLOOKUP(D956,Products!A:F,6,0),"")</f>
        <v>1</v>
      </c>
      <c r="R956">
        <f t="shared" si="42"/>
        <v>0.51944444444444449</v>
      </c>
      <c r="S956">
        <f t="shared" si="43"/>
        <v>1</v>
      </c>
      <c r="T956">
        <f>IF(AND(S956&gt;1,COUNTIF($A$2:A956,A956)=1),1,0)</f>
        <v>0</v>
      </c>
      <c r="U956">
        <f>COUNTIF(Customers!$A$2:$A$301,C956)</f>
        <v>1</v>
      </c>
      <c r="V956">
        <f t="shared" si="44"/>
        <v>0</v>
      </c>
    </row>
    <row r="957" spans="1:22" ht="14.25" customHeight="1" x14ac:dyDescent="0.35">
      <c r="A957" s="10" t="s">
        <v>1401</v>
      </c>
      <c r="B957" s="11">
        <v>45495</v>
      </c>
      <c r="C957" s="10" t="s">
        <v>340</v>
      </c>
      <c r="D957" s="10" t="s">
        <v>49</v>
      </c>
      <c r="E957" s="10" t="s">
        <v>152</v>
      </c>
      <c r="F957" s="12">
        <v>5</v>
      </c>
      <c r="G957" s="12">
        <v>3620</v>
      </c>
      <c r="H957" s="12">
        <v>16.100000000000001</v>
      </c>
      <c r="I957" s="12">
        <v>15185.9</v>
      </c>
      <c r="J957" s="10" t="s">
        <v>51</v>
      </c>
      <c r="K957" s="10" t="s">
        <v>81</v>
      </c>
      <c r="L957" t="str">
        <f>IFERROR(VLOOKUP(D957,Products!A:F,3,0),"")</f>
        <v>Apparel</v>
      </c>
      <c r="M957" t="str">
        <f>IFERROR(VLOOKUP(E957,Sales_Reps!A:E,3,0),"")</f>
        <v>South</v>
      </c>
      <c r="N957" t="str">
        <f>IFERROR(VLOOKUP(C957,Customers!A:F,5,0),"")</f>
        <v>SMB</v>
      </c>
      <c r="O957">
        <f>IFERROR(VLOOKUP(C957,Customers!A:F,3,0),"")</f>
        <v>44</v>
      </c>
      <c r="P957">
        <f>IFERROR(VLOOKUP(D957,Products!A:F,4,0),"")</f>
        <v>2509</v>
      </c>
      <c r="Q957" t="b">
        <f>IFERROR(VLOOKUP(D957,Products!A:F,6,0),"")</f>
        <v>1</v>
      </c>
      <c r="R957">
        <f t="shared" si="42"/>
        <v>0.3069060773480663</v>
      </c>
      <c r="S957">
        <f t="shared" si="43"/>
        <v>1</v>
      </c>
      <c r="T957">
        <f>IF(AND(S957&gt;1,COUNTIF($A$2:A957,A957)=1),1,0)</f>
        <v>0</v>
      </c>
      <c r="U957">
        <f>COUNTIF(Customers!$A$2:$A$301,C957)</f>
        <v>1</v>
      </c>
      <c r="V957">
        <f t="shared" si="44"/>
        <v>0</v>
      </c>
    </row>
    <row r="958" spans="1:22" ht="14.25" customHeight="1" x14ac:dyDescent="0.35">
      <c r="A958" s="10" t="s">
        <v>1402</v>
      </c>
      <c r="B958" s="11">
        <v>45483</v>
      </c>
      <c r="C958" s="10" t="s">
        <v>73</v>
      </c>
      <c r="D958" s="10" t="s">
        <v>623</v>
      </c>
      <c r="E958" s="10" t="s">
        <v>237</v>
      </c>
      <c r="F958" s="12">
        <v>7</v>
      </c>
      <c r="G958" s="12">
        <v>3560</v>
      </c>
      <c r="H958" s="12">
        <v>8.5</v>
      </c>
      <c r="I958" s="12">
        <v>22801.8</v>
      </c>
      <c r="J958" s="10" t="s">
        <v>51</v>
      </c>
      <c r="K958" s="10" t="s">
        <v>76</v>
      </c>
      <c r="L958" t="str">
        <f>IFERROR(VLOOKUP(D958,Products!A:F,3,0),"")</f>
        <v>Apparel</v>
      </c>
      <c r="M958" t="str">
        <f>IFERROR(VLOOKUP(E958,Sales_Reps!A:E,3,0),"")</f>
        <v>South</v>
      </c>
      <c r="N958" t="str">
        <f>IFERROR(VLOOKUP(C958,Customers!A:F,5,0),"")</f>
        <v>Retail</v>
      </c>
      <c r="O958">
        <f>IFERROR(VLOOKUP(C958,Customers!A:F,3,0),"")</f>
        <v>36</v>
      </c>
      <c r="P958">
        <f>IFERROR(VLOOKUP(D958,Products!A:F,4,0),"")</f>
        <v>2629</v>
      </c>
      <c r="Q958" t="b">
        <f>IFERROR(VLOOKUP(D958,Products!A:F,6,0),"")</f>
        <v>1</v>
      </c>
      <c r="R958">
        <f t="shared" si="42"/>
        <v>0.26151685393258428</v>
      </c>
      <c r="S958">
        <f t="shared" si="43"/>
        <v>1</v>
      </c>
      <c r="T958">
        <f>IF(AND(S958&gt;1,COUNTIF($A$2:A958,A958)=1),1,0)</f>
        <v>0</v>
      </c>
      <c r="U958">
        <f>COUNTIF(Customers!$A$2:$A$301,C958)</f>
        <v>1</v>
      </c>
      <c r="V958">
        <f t="shared" si="44"/>
        <v>0</v>
      </c>
    </row>
    <row r="959" spans="1:22" ht="14.25" customHeight="1" x14ac:dyDescent="0.35">
      <c r="A959" s="10" t="s">
        <v>1403</v>
      </c>
      <c r="B959" s="11">
        <v>45496</v>
      </c>
      <c r="C959" s="10" t="s">
        <v>265</v>
      </c>
      <c r="D959" s="10" t="s">
        <v>259</v>
      </c>
      <c r="E959" s="10" t="s">
        <v>75</v>
      </c>
      <c r="F959" s="12">
        <v>8</v>
      </c>
      <c r="G959" s="12">
        <v>2030</v>
      </c>
      <c r="H959" s="12">
        <v>18.100000000000001</v>
      </c>
      <c r="I959" s="12">
        <v>13300.56</v>
      </c>
      <c r="J959" s="10" t="s">
        <v>51</v>
      </c>
      <c r="K959" s="10" t="s">
        <v>58</v>
      </c>
      <c r="L959" t="str">
        <f>IFERROR(VLOOKUP(D959,Products!A:F,3,0),"")</f>
        <v>Home</v>
      </c>
      <c r="M959" t="str">
        <f>IFERROR(VLOOKUP(E959,Sales_Reps!A:E,3,0),"")</f>
        <v>West</v>
      </c>
      <c r="N959" t="str">
        <f>IFERROR(VLOOKUP(C959,Customers!A:F,5,0),"")</f>
        <v>Retail</v>
      </c>
      <c r="O959">
        <f>IFERROR(VLOOKUP(C959,Customers!A:F,3,0),"")</f>
        <v>41</v>
      </c>
      <c r="P959">
        <f>IFERROR(VLOOKUP(D959,Products!A:F,4,0),"")</f>
        <v>1143</v>
      </c>
      <c r="Q959" t="b">
        <f>IFERROR(VLOOKUP(D959,Products!A:F,6,0),"")</f>
        <v>1</v>
      </c>
      <c r="R959">
        <f t="shared" si="42"/>
        <v>0.43694581280788175</v>
      </c>
      <c r="S959">
        <f t="shared" si="43"/>
        <v>1</v>
      </c>
      <c r="T959">
        <f>IF(AND(S959&gt;1,COUNTIF($A$2:A959,A959)=1),1,0)</f>
        <v>0</v>
      </c>
      <c r="U959">
        <f>COUNTIF(Customers!$A$2:$A$301,C959)</f>
        <v>1</v>
      </c>
      <c r="V959">
        <f t="shared" si="44"/>
        <v>0</v>
      </c>
    </row>
    <row r="960" spans="1:22" ht="14.25" customHeight="1" x14ac:dyDescent="0.35">
      <c r="A960" s="10" t="s">
        <v>1404</v>
      </c>
      <c r="B960" s="11">
        <v>45350</v>
      </c>
      <c r="C960" s="10" t="s">
        <v>1272</v>
      </c>
      <c r="D960" s="10" t="s">
        <v>140</v>
      </c>
      <c r="E960" s="10" t="s">
        <v>237</v>
      </c>
      <c r="F960" s="12">
        <v>10</v>
      </c>
      <c r="G960" s="12">
        <v>1650</v>
      </c>
      <c r="H960" s="12">
        <v>7.1</v>
      </c>
      <c r="I960" s="12">
        <v>15328.5</v>
      </c>
      <c r="J960" s="10" t="s">
        <v>51</v>
      </c>
      <c r="K960" s="10" t="s">
        <v>58</v>
      </c>
      <c r="L960" t="str">
        <f>IFERROR(VLOOKUP(D960,Products!A:F,3,0),"")</f>
        <v>Beauty</v>
      </c>
      <c r="M960" t="str">
        <f>IFERROR(VLOOKUP(E960,Sales_Reps!A:E,3,0),"")</f>
        <v>South</v>
      </c>
      <c r="N960" t="str">
        <f>IFERROR(VLOOKUP(C960,Customers!A:F,5,0),"")</f>
        <v>SMB</v>
      </c>
      <c r="O960">
        <f>IFERROR(VLOOKUP(C960,Customers!A:F,3,0),"")</f>
        <v>51</v>
      </c>
      <c r="P960">
        <f>IFERROR(VLOOKUP(D960,Products!A:F,4,0),"")</f>
        <v>1222</v>
      </c>
      <c r="Q960" t="b">
        <f>IFERROR(VLOOKUP(D960,Products!A:F,6,0),"")</f>
        <v>1</v>
      </c>
      <c r="R960">
        <f t="shared" si="42"/>
        <v>0.2593939393939394</v>
      </c>
      <c r="S960">
        <f t="shared" si="43"/>
        <v>1</v>
      </c>
      <c r="T960">
        <f>IF(AND(S960&gt;1,COUNTIF($A$2:A960,A960)=1),1,0)</f>
        <v>0</v>
      </c>
      <c r="U960">
        <f>COUNTIF(Customers!$A$2:$A$301,C960)</f>
        <v>1</v>
      </c>
      <c r="V960">
        <f t="shared" si="44"/>
        <v>0</v>
      </c>
    </row>
    <row r="961" spans="1:22" ht="14.25" customHeight="1" x14ac:dyDescent="0.35">
      <c r="A961" s="10" t="s">
        <v>1405</v>
      </c>
      <c r="B961" s="11">
        <v>45517</v>
      </c>
      <c r="C961" s="10" t="s">
        <v>465</v>
      </c>
      <c r="D961" s="10" t="s">
        <v>164</v>
      </c>
      <c r="E961" s="10" t="s">
        <v>202</v>
      </c>
      <c r="F961" s="12">
        <v>4</v>
      </c>
      <c r="G961" s="12">
        <v>2760</v>
      </c>
      <c r="H961" s="12">
        <v>17.600000000000001</v>
      </c>
      <c r="I961" s="12">
        <v>9096.9599999999991</v>
      </c>
      <c r="J961" s="10" t="s">
        <v>104</v>
      </c>
      <c r="K961" s="10" t="s">
        <v>97</v>
      </c>
      <c r="L961" t="str">
        <f>IFERROR(VLOOKUP(D961,Products!A:F,3,0),"")</f>
        <v>Grocery</v>
      </c>
      <c r="M961" t="str">
        <f>IFERROR(VLOOKUP(E961,Sales_Reps!A:E,3,0),"")</f>
        <v>East</v>
      </c>
      <c r="N961" t="str">
        <f>IFERROR(VLOOKUP(C961,Customers!A:F,5,0),"")</f>
        <v>SMB</v>
      </c>
      <c r="O961">
        <f>IFERROR(VLOOKUP(C961,Customers!A:F,3,0),"")</f>
        <v>65</v>
      </c>
      <c r="P961">
        <f>IFERROR(VLOOKUP(D961,Products!A:F,4,0),"")</f>
        <v>1435</v>
      </c>
      <c r="Q961" t="b">
        <f>IFERROR(VLOOKUP(D961,Products!A:F,6,0),"")</f>
        <v>1</v>
      </c>
      <c r="R961">
        <f t="shared" si="42"/>
        <v>0.48007246376811596</v>
      </c>
      <c r="S961">
        <f t="shared" si="43"/>
        <v>1</v>
      </c>
      <c r="T961">
        <f>IF(AND(S961&gt;1,COUNTIF($A$2:A961,A961)=1),1,0)</f>
        <v>0</v>
      </c>
      <c r="U961">
        <f>COUNTIF(Customers!$A$2:$A$301,C961)</f>
        <v>1</v>
      </c>
      <c r="V961">
        <f t="shared" si="44"/>
        <v>0</v>
      </c>
    </row>
    <row r="962" spans="1:22" ht="14.25" customHeight="1" x14ac:dyDescent="0.35">
      <c r="A962" s="10" t="s">
        <v>1406</v>
      </c>
      <c r="B962" s="11">
        <v>45460</v>
      </c>
      <c r="C962" s="10" t="s">
        <v>534</v>
      </c>
      <c r="D962" s="10" t="s">
        <v>372</v>
      </c>
      <c r="E962" s="10" t="s">
        <v>168</v>
      </c>
      <c r="F962" s="12">
        <v>4</v>
      </c>
      <c r="G962" s="12">
        <v>3970</v>
      </c>
      <c r="H962" s="12">
        <v>4.3</v>
      </c>
      <c r="I962" s="12">
        <v>15197.16</v>
      </c>
      <c r="J962" s="10" t="s">
        <v>51</v>
      </c>
      <c r="K962" s="10" t="s">
        <v>63</v>
      </c>
      <c r="L962" t="str">
        <f>IFERROR(VLOOKUP(D962,Products!A:F,3,0),"")</f>
        <v>Electronics</v>
      </c>
      <c r="M962" t="str">
        <f>IFERROR(VLOOKUP(E962,Sales_Reps!A:E,3,0),"")</f>
        <v>South</v>
      </c>
      <c r="N962" t="str">
        <f>IFERROR(VLOOKUP(C962,Customers!A:F,5,0),"")</f>
        <v>Corporate</v>
      </c>
      <c r="O962">
        <f>IFERROR(VLOOKUP(C962,Customers!A:F,3,0),"")</f>
        <v>47</v>
      </c>
      <c r="P962">
        <f>IFERROR(VLOOKUP(D962,Products!A:F,4,0),"")</f>
        <v>2865</v>
      </c>
      <c r="Q962" t="b">
        <f>IFERROR(VLOOKUP(D962,Products!A:F,6,0),"")</f>
        <v>1</v>
      </c>
      <c r="R962">
        <f t="shared" ref="R962:R1025" si="45">IFERROR((G962-P962)/G962,"")</f>
        <v>0.27833753148614609</v>
      </c>
      <c r="S962">
        <f t="shared" ref="S962:S1025" si="46">COUNTIF($A$2:$A$2001,A962)</f>
        <v>1</v>
      </c>
      <c r="T962">
        <f>IF(AND(S962&gt;1,COUNTIF($A$2:A962,A962)=1),1,0)</f>
        <v>0</v>
      </c>
      <c r="U962">
        <f>COUNTIF(Customers!$A$2:$A$301,C962)</f>
        <v>1</v>
      </c>
      <c r="V962">
        <f t="shared" ref="V962:V1025" si="47">IF(AND(K962="Bengaluru",L962="Grocery"),I962,0)</f>
        <v>0</v>
      </c>
    </row>
    <row r="963" spans="1:22" ht="14.25" customHeight="1" x14ac:dyDescent="0.35">
      <c r="A963" s="10" t="s">
        <v>1407</v>
      </c>
      <c r="B963" s="11">
        <v>45509</v>
      </c>
      <c r="C963" s="10" t="s">
        <v>443</v>
      </c>
      <c r="D963" s="10" t="s">
        <v>205</v>
      </c>
      <c r="E963" s="10" t="s">
        <v>96</v>
      </c>
      <c r="F963" s="12">
        <v>2</v>
      </c>
      <c r="G963" s="12">
        <v>6080</v>
      </c>
      <c r="H963" s="12">
        <v>23.8</v>
      </c>
      <c r="I963" s="12">
        <v>9265.92</v>
      </c>
      <c r="J963" s="10" t="s">
        <v>51</v>
      </c>
      <c r="K963" s="10" t="s">
        <v>52</v>
      </c>
      <c r="L963" t="str">
        <f>IFERROR(VLOOKUP(D963,Products!A:F,3,0),"")</f>
        <v>Beauty</v>
      </c>
      <c r="M963" t="str">
        <f>IFERROR(VLOOKUP(E963,Sales_Reps!A:E,3,0),"")</f>
        <v>South</v>
      </c>
      <c r="N963" t="str">
        <f>IFERROR(VLOOKUP(C963,Customers!A:F,5,0),"")</f>
        <v>SMB</v>
      </c>
      <c r="O963">
        <f>IFERROR(VLOOKUP(C963,Customers!A:F,3,0),"")</f>
        <v>49</v>
      </c>
      <c r="P963">
        <f>IFERROR(VLOOKUP(D963,Products!A:F,4,0),"")</f>
        <v>2617</v>
      </c>
      <c r="Q963" t="b">
        <f>IFERROR(VLOOKUP(D963,Products!A:F,6,0),"")</f>
        <v>1</v>
      </c>
      <c r="R963">
        <f t="shared" si="45"/>
        <v>0.56957236842105263</v>
      </c>
      <c r="S963">
        <f t="shared" si="46"/>
        <v>1</v>
      </c>
      <c r="T963">
        <f>IF(AND(S963&gt;1,COUNTIF($A$2:A963,A963)=1),1,0)</f>
        <v>0</v>
      </c>
      <c r="U963">
        <f>COUNTIF(Customers!$A$2:$A$301,C963)</f>
        <v>1</v>
      </c>
      <c r="V963">
        <f t="shared" si="47"/>
        <v>0</v>
      </c>
    </row>
    <row r="964" spans="1:22" ht="14.25" customHeight="1" x14ac:dyDescent="0.35">
      <c r="A964" s="10" t="s">
        <v>1408</v>
      </c>
      <c r="B964" s="11">
        <v>45602</v>
      </c>
      <c r="C964" s="10" t="s">
        <v>337</v>
      </c>
      <c r="D964" s="10" t="s">
        <v>95</v>
      </c>
      <c r="E964" s="10" t="s">
        <v>103</v>
      </c>
      <c r="F964" s="12">
        <v>4</v>
      </c>
      <c r="G964" s="12">
        <v>2270</v>
      </c>
      <c r="H964" s="12">
        <v>28.9</v>
      </c>
      <c r="I964" s="12">
        <v>6455.88</v>
      </c>
      <c r="J964" s="10" t="s">
        <v>51</v>
      </c>
      <c r="K964" s="10" t="s">
        <v>52</v>
      </c>
      <c r="L964" t="str">
        <f>IFERROR(VLOOKUP(D964,Products!A:F,3,0),"")</f>
        <v>Grocery</v>
      </c>
      <c r="M964" t="str">
        <f>IFERROR(VLOOKUP(E964,Sales_Reps!A:E,3,0),"")</f>
        <v>North</v>
      </c>
      <c r="N964" t="str">
        <f>IFERROR(VLOOKUP(C964,Customers!A:F,5,0),"")</f>
        <v>Retail</v>
      </c>
      <c r="O964">
        <f>IFERROR(VLOOKUP(C964,Customers!A:F,3,0),"")</f>
        <v>43</v>
      </c>
      <c r="P964">
        <f>IFERROR(VLOOKUP(D964,Products!A:F,4,0),"")</f>
        <v>1203</v>
      </c>
      <c r="Q964" t="b">
        <f>IFERROR(VLOOKUP(D964,Products!A:F,6,0),"")</f>
        <v>1</v>
      </c>
      <c r="R964">
        <f t="shared" si="45"/>
        <v>0.47004405286343615</v>
      </c>
      <c r="S964">
        <f t="shared" si="46"/>
        <v>1</v>
      </c>
      <c r="T964">
        <f>IF(AND(S964&gt;1,COUNTIF($A$2:A964,A964)=1),1,0)</f>
        <v>0</v>
      </c>
      <c r="U964">
        <f>COUNTIF(Customers!$A$2:$A$301,C964)</f>
        <v>1</v>
      </c>
      <c r="V964">
        <f t="shared" si="47"/>
        <v>0</v>
      </c>
    </row>
    <row r="965" spans="1:22" ht="14.25" customHeight="1" x14ac:dyDescent="0.35">
      <c r="A965" s="10" t="s">
        <v>1409</v>
      </c>
      <c r="B965" s="11">
        <v>45441</v>
      </c>
      <c r="C965" s="10" t="s">
        <v>161</v>
      </c>
      <c r="D965" s="10" t="s">
        <v>372</v>
      </c>
      <c r="E965" s="10" t="s">
        <v>103</v>
      </c>
      <c r="F965" s="12">
        <v>10</v>
      </c>
      <c r="G965" s="12">
        <v>3970</v>
      </c>
      <c r="H965" s="12">
        <v>26.2</v>
      </c>
      <c r="I965" s="12">
        <v>29298.6</v>
      </c>
      <c r="J965" s="10" t="s">
        <v>51</v>
      </c>
      <c r="K965" s="10" t="s">
        <v>52</v>
      </c>
      <c r="L965" t="str">
        <f>IFERROR(VLOOKUP(D965,Products!A:F,3,0),"")</f>
        <v>Electronics</v>
      </c>
      <c r="M965" t="str">
        <f>IFERROR(VLOOKUP(E965,Sales_Reps!A:E,3,0),"")</f>
        <v>North</v>
      </c>
      <c r="N965" t="str">
        <f>IFERROR(VLOOKUP(C965,Customers!A:F,5,0),"")</f>
        <v>Corporate</v>
      </c>
      <c r="O965">
        <f>IFERROR(VLOOKUP(C965,Customers!A:F,3,0),"")</f>
        <v>47</v>
      </c>
      <c r="P965">
        <f>IFERROR(VLOOKUP(D965,Products!A:F,4,0),"")</f>
        <v>2865</v>
      </c>
      <c r="Q965" t="b">
        <f>IFERROR(VLOOKUP(D965,Products!A:F,6,0),"")</f>
        <v>1</v>
      </c>
      <c r="R965">
        <f t="shared" si="45"/>
        <v>0.27833753148614609</v>
      </c>
      <c r="S965">
        <f t="shared" si="46"/>
        <v>1</v>
      </c>
      <c r="T965">
        <f>IF(AND(S965&gt;1,COUNTIF($A$2:A965,A965)=1),1,0)</f>
        <v>0</v>
      </c>
      <c r="U965">
        <f>COUNTIF(Customers!$A$2:$A$301,C965)</f>
        <v>1</v>
      </c>
      <c r="V965">
        <f t="shared" si="47"/>
        <v>0</v>
      </c>
    </row>
    <row r="966" spans="1:22" ht="14.25" customHeight="1" x14ac:dyDescent="0.35">
      <c r="A966" s="10" t="s">
        <v>1410</v>
      </c>
      <c r="B966" s="11">
        <v>45378</v>
      </c>
      <c r="C966" s="10" t="s">
        <v>306</v>
      </c>
      <c r="D966" s="10" t="s">
        <v>155</v>
      </c>
      <c r="E966" s="10" t="s">
        <v>216</v>
      </c>
      <c r="F966" s="12">
        <v>4</v>
      </c>
      <c r="G966" s="12">
        <v>5100</v>
      </c>
      <c r="H966" s="12">
        <v>2.1</v>
      </c>
      <c r="I966" s="12">
        <v>19971.599999999999</v>
      </c>
      <c r="J966" s="10" t="s">
        <v>51</v>
      </c>
      <c r="K966" s="10" t="s">
        <v>58</v>
      </c>
      <c r="L966" t="str">
        <f>IFERROR(VLOOKUP(D966,Products!A:F,3,0),"")</f>
        <v>Beauty</v>
      </c>
      <c r="M966" t="str">
        <f>IFERROR(VLOOKUP(E966,Sales_Reps!A:E,3,0),"")</f>
        <v>South</v>
      </c>
      <c r="N966" t="str">
        <f>IFERROR(VLOOKUP(C966,Customers!A:F,5,0),"")</f>
        <v>Retail</v>
      </c>
      <c r="O966">
        <f>IFERROR(VLOOKUP(C966,Customers!A:F,3,0),"")</f>
        <v>26</v>
      </c>
      <c r="P966">
        <f>IFERROR(VLOOKUP(D966,Products!A:F,4,0),"")</f>
        <v>2237</v>
      </c>
      <c r="Q966" t="b">
        <f>IFERROR(VLOOKUP(D966,Products!A:F,6,0),"")</f>
        <v>1</v>
      </c>
      <c r="R966">
        <f t="shared" si="45"/>
        <v>0.56137254901960787</v>
      </c>
      <c r="S966">
        <f t="shared" si="46"/>
        <v>1</v>
      </c>
      <c r="T966">
        <f>IF(AND(S966&gt;1,COUNTIF($A$2:A966,A966)=1),1,0)</f>
        <v>0</v>
      </c>
      <c r="U966">
        <f>COUNTIF(Customers!$A$2:$A$301,C966)</f>
        <v>1</v>
      </c>
      <c r="V966">
        <f t="shared" si="47"/>
        <v>0</v>
      </c>
    </row>
    <row r="967" spans="1:22" ht="14.25" customHeight="1" x14ac:dyDescent="0.35">
      <c r="A967" s="10" t="s">
        <v>1411</v>
      </c>
      <c r="B967" s="11">
        <v>45428</v>
      </c>
      <c r="C967" s="10" t="s">
        <v>278</v>
      </c>
      <c r="D967" s="10" t="s">
        <v>240</v>
      </c>
      <c r="E967" s="10" t="s">
        <v>80</v>
      </c>
      <c r="F967" s="12">
        <v>5</v>
      </c>
      <c r="G967" s="12">
        <v>3020</v>
      </c>
      <c r="H967" s="12">
        <v>17.3</v>
      </c>
      <c r="I967" s="12">
        <v>12487.7</v>
      </c>
      <c r="J967" s="10" t="s">
        <v>51</v>
      </c>
      <c r="K967" s="10" t="s">
        <v>52</v>
      </c>
      <c r="L967" t="str">
        <f>IFERROR(VLOOKUP(D967,Products!A:F,3,0),"")</f>
        <v>Beauty</v>
      </c>
      <c r="M967" t="str">
        <f>IFERROR(VLOOKUP(E967,Sales_Reps!A:E,3,0),"")</f>
        <v>West</v>
      </c>
      <c r="N967" t="str">
        <f>IFERROR(VLOOKUP(C967,Customers!A:F,5,0),"")</f>
        <v>Corporate</v>
      </c>
      <c r="O967">
        <f>IFERROR(VLOOKUP(C967,Customers!A:F,3,0),"")</f>
        <v>33</v>
      </c>
      <c r="P967">
        <f>IFERROR(VLOOKUP(D967,Products!A:F,4,0),"")</f>
        <v>1626</v>
      </c>
      <c r="Q967" t="b">
        <f>IFERROR(VLOOKUP(D967,Products!A:F,6,0),"")</f>
        <v>1</v>
      </c>
      <c r="R967">
        <f t="shared" si="45"/>
        <v>0.46158940397350995</v>
      </c>
      <c r="S967">
        <f t="shared" si="46"/>
        <v>1</v>
      </c>
      <c r="T967">
        <f>IF(AND(S967&gt;1,COUNTIF($A$2:A967,A967)=1),1,0)</f>
        <v>0</v>
      </c>
      <c r="U967">
        <f>COUNTIF(Customers!$A$2:$A$301,C967)</f>
        <v>1</v>
      </c>
      <c r="V967">
        <f t="shared" si="47"/>
        <v>0</v>
      </c>
    </row>
    <row r="968" spans="1:22" ht="14.25" customHeight="1" x14ac:dyDescent="0.35">
      <c r="A968" s="10" t="s">
        <v>1412</v>
      </c>
      <c r="B968" s="11">
        <v>45521</v>
      </c>
      <c r="C968" s="10" t="s">
        <v>866</v>
      </c>
      <c r="D968" s="10" t="s">
        <v>79</v>
      </c>
      <c r="E968" s="10" t="s">
        <v>310</v>
      </c>
      <c r="F968" s="12">
        <v>8</v>
      </c>
      <c r="G968" s="12">
        <v>960</v>
      </c>
      <c r="H968" s="12">
        <v>1.3</v>
      </c>
      <c r="I968" s="12">
        <v>7580.16</v>
      </c>
      <c r="J968" s="10" t="s">
        <v>104</v>
      </c>
      <c r="K968" s="10" t="s">
        <v>76</v>
      </c>
      <c r="L968" t="str">
        <f>IFERROR(VLOOKUP(D968,Products!A:F,3,0),"")</f>
        <v>Sports</v>
      </c>
      <c r="M968" t="str">
        <f>IFERROR(VLOOKUP(E968,Sales_Reps!A:E,3,0),"")</f>
        <v>South</v>
      </c>
      <c r="N968" t="str">
        <f>IFERROR(VLOOKUP(C968,Customers!A:F,5,0),"")</f>
        <v>Retail</v>
      </c>
      <c r="O968">
        <f>IFERROR(VLOOKUP(C968,Customers!A:F,3,0),"")</f>
        <v>37</v>
      </c>
      <c r="P968">
        <f>IFERROR(VLOOKUP(D968,Products!A:F,4,0),"")</f>
        <v>705</v>
      </c>
      <c r="Q968" t="b">
        <f>IFERROR(VLOOKUP(D968,Products!A:F,6,0),"")</f>
        <v>1</v>
      </c>
      <c r="R968">
        <f t="shared" si="45"/>
        <v>0.265625</v>
      </c>
      <c r="S968">
        <f t="shared" si="46"/>
        <v>1</v>
      </c>
      <c r="T968">
        <f>IF(AND(S968&gt;1,COUNTIF($A$2:A968,A968)=1),1,0)</f>
        <v>0</v>
      </c>
      <c r="U968">
        <f>COUNTIF(Customers!$A$2:$A$301,C968)</f>
        <v>1</v>
      </c>
      <c r="V968">
        <f t="shared" si="47"/>
        <v>0</v>
      </c>
    </row>
    <row r="969" spans="1:22" ht="14.25" customHeight="1" x14ac:dyDescent="0.35">
      <c r="A969" s="10" t="s">
        <v>1413</v>
      </c>
      <c r="B969" s="11">
        <v>45612</v>
      </c>
      <c r="C969" s="10" t="s">
        <v>923</v>
      </c>
      <c r="D969" s="10" t="s">
        <v>131</v>
      </c>
      <c r="E969" s="10" t="s">
        <v>71</v>
      </c>
      <c r="F969" s="12">
        <v>9</v>
      </c>
      <c r="G969" s="12">
        <v>2480</v>
      </c>
      <c r="H969" s="12">
        <v>15.6</v>
      </c>
      <c r="I969" s="12">
        <v>18838.080000000002</v>
      </c>
      <c r="J969" s="10" t="s">
        <v>51</v>
      </c>
      <c r="K969" s="10" t="s">
        <v>76</v>
      </c>
      <c r="L969" t="str">
        <f>IFERROR(VLOOKUP(D969,Products!A:F,3,0),"")</f>
        <v>Apparel</v>
      </c>
      <c r="M969" t="str">
        <f>IFERROR(VLOOKUP(E969,Sales_Reps!A:E,3,0),"")</f>
        <v>North</v>
      </c>
      <c r="N969" t="str">
        <f>IFERROR(VLOOKUP(C969,Customers!A:F,5,0),"")</f>
        <v>SMB</v>
      </c>
      <c r="O969">
        <f>IFERROR(VLOOKUP(C969,Customers!A:F,3,0),"")</f>
        <v>65</v>
      </c>
      <c r="P969">
        <f>IFERROR(VLOOKUP(D969,Products!A:F,4,0),"")</f>
        <v>1173</v>
      </c>
      <c r="Q969" t="b">
        <f>IFERROR(VLOOKUP(D969,Products!A:F,6,0),"")</f>
        <v>1</v>
      </c>
      <c r="R969">
        <f t="shared" si="45"/>
        <v>0.52701612903225803</v>
      </c>
      <c r="S969">
        <f t="shared" si="46"/>
        <v>1</v>
      </c>
      <c r="T969">
        <f>IF(AND(S969&gt;1,COUNTIF($A$2:A969,A969)=1),1,0)</f>
        <v>0</v>
      </c>
      <c r="U969">
        <f>COUNTIF(Customers!$A$2:$A$301,C969)</f>
        <v>1</v>
      </c>
      <c r="V969">
        <f t="shared" si="47"/>
        <v>0</v>
      </c>
    </row>
    <row r="970" spans="1:22" ht="14.25" customHeight="1" x14ac:dyDescent="0.35">
      <c r="A970" s="10" t="s">
        <v>1414</v>
      </c>
      <c r="B970" s="11">
        <v>45566</v>
      </c>
      <c r="C970" s="10" t="s">
        <v>1415</v>
      </c>
      <c r="D970" s="10" t="s">
        <v>91</v>
      </c>
      <c r="E970" s="10" t="s">
        <v>289</v>
      </c>
      <c r="F970" s="12">
        <v>1</v>
      </c>
      <c r="G970" s="12">
        <v>970</v>
      </c>
      <c r="H970" s="12">
        <v>24.9</v>
      </c>
      <c r="I970" s="12">
        <v>728.47</v>
      </c>
      <c r="J970" s="10" t="s">
        <v>51</v>
      </c>
      <c r="K970" s="10" t="s">
        <v>81</v>
      </c>
      <c r="L970" t="str">
        <f>IFERROR(VLOOKUP(D970,Products!A:F,3,0),"")</f>
        <v>Grocery</v>
      </c>
      <c r="M970" t="str">
        <f>IFERROR(VLOOKUP(E970,Sales_Reps!A:E,3,0),"")</f>
        <v>South</v>
      </c>
      <c r="N970" t="str">
        <f>IFERROR(VLOOKUP(C970,Customers!A:F,5,0),"")</f>
        <v/>
      </c>
      <c r="O970" t="str">
        <f>IFERROR(VLOOKUP(C970,Customers!A:F,3,0),"")</f>
        <v/>
      </c>
      <c r="P970">
        <f>IFERROR(VLOOKUP(D970,Products!A:F,4,0),"")</f>
        <v>434</v>
      </c>
      <c r="Q970" t="b">
        <f>IFERROR(VLOOKUP(D970,Products!A:F,6,0),"")</f>
        <v>1</v>
      </c>
      <c r="R970">
        <f t="shared" si="45"/>
        <v>0.5525773195876289</v>
      </c>
      <c r="S970">
        <f t="shared" si="46"/>
        <v>1</v>
      </c>
      <c r="T970">
        <f>IF(AND(S970&gt;1,COUNTIF($A$2:A970,A970)=1),1,0)</f>
        <v>0</v>
      </c>
      <c r="U970">
        <f>COUNTIF(Customers!$A$2:$A$301,C970)</f>
        <v>0</v>
      </c>
      <c r="V970">
        <f t="shared" si="47"/>
        <v>728.47</v>
      </c>
    </row>
    <row r="971" spans="1:22" ht="14.25" customHeight="1" x14ac:dyDescent="0.35">
      <c r="A971" s="10" t="s">
        <v>1416</v>
      </c>
      <c r="B971" s="11">
        <v>45606</v>
      </c>
      <c r="C971" s="10" t="s">
        <v>371</v>
      </c>
      <c r="D971" s="10" t="s">
        <v>331</v>
      </c>
      <c r="E971" s="10" t="s">
        <v>249</v>
      </c>
      <c r="F971" s="12">
        <v>4</v>
      </c>
      <c r="G971" s="12">
        <v>2380</v>
      </c>
      <c r="H971" s="12">
        <v>9.5</v>
      </c>
      <c r="I971" s="12">
        <v>8615.6</v>
      </c>
      <c r="J971" s="10" t="s">
        <v>104</v>
      </c>
      <c r="K971" s="10" t="s">
        <v>52</v>
      </c>
      <c r="L971" t="str">
        <f>IFERROR(VLOOKUP(D971,Products!A:F,3,0),"")</f>
        <v>Grocery</v>
      </c>
      <c r="M971" t="str">
        <f>IFERROR(VLOOKUP(E971,Sales_Reps!A:E,3,0),"")</f>
        <v>East</v>
      </c>
      <c r="N971" t="str">
        <f>IFERROR(VLOOKUP(C971,Customers!A:F,5,0),"")</f>
        <v>SMB</v>
      </c>
      <c r="O971">
        <f>IFERROR(VLOOKUP(C971,Customers!A:F,3,0),"")</f>
        <v>53</v>
      </c>
      <c r="P971">
        <f>IFERROR(VLOOKUP(D971,Products!A:F,4,0),"")</f>
        <v>1182</v>
      </c>
      <c r="Q971" t="b">
        <f>IFERROR(VLOOKUP(D971,Products!A:F,6,0),"")</f>
        <v>1</v>
      </c>
      <c r="R971">
        <f t="shared" si="45"/>
        <v>0.50336134453781511</v>
      </c>
      <c r="S971">
        <f t="shared" si="46"/>
        <v>1</v>
      </c>
      <c r="T971">
        <f>IF(AND(S971&gt;1,COUNTIF($A$2:A971,A971)=1),1,0)</f>
        <v>0</v>
      </c>
      <c r="U971">
        <f>COUNTIF(Customers!$A$2:$A$301,C971)</f>
        <v>1</v>
      </c>
      <c r="V971">
        <f t="shared" si="47"/>
        <v>0</v>
      </c>
    </row>
    <row r="972" spans="1:22" ht="14.25" customHeight="1" x14ac:dyDescent="0.35">
      <c r="A972" s="10" t="s">
        <v>1417</v>
      </c>
      <c r="B972" s="11">
        <v>45423</v>
      </c>
      <c r="C972" s="10" t="s">
        <v>94</v>
      </c>
      <c r="D972" s="10" t="s">
        <v>324</v>
      </c>
      <c r="E972" s="10" t="s">
        <v>56</v>
      </c>
      <c r="F972" s="12">
        <v>4</v>
      </c>
      <c r="G972" s="12">
        <v>5410</v>
      </c>
      <c r="H972" s="12">
        <v>18.7</v>
      </c>
      <c r="I972" s="12">
        <v>17593.32</v>
      </c>
      <c r="J972" s="10" t="s">
        <v>51</v>
      </c>
      <c r="K972" s="10" t="s">
        <v>97</v>
      </c>
      <c r="L972" t="str">
        <f>IFERROR(VLOOKUP(D972,Products!A:F,3,0),"")</f>
        <v>Sports</v>
      </c>
      <c r="M972" t="str">
        <f>IFERROR(VLOOKUP(E972,Sales_Reps!A:E,3,0),"")</f>
        <v>North</v>
      </c>
      <c r="N972" t="str">
        <f>IFERROR(VLOOKUP(C972,Customers!A:F,5,0),"")</f>
        <v>Retail</v>
      </c>
      <c r="O972">
        <f>IFERROR(VLOOKUP(C972,Customers!A:F,3,0),"")</f>
        <v>60</v>
      </c>
      <c r="P972">
        <f>IFERROR(VLOOKUP(D972,Products!A:F,4,0),"")</f>
        <v>2265</v>
      </c>
      <c r="Q972" t="b">
        <f>IFERROR(VLOOKUP(D972,Products!A:F,6,0),"")</f>
        <v>1</v>
      </c>
      <c r="R972">
        <f t="shared" si="45"/>
        <v>0.58133086876155271</v>
      </c>
      <c r="S972">
        <f t="shared" si="46"/>
        <v>1</v>
      </c>
      <c r="T972">
        <f>IF(AND(S972&gt;1,COUNTIF($A$2:A972,A972)=1),1,0)</f>
        <v>0</v>
      </c>
      <c r="U972">
        <f>COUNTIF(Customers!$A$2:$A$301,C972)</f>
        <v>1</v>
      </c>
      <c r="V972">
        <f t="shared" si="47"/>
        <v>0</v>
      </c>
    </row>
    <row r="973" spans="1:22" ht="14.25" customHeight="1" x14ac:dyDescent="0.35">
      <c r="A973" s="10" t="s">
        <v>1418</v>
      </c>
      <c r="B973" s="11">
        <v>45573</v>
      </c>
      <c r="C973" s="10" t="s">
        <v>248</v>
      </c>
      <c r="D973" s="10" t="s">
        <v>407</v>
      </c>
      <c r="E973" s="10" t="s">
        <v>249</v>
      </c>
      <c r="F973" s="12">
        <v>7</v>
      </c>
      <c r="G973" s="12">
        <v>5080</v>
      </c>
      <c r="H973" s="12">
        <v>6.5</v>
      </c>
      <c r="I973" s="12">
        <v>33248.6</v>
      </c>
      <c r="J973" s="10" t="s">
        <v>51</v>
      </c>
      <c r="K973" s="10" t="s">
        <v>58</v>
      </c>
      <c r="L973" t="str">
        <f>IFERROR(VLOOKUP(D973,Products!A:F,3,0),"")</f>
        <v>Home</v>
      </c>
      <c r="M973" t="str">
        <f>IFERROR(VLOOKUP(E973,Sales_Reps!A:E,3,0),"")</f>
        <v>East</v>
      </c>
      <c r="N973" t="str">
        <f>IFERROR(VLOOKUP(C973,Customers!A:F,5,0),"")</f>
        <v>Retail</v>
      </c>
      <c r="O973">
        <f>IFERROR(VLOOKUP(C973,Customers!A:F,3,0),"")</f>
        <v>28</v>
      </c>
      <c r="P973">
        <f>IFERROR(VLOOKUP(D973,Products!A:F,4,0),"")</f>
        <v>2459</v>
      </c>
      <c r="Q973" t="b">
        <f>IFERROR(VLOOKUP(D973,Products!A:F,6,0),"")</f>
        <v>1</v>
      </c>
      <c r="R973">
        <f t="shared" si="45"/>
        <v>0.51594488188976373</v>
      </c>
      <c r="S973">
        <f t="shared" si="46"/>
        <v>1</v>
      </c>
      <c r="T973">
        <f>IF(AND(S973&gt;1,COUNTIF($A$2:A973,A973)=1),1,0)</f>
        <v>0</v>
      </c>
      <c r="U973">
        <f>COUNTIF(Customers!$A$2:$A$301,C973)</f>
        <v>1</v>
      </c>
      <c r="V973">
        <f t="shared" si="47"/>
        <v>0</v>
      </c>
    </row>
    <row r="974" spans="1:22" ht="14.25" customHeight="1" x14ac:dyDescent="0.35">
      <c r="A974" s="10" t="s">
        <v>1419</v>
      </c>
      <c r="B974" s="11">
        <v>45339</v>
      </c>
      <c r="C974" s="10" t="s">
        <v>1136</v>
      </c>
      <c r="D974" s="10" t="s">
        <v>84</v>
      </c>
      <c r="E974" s="10" t="s">
        <v>75</v>
      </c>
      <c r="F974" s="12">
        <v>5</v>
      </c>
      <c r="G974" s="12">
        <v>1430</v>
      </c>
      <c r="H974" s="12">
        <v>19.8</v>
      </c>
      <c r="I974" s="12">
        <v>5734.3</v>
      </c>
      <c r="J974" s="10" t="s">
        <v>51</v>
      </c>
      <c r="K974" s="10" t="s">
        <v>52</v>
      </c>
      <c r="L974" t="str">
        <f>IFERROR(VLOOKUP(D974,Products!A:F,3,0),"")</f>
        <v>Electronics</v>
      </c>
      <c r="M974" t="str">
        <f>IFERROR(VLOOKUP(E974,Sales_Reps!A:E,3,0),"")</f>
        <v>West</v>
      </c>
      <c r="N974" t="str">
        <f>IFERROR(VLOOKUP(C974,Customers!A:F,5,0),"")</f>
        <v>Retail</v>
      </c>
      <c r="O974">
        <f>IFERROR(VLOOKUP(C974,Customers!A:F,3,0),"")</f>
        <v>39</v>
      </c>
      <c r="P974">
        <f>IFERROR(VLOOKUP(D974,Products!A:F,4,0),"")</f>
        <v>861</v>
      </c>
      <c r="Q974" t="b">
        <f>IFERROR(VLOOKUP(D974,Products!A:F,6,0),"")</f>
        <v>1</v>
      </c>
      <c r="R974">
        <f t="shared" si="45"/>
        <v>0.39790209790209791</v>
      </c>
      <c r="S974">
        <f t="shared" si="46"/>
        <v>1</v>
      </c>
      <c r="T974">
        <f>IF(AND(S974&gt;1,COUNTIF($A$2:A974,A974)=1),1,0)</f>
        <v>0</v>
      </c>
      <c r="U974">
        <f>COUNTIF(Customers!$A$2:$A$301,C974)</f>
        <v>1</v>
      </c>
      <c r="V974">
        <f t="shared" si="47"/>
        <v>0</v>
      </c>
    </row>
    <row r="975" spans="1:22" ht="14.25" customHeight="1" x14ac:dyDescent="0.35">
      <c r="A975" s="10" t="s">
        <v>1420</v>
      </c>
      <c r="B975" s="11">
        <v>45611</v>
      </c>
      <c r="C975" s="10" t="s">
        <v>832</v>
      </c>
      <c r="D975" s="10" t="s">
        <v>167</v>
      </c>
      <c r="E975" s="10" t="s">
        <v>237</v>
      </c>
      <c r="F975" s="12">
        <v>7</v>
      </c>
      <c r="G975" s="12">
        <v>660</v>
      </c>
      <c r="H975" s="12">
        <v>17.3</v>
      </c>
      <c r="I975" s="12">
        <v>3820.74</v>
      </c>
      <c r="J975" s="10" t="s">
        <v>51</v>
      </c>
      <c r="K975" s="10" t="s">
        <v>63</v>
      </c>
      <c r="L975" t="str">
        <f>IFERROR(VLOOKUP(D975,Products!A:F,3,0),"")</f>
        <v>Home</v>
      </c>
      <c r="M975" t="str">
        <f>IFERROR(VLOOKUP(E975,Sales_Reps!A:E,3,0),"")</f>
        <v>South</v>
      </c>
      <c r="N975" t="str">
        <f>IFERROR(VLOOKUP(C975,Customers!A:F,5,0),"")</f>
        <v>SMB</v>
      </c>
      <c r="O975">
        <f>IFERROR(VLOOKUP(C975,Customers!A:F,3,0),"")</f>
        <v>38</v>
      </c>
      <c r="P975">
        <f>IFERROR(VLOOKUP(D975,Products!A:F,4,0),"")</f>
        <v>329</v>
      </c>
      <c r="Q975" t="b">
        <f>IFERROR(VLOOKUP(D975,Products!A:F,6,0),"")</f>
        <v>1</v>
      </c>
      <c r="R975">
        <f t="shared" si="45"/>
        <v>0.50151515151515147</v>
      </c>
      <c r="S975">
        <f t="shared" si="46"/>
        <v>1</v>
      </c>
      <c r="T975">
        <f>IF(AND(S975&gt;1,COUNTIF($A$2:A975,A975)=1),1,0)</f>
        <v>0</v>
      </c>
      <c r="U975">
        <f>COUNTIF(Customers!$A$2:$A$301,C975)</f>
        <v>1</v>
      </c>
      <c r="V975">
        <f t="shared" si="47"/>
        <v>0</v>
      </c>
    </row>
    <row r="976" spans="1:22" ht="14.25" customHeight="1" x14ac:dyDescent="0.35">
      <c r="A976" s="10" t="s">
        <v>1421</v>
      </c>
      <c r="B976" s="11">
        <v>45505</v>
      </c>
      <c r="C976" s="10" t="s">
        <v>780</v>
      </c>
      <c r="D976" s="10" t="s">
        <v>223</v>
      </c>
      <c r="E976" s="10" t="s">
        <v>103</v>
      </c>
      <c r="F976" s="12">
        <v>10</v>
      </c>
      <c r="G976" s="12">
        <v>1540</v>
      </c>
      <c r="H976" s="12">
        <v>17.5</v>
      </c>
      <c r="I976" s="12">
        <v>12705</v>
      </c>
      <c r="J976" s="10" t="s">
        <v>51</v>
      </c>
      <c r="K976" s="10" t="s">
        <v>52</v>
      </c>
      <c r="L976" t="str">
        <f>IFERROR(VLOOKUP(D976,Products!A:F,3,0),"")</f>
        <v>Beauty</v>
      </c>
      <c r="M976" t="str">
        <f>IFERROR(VLOOKUP(E976,Sales_Reps!A:E,3,0),"")</f>
        <v>North</v>
      </c>
      <c r="N976" t="str">
        <f>IFERROR(VLOOKUP(C976,Customers!A:F,5,0),"")</f>
        <v>Retail</v>
      </c>
      <c r="O976">
        <f>IFERROR(VLOOKUP(C976,Customers!A:F,3,0),"")</f>
        <v>36</v>
      </c>
      <c r="P976">
        <f>IFERROR(VLOOKUP(D976,Products!A:F,4,0),"")</f>
        <v>647</v>
      </c>
      <c r="Q976" t="b">
        <f>IFERROR(VLOOKUP(D976,Products!A:F,6,0),"")</f>
        <v>0</v>
      </c>
      <c r="R976">
        <f t="shared" si="45"/>
        <v>0.57987012987012987</v>
      </c>
      <c r="S976">
        <f t="shared" si="46"/>
        <v>1</v>
      </c>
      <c r="T976">
        <f>IF(AND(S976&gt;1,COUNTIF($A$2:A976,A976)=1),1,0)</f>
        <v>0</v>
      </c>
      <c r="U976">
        <f>COUNTIF(Customers!$A$2:$A$301,C976)</f>
        <v>1</v>
      </c>
      <c r="V976">
        <f t="shared" si="47"/>
        <v>0</v>
      </c>
    </row>
    <row r="977" spans="1:22" ht="14.25" customHeight="1" x14ac:dyDescent="0.35">
      <c r="A977" s="10" t="s">
        <v>1422</v>
      </c>
      <c r="B977" s="11">
        <v>45358</v>
      </c>
      <c r="C977" s="10" t="s">
        <v>497</v>
      </c>
      <c r="D977" s="10" t="s">
        <v>302</v>
      </c>
      <c r="E977" s="10" t="s">
        <v>112</v>
      </c>
      <c r="F977" s="12">
        <v>10</v>
      </c>
      <c r="G977" s="12">
        <v>2210</v>
      </c>
      <c r="H977" s="12">
        <v>24.1</v>
      </c>
      <c r="I977" s="12">
        <v>16773.900000000001</v>
      </c>
      <c r="J977" s="10" t="s">
        <v>57</v>
      </c>
      <c r="K977" s="10" t="s">
        <v>63</v>
      </c>
      <c r="L977" t="str">
        <f>IFERROR(VLOOKUP(D977,Products!A:F,3,0),"")</f>
        <v>Grocery</v>
      </c>
      <c r="M977" t="str">
        <f>IFERROR(VLOOKUP(E977,Sales_Reps!A:E,3,0),"")</f>
        <v>North</v>
      </c>
      <c r="N977" t="str">
        <f>IFERROR(VLOOKUP(C977,Customers!A:F,5,0),"")</f>
        <v>SMB</v>
      </c>
      <c r="O977">
        <f>IFERROR(VLOOKUP(C977,Customers!A:F,3,0),"")</f>
        <v>48</v>
      </c>
      <c r="P977">
        <f>IFERROR(VLOOKUP(D977,Products!A:F,4,0),"")</f>
        <v>1010</v>
      </c>
      <c r="Q977" t="b">
        <f>IFERROR(VLOOKUP(D977,Products!A:F,6,0),"")</f>
        <v>1</v>
      </c>
      <c r="R977">
        <f t="shared" si="45"/>
        <v>0.54298642533936647</v>
      </c>
      <c r="S977">
        <f t="shared" si="46"/>
        <v>2</v>
      </c>
      <c r="T977">
        <f>IF(AND(S977&gt;1,COUNTIF($A$2:A977,A977)=1),1,0)</f>
        <v>1</v>
      </c>
      <c r="U977">
        <f>COUNTIF(Customers!$A$2:$A$301,C977)</f>
        <v>1</v>
      </c>
      <c r="V977">
        <f t="shared" si="47"/>
        <v>0</v>
      </c>
    </row>
    <row r="978" spans="1:22" ht="14.25" customHeight="1" x14ac:dyDescent="0.35">
      <c r="A978" s="10" t="s">
        <v>1423</v>
      </c>
      <c r="B978" s="11">
        <v>45519</v>
      </c>
      <c r="C978" s="10" t="s">
        <v>492</v>
      </c>
      <c r="D978" s="10" t="s">
        <v>79</v>
      </c>
      <c r="E978" s="10" t="s">
        <v>249</v>
      </c>
      <c r="F978" s="12">
        <v>4</v>
      </c>
      <c r="G978" s="12">
        <v>960</v>
      </c>
      <c r="H978" s="12">
        <v>13.4</v>
      </c>
      <c r="I978" s="12">
        <v>3325.44</v>
      </c>
      <c r="J978" s="10" t="s">
        <v>51</v>
      </c>
      <c r="K978" s="10" t="s">
        <v>76</v>
      </c>
      <c r="L978" t="str">
        <f>IFERROR(VLOOKUP(D978,Products!A:F,3,0),"")</f>
        <v>Sports</v>
      </c>
      <c r="M978" t="str">
        <f>IFERROR(VLOOKUP(E978,Sales_Reps!A:E,3,0),"")</f>
        <v>East</v>
      </c>
      <c r="N978" t="str">
        <f>IFERROR(VLOOKUP(C978,Customers!A:F,5,0),"")</f>
        <v>Retail</v>
      </c>
      <c r="O978">
        <f>IFERROR(VLOOKUP(C978,Customers!A:F,3,0),"")</f>
        <v>44</v>
      </c>
      <c r="P978">
        <f>IFERROR(VLOOKUP(D978,Products!A:F,4,0),"")</f>
        <v>705</v>
      </c>
      <c r="Q978" t="b">
        <f>IFERROR(VLOOKUP(D978,Products!A:F,6,0),"")</f>
        <v>1</v>
      </c>
      <c r="R978">
        <f t="shared" si="45"/>
        <v>0.265625</v>
      </c>
      <c r="S978">
        <f t="shared" si="46"/>
        <v>1</v>
      </c>
      <c r="T978">
        <f>IF(AND(S978&gt;1,COUNTIF($A$2:A978,A978)=1),1,0)</f>
        <v>0</v>
      </c>
      <c r="U978">
        <f>COUNTIF(Customers!$A$2:$A$301,C978)</f>
        <v>1</v>
      </c>
      <c r="V978">
        <f t="shared" si="47"/>
        <v>0</v>
      </c>
    </row>
    <row r="979" spans="1:22" ht="14.25" customHeight="1" x14ac:dyDescent="0.35">
      <c r="A979" s="10" t="s">
        <v>1424</v>
      </c>
      <c r="B979" s="11">
        <v>45628</v>
      </c>
      <c r="C979" s="10" t="s">
        <v>1314</v>
      </c>
      <c r="D979" s="10" t="s">
        <v>121</v>
      </c>
      <c r="E979" s="10" t="s">
        <v>249</v>
      </c>
      <c r="F979" s="12">
        <v>8</v>
      </c>
      <c r="G979" s="12">
        <v>3450</v>
      </c>
      <c r="H979" s="12">
        <v>3.7</v>
      </c>
      <c r="I979" s="12">
        <v>26578.799999999999</v>
      </c>
      <c r="J979" s="10" t="s">
        <v>51</v>
      </c>
      <c r="K979" s="10" t="s">
        <v>76</v>
      </c>
      <c r="L979" t="str">
        <f>IFERROR(VLOOKUP(D979,Products!A:F,3,0),"")</f>
        <v>Beauty</v>
      </c>
      <c r="M979" t="str">
        <f>IFERROR(VLOOKUP(E979,Sales_Reps!A:E,3,0),"")</f>
        <v>East</v>
      </c>
      <c r="N979" t="str">
        <f>IFERROR(VLOOKUP(C979,Customers!A:F,5,0),"")</f>
        <v>Retail</v>
      </c>
      <c r="O979">
        <f>IFERROR(VLOOKUP(C979,Customers!A:F,3,0),"")</f>
        <v>38</v>
      </c>
      <c r="P979">
        <f>IFERROR(VLOOKUP(D979,Products!A:F,4,0),"")</f>
        <v>2420</v>
      </c>
      <c r="Q979" t="b">
        <f>IFERROR(VLOOKUP(D979,Products!A:F,6,0),"")</f>
        <v>1</v>
      </c>
      <c r="R979">
        <f t="shared" si="45"/>
        <v>0.29855072463768118</v>
      </c>
      <c r="S979">
        <f t="shared" si="46"/>
        <v>1</v>
      </c>
      <c r="T979">
        <f>IF(AND(S979&gt;1,COUNTIF($A$2:A979,A979)=1),1,0)</f>
        <v>0</v>
      </c>
      <c r="U979">
        <f>COUNTIF(Customers!$A$2:$A$301,C979)</f>
        <v>1</v>
      </c>
      <c r="V979">
        <f t="shared" si="47"/>
        <v>0</v>
      </c>
    </row>
    <row r="980" spans="1:22" ht="14.25" customHeight="1" x14ac:dyDescent="0.35">
      <c r="A980" s="10" t="s">
        <v>1425</v>
      </c>
      <c r="B980" s="11">
        <v>45481</v>
      </c>
      <c r="C980" s="10" t="s">
        <v>1426</v>
      </c>
      <c r="D980" s="10" t="s">
        <v>259</v>
      </c>
      <c r="E980" s="10" t="s">
        <v>56</v>
      </c>
      <c r="F980" s="12">
        <v>6</v>
      </c>
      <c r="G980" s="12">
        <v>2030</v>
      </c>
      <c r="H980" s="12">
        <v>9.5</v>
      </c>
      <c r="I980" s="12">
        <v>11022.9</v>
      </c>
      <c r="J980" s="10" t="s">
        <v>51</v>
      </c>
      <c r="K980" s="10" t="s">
        <v>76</v>
      </c>
      <c r="L980" t="str">
        <f>IFERROR(VLOOKUP(D980,Products!A:F,3,0),"")</f>
        <v>Home</v>
      </c>
      <c r="M980" t="str">
        <f>IFERROR(VLOOKUP(E980,Sales_Reps!A:E,3,0),"")</f>
        <v>North</v>
      </c>
      <c r="N980" t="str">
        <f>IFERROR(VLOOKUP(C980,Customers!A:F,5,0),"")</f>
        <v/>
      </c>
      <c r="O980" t="str">
        <f>IFERROR(VLOOKUP(C980,Customers!A:F,3,0),"")</f>
        <v/>
      </c>
      <c r="P980">
        <f>IFERROR(VLOOKUP(D980,Products!A:F,4,0),"")</f>
        <v>1143</v>
      </c>
      <c r="Q980" t="b">
        <f>IFERROR(VLOOKUP(D980,Products!A:F,6,0),"")</f>
        <v>1</v>
      </c>
      <c r="R980">
        <f t="shared" si="45"/>
        <v>0.43694581280788175</v>
      </c>
      <c r="S980">
        <f t="shared" si="46"/>
        <v>1</v>
      </c>
      <c r="T980">
        <f>IF(AND(S980&gt;1,COUNTIF($A$2:A980,A980)=1),1,0)</f>
        <v>0</v>
      </c>
      <c r="U980">
        <f>COUNTIF(Customers!$A$2:$A$301,C980)</f>
        <v>0</v>
      </c>
      <c r="V980">
        <f t="shared" si="47"/>
        <v>0</v>
      </c>
    </row>
    <row r="981" spans="1:22" ht="14.25" customHeight="1" x14ac:dyDescent="0.35">
      <c r="A981" s="10" t="s">
        <v>1427</v>
      </c>
      <c r="B981" s="11">
        <v>45399</v>
      </c>
      <c r="C981" s="10" t="s">
        <v>527</v>
      </c>
      <c r="D981" s="10" t="s">
        <v>416</v>
      </c>
      <c r="E981" s="10" t="s">
        <v>168</v>
      </c>
      <c r="F981" s="12">
        <v>7</v>
      </c>
      <c r="G981" s="12">
        <v>3450</v>
      </c>
      <c r="H981" s="12">
        <v>28.2</v>
      </c>
      <c r="I981" s="12">
        <v>17339.7</v>
      </c>
      <c r="J981" s="10" t="s">
        <v>51</v>
      </c>
      <c r="K981" s="10" t="s">
        <v>52</v>
      </c>
      <c r="L981" t="str">
        <f>IFERROR(VLOOKUP(D981,Products!A:F,3,0),"")</f>
        <v>Apparel</v>
      </c>
      <c r="M981" t="str">
        <f>IFERROR(VLOOKUP(E981,Sales_Reps!A:E,3,0),"")</f>
        <v>South</v>
      </c>
      <c r="N981" t="str">
        <f>IFERROR(VLOOKUP(C981,Customers!A:F,5,0),"")</f>
        <v>SMB</v>
      </c>
      <c r="O981">
        <f>IFERROR(VLOOKUP(C981,Customers!A:F,3,0),"")</f>
        <v>24</v>
      </c>
      <c r="P981">
        <f>IFERROR(VLOOKUP(D981,Products!A:F,4,0),"")</f>
        <v>1748</v>
      </c>
      <c r="Q981" t="b">
        <f>IFERROR(VLOOKUP(D981,Products!A:F,6,0),"")</f>
        <v>1</v>
      </c>
      <c r="R981">
        <f t="shared" si="45"/>
        <v>0.49333333333333335</v>
      </c>
      <c r="S981">
        <f t="shared" si="46"/>
        <v>1</v>
      </c>
      <c r="T981">
        <f>IF(AND(S981&gt;1,COUNTIF($A$2:A981,A981)=1),1,0)</f>
        <v>0</v>
      </c>
      <c r="U981">
        <f>COUNTIF(Customers!$A$2:$A$301,C981)</f>
        <v>1</v>
      </c>
      <c r="V981">
        <f t="shared" si="47"/>
        <v>0</v>
      </c>
    </row>
    <row r="982" spans="1:22" ht="14.25" customHeight="1" x14ac:dyDescent="0.35">
      <c r="A982" s="10" t="s">
        <v>1428</v>
      </c>
      <c r="B982" s="11">
        <v>45531</v>
      </c>
      <c r="C982" s="10" t="s">
        <v>449</v>
      </c>
      <c r="D982" s="10" t="s">
        <v>198</v>
      </c>
      <c r="E982" s="10" t="s">
        <v>237</v>
      </c>
      <c r="F982" s="12">
        <v>7</v>
      </c>
      <c r="G982" s="12">
        <v>3780</v>
      </c>
      <c r="H982" s="12">
        <v>15.1</v>
      </c>
      <c r="I982" s="12">
        <v>22464.54</v>
      </c>
      <c r="J982" s="10" t="s">
        <v>51</v>
      </c>
      <c r="K982" s="10" t="s">
        <v>52</v>
      </c>
      <c r="L982" t="str">
        <f>IFERROR(VLOOKUP(D982,Products!A:F,3,0),"")</f>
        <v>Grocery</v>
      </c>
      <c r="M982" t="str">
        <f>IFERROR(VLOOKUP(E982,Sales_Reps!A:E,3,0),"")</f>
        <v>South</v>
      </c>
      <c r="N982" t="str">
        <f>IFERROR(VLOOKUP(C982,Customers!A:F,5,0),"")</f>
        <v>Retail</v>
      </c>
      <c r="O982">
        <f>IFERROR(VLOOKUP(C982,Customers!A:F,3,0),"")</f>
        <v>49</v>
      </c>
      <c r="P982">
        <f>IFERROR(VLOOKUP(D982,Products!A:F,4,0),"")</f>
        <v>2436</v>
      </c>
      <c r="Q982" t="b">
        <f>IFERROR(VLOOKUP(D982,Products!A:F,6,0),"")</f>
        <v>1</v>
      </c>
      <c r="R982">
        <f t="shared" si="45"/>
        <v>0.35555555555555557</v>
      </c>
      <c r="S982">
        <f t="shared" si="46"/>
        <v>1</v>
      </c>
      <c r="T982">
        <f>IF(AND(S982&gt;1,COUNTIF($A$2:A982,A982)=1),1,0)</f>
        <v>0</v>
      </c>
      <c r="U982">
        <f>COUNTIF(Customers!$A$2:$A$301,C982)</f>
        <v>1</v>
      </c>
      <c r="V982">
        <f t="shared" si="47"/>
        <v>0</v>
      </c>
    </row>
    <row r="983" spans="1:22" ht="14.25" customHeight="1" x14ac:dyDescent="0.35">
      <c r="A983" s="10" t="s">
        <v>1391</v>
      </c>
      <c r="B983" s="11">
        <v>45417</v>
      </c>
      <c r="C983" s="10" t="s">
        <v>136</v>
      </c>
      <c r="D983" s="10" t="s">
        <v>164</v>
      </c>
      <c r="E983" s="10" t="s">
        <v>261</v>
      </c>
      <c r="F983" s="12">
        <v>4</v>
      </c>
      <c r="G983" s="12">
        <v>2760</v>
      </c>
      <c r="H983" s="12">
        <v>14.8</v>
      </c>
      <c r="I983" s="12">
        <v>9406.08</v>
      </c>
      <c r="J983" s="10" t="s">
        <v>51</v>
      </c>
      <c r="K983" s="10" t="s">
        <v>52</v>
      </c>
      <c r="L983" t="str">
        <f>IFERROR(VLOOKUP(D983,Products!A:F,3,0),"")</f>
        <v>Grocery</v>
      </c>
      <c r="M983" t="str">
        <f>IFERROR(VLOOKUP(E983,Sales_Reps!A:E,3,0),"")</f>
        <v>North</v>
      </c>
      <c r="N983" t="str">
        <f>IFERROR(VLOOKUP(C983,Customers!A:F,5,0),"")</f>
        <v>Retail</v>
      </c>
      <c r="O983">
        <f>IFERROR(VLOOKUP(C983,Customers!A:F,3,0),"")</f>
        <v>50</v>
      </c>
      <c r="P983">
        <f>IFERROR(VLOOKUP(D983,Products!A:F,4,0),"")</f>
        <v>1435</v>
      </c>
      <c r="Q983" t="b">
        <f>IFERROR(VLOOKUP(D983,Products!A:F,6,0),"")</f>
        <v>1</v>
      </c>
      <c r="R983">
        <f t="shared" si="45"/>
        <v>0.48007246376811596</v>
      </c>
      <c r="S983">
        <f t="shared" si="46"/>
        <v>2</v>
      </c>
      <c r="T983">
        <f>IF(AND(S983&gt;1,COUNTIF($A$2:A983,A983)=1),1,0)</f>
        <v>0</v>
      </c>
      <c r="U983">
        <f>COUNTIF(Customers!$A$2:$A$301,C983)</f>
        <v>1</v>
      </c>
      <c r="V983">
        <f t="shared" si="47"/>
        <v>0</v>
      </c>
    </row>
    <row r="984" spans="1:22" ht="14.25" customHeight="1" x14ac:dyDescent="0.35">
      <c r="A984" s="10" t="s">
        <v>1429</v>
      </c>
      <c r="B984" s="11">
        <v>45327</v>
      </c>
      <c r="C984" s="10" t="s">
        <v>749</v>
      </c>
      <c r="D984" s="10" t="s">
        <v>223</v>
      </c>
      <c r="E984" s="10" t="s">
        <v>193</v>
      </c>
      <c r="F984" s="12">
        <v>4</v>
      </c>
      <c r="G984" s="12">
        <v>1540</v>
      </c>
      <c r="H984" s="12">
        <v>13.9</v>
      </c>
      <c r="I984" s="12">
        <v>5303.76</v>
      </c>
      <c r="J984" s="10" t="s">
        <v>51</v>
      </c>
      <c r="K984" s="10" t="s">
        <v>52</v>
      </c>
      <c r="L984" t="str">
        <f>IFERROR(VLOOKUP(D984,Products!A:F,3,0),"")</f>
        <v>Beauty</v>
      </c>
      <c r="M984" t="str">
        <f>IFERROR(VLOOKUP(E984,Sales_Reps!A:E,3,0),"")</f>
        <v>West</v>
      </c>
      <c r="N984" t="str">
        <f>IFERROR(VLOOKUP(C984,Customers!A:F,5,0),"")</f>
        <v>Retail</v>
      </c>
      <c r="O984">
        <f>IFERROR(VLOOKUP(C984,Customers!A:F,3,0),"")</f>
        <v>31</v>
      </c>
      <c r="P984">
        <f>IFERROR(VLOOKUP(D984,Products!A:F,4,0),"")</f>
        <v>647</v>
      </c>
      <c r="Q984" t="b">
        <f>IFERROR(VLOOKUP(D984,Products!A:F,6,0),"")</f>
        <v>0</v>
      </c>
      <c r="R984">
        <f t="shared" si="45"/>
        <v>0.57987012987012987</v>
      </c>
      <c r="S984">
        <f t="shared" si="46"/>
        <v>1</v>
      </c>
      <c r="T984">
        <f>IF(AND(S984&gt;1,COUNTIF($A$2:A984,A984)=1),1,0)</f>
        <v>0</v>
      </c>
      <c r="U984">
        <f>COUNTIF(Customers!$A$2:$A$301,C984)</f>
        <v>1</v>
      </c>
      <c r="V984">
        <f t="shared" si="47"/>
        <v>0</v>
      </c>
    </row>
    <row r="985" spans="1:22" ht="14.25" customHeight="1" x14ac:dyDescent="0.35">
      <c r="A985" s="10" t="s">
        <v>1430</v>
      </c>
      <c r="B985" s="11">
        <v>45438</v>
      </c>
      <c r="C985" s="10" t="s">
        <v>743</v>
      </c>
      <c r="D985" s="10" t="s">
        <v>190</v>
      </c>
      <c r="E985" s="10" t="s">
        <v>50</v>
      </c>
      <c r="F985" s="12">
        <v>2</v>
      </c>
      <c r="G985" s="12">
        <v>3730</v>
      </c>
      <c r="H985" s="12">
        <v>15.7</v>
      </c>
      <c r="I985" s="12">
        <v>6288.78</v>
      </c>
      <c r="J985" s="10" t="s">
        <v>104</v>
      </c>
      <c r="K985" s="10" t="s">
        <v>81</v>
      </c>
      <c r="L985" t="str">
        <f>IFERROR(VLOOKUP(D985,Products!A:F,3,0),"")</f>
        <v>Home</v>
      </c>
      <c r="M985" t="str">
        <f>IFERROR(VLOOKUP(E985,Sales_Reps!A:E,3,0),"")</f>
        <v>North</v>
      </c>
      <c r="N985" t="str">
        <f>IFERROR(VLOOKUP(C985,Customers!A:F,5,0),"")</f>
        <v>Retail</v>
      </c>
      <c r="O985">
        <f>IFERROR(VLOOKUP(C985,Customers!A:F,3,0),"")</f>
        <v>27</v>
      </c>
      <c r="P985">
        <f>IFERROR(VLOOKUP(D985,Products!A:F,4,0),"")</f>
        <v>2135</v>
      </c>
      <c r="Q985" t="b">
        <f>IFERROR(VLOOKUP(D985,Products!A:F,6,0),"")</f>
        <v>1</v>
      </c>
      <c r="R985">
        <f t="shared" si="45"/>
        <v>0.42761394101876676</v>
      </c>
      <c r="S985">
        <f t="shared" si="46"/>
        <v>1</v>
      </c>
      <c r="T985">
        <f>IF(AND(S985&gt;1,COUNTIF($A$2:A985,A985)=1),1,0)</f>
        <v>0</v>
      </c>
      <c r="U985">
        <f>COUNTIF(Customers!$A$2:$A$301,C985)</f>
        <v>1</v>
      </c>
      <c r="V985">
        <f t="shared" si="47"/>
        <v>0</v>
      </c>
    </row>
    <row r="986" spans="1:22" ht="14.25" customHeight="1" x14ac:dyDescent="0.35">
      <c r="A986" s="10" t="s">
        <v>1431</v>
      </c>
      <c r="B986" s="11">
        <v>45577</v>
      </c>
      <c r="C986" s="10" t="s">
        <v>799</v>
      </c>
      <c r="D986" s="10" t="s">
        <v>190</v>
      </c>
      <c r="E986" s="10" t="s">
        <v>307</v>
      </c>
      <c r="F986" s="12">
        <v>4</v>
      </c>
      <c r="G986" s="12">
        <v>3730</v>
      </c>
      <c r="H986" s="12">
        <v>2.1</v>
      </c>
      <c r="I986" s="12">
        <v>14606.68</v>
      </c>
      <c r="J986" s="10" t="s">
        <v>51</v>
      </c>
      <c r="K986" s="10" t="s">
        <v>81</v>
      </c>
      <c r="L986" t="str">
        <f>IFERROR(VLOOKUP(D986,Products!A:F,3,0),"")</f>
        <v>Home</v>
      </c>
      <c r="M986" t="str">
        <f>IFERROR(VLOOKUP(E986,Sales_Reps!A:E,3,0),"")</f>
        <v>West</v>
      </c>
      <c r="N986" t="str">
        <f>IFERROR(VLOOKUP(C986,Customers!A:F,5,0),"")</f>
        <v>Retail</v>
      </c>
      <c r="O986">
        <f>IFERROR(VLOOKUP(C986,Customers!A:F,3,0),"")</f>
        <v>52</v>
      </c>
      <c r="P986">
        <f>IFERROR(VLOOKUP(D986,Products!A:F,4,0),"")</f>
        <v>2135</v>
      </c>
      <c r="Q986" t="b">
        <f>IFERROR(VLOOKUP(D986,Products!A:F,6,0),"")</f>
        <v>1</v>
      </c>
      <c r="R986">
        <f t="shared" si="45"/>
        <v>0.42761394101876676</v>
      </c>
      <c r="S986">
        <f t="shared" si="46"/>
        <v>1</v>
      </c>
      <c r="T986">
        <f>IF(AND(S986&gt;1,COUNTIF($A$2:A986,A986)=1),1,0)</f>
        <v>0</v>
      </c>
      <c r="U986">
        <f>COUNTIF(Customers!$A$2:$A$301,C986)</f>
        <v>1</v>
      </c>
      <c r="V986">
        <f t="shared" si="47"/>
        <v>0</v>
      </c>
    </row>
    <row r="987" spans="1:22" ht="14.25" customHeight="1" x14ac:dyDescent="0.35">
      <c r="A987" s="10" t="s">
        <v>1432</v>
      </c>
      <c r="B987" s="11">
        <v>45457</v>
      </c>
      <c r="C987" s="10" t="s">
        <v>523</v>
      </c>
      <c r="D987" s="10" t="s">
        <v>70</v>
      </c>
      <c r="E987" s="10" t="s">
        <v>216</v>
      </c>
      <c r="F987" s="12">
        <v>1</v>
      </c>
      <c r="G987" s="12">
        <v>3160</v>
      </c>
      <c r="H987" s="12">
        <v>29.8</v>
      </c>
      <c r="I987" s="12">
        <v>2218.3200000000002</v>
      </c>
      <c r="J987" s="10" t="s">
        <v>51</v>
      </c>
      <c r="K987" s="10" t="s">
        <v>52</v>
      </c>
      <c r="L987" t="str">
        <f>IFERROR(VLOOKUP(D987,Products!A:F,3,0),"")</f>
        <v>Apparel</v>
      </c>
      <c r="M987" t="str">
        <f>IFERROR(VLOOKUP(E987,Sales_Reps!A:E,3,0),"")</f>
        <v>South</v>
      </c>
      <c r="N987" t="str">
        <f>IFERROR(VLOOKUP(C987,Customers!A:F,5,0),"")</f>
        <v>Retail</v>
      </c>
      <c r="O987">
        <f>IFERROR(VLOOKUP(C987,Customers!A:F,3,0),"")</f>
        <v>62</v>
      </c>
      <c r="P987">
        <f>IFERROR(VLOOKUP(D987,Products!A:F,4,0),"")</f>
        <v>1886</v>
      </c>
      <c r="Q987" t="b">
        <f>IFERROR(VLOOKUP(D987,Products!A:F,6,0),"")</f>
        <v>1</v>
      </c>
      <c r="R987">
        <f t="shared" si="45"/>
        <v>0.4031645569620253</v>
      </c>
      <c r="S987">
        <f t="shared" si="46"/>
        <v>1</v>
      </c>
      <c r="T987">
        <f>IF(AND(S987&gt;1,COUNTIF($A$2:A987,A987)=1),1,0)</f>
        <v>0</v>
      </c>
      <c r="U987">
        <f>COUNTIF(Customers!$A$2:$A$301,C987)</f>
        <v>1</v>
      </c>
      <c r="V987">
        <f t="shared" si="47"/>
        <v>0</v>
      </c>
    </row>
    <row r="988" spans="1:22" ht="14.25" customHeight="1" x14ac:dyDescent="0.35">
      <c r="A988" s="10" t="s">
        <v>1433</v>
      </c>
      <c r="B988" s="11">
        <v>45544</v>
      </c>
      <c r="C988" s="10" t="s">
        <v>579</v>
      </c>
      <c r="D988" s="10" t="s">
        <v>350</v>
      </c>
      <c r="E988" s="10" t="s">
        <v>249</v>
      </c>
      <c r="F988" s="12">
        <v>9</v>
      </c>
      <c r="G988" s="12">
        <v>2290</v>
      </c>
      <c r="H988" s="12">
        <v>8.3000000000000007</v>
      </c>
      <c r="I988" s="12">
        <v>18899.37</v>
      </c>
      <c r="J988" s="10" t="s">
        <v>57</v>
      </c>
      <c r="K988" s="10" t="s">
        <v>76</v>
      </c>
      <c r="L988" t="str">
        <f>IFERROR(VLOOKUP(D988,Products!A:F,3,0),"")</f>
        <v>Beauty</v>
      </c>
      <c r="M988" t="str">
        <f>IFERROR(VLOOKUP(E988,Sales_Reps!A:E,3,0),"")</f>
        <v>East</v>
      </c>
      <c r="N988" t="str">
        <f>IFERROR(VLOOKUP(C988,Customers!A:F,5,0),"")</f>
        <v>Retail</v>
      </c>
      <c r="O988">
        <f>IFERROR(VLOOKUP(C988,Customers!A:F,3,0),"")</f>
        <v>53</v>
      </c>
      <c r="P988">
        <f>IFERROR(VLOOKUP(D988,Products!A:F,4,0),"")</f>
        <v>1219</v>
      </c>
      <c r="Q988" t="b">
        <f>IFERROR(VLOOKUP(D988,Products!A:F,6,0),"")</f>
        <v>1</v>
      </c>
      <c r="R988">
        <f t="shared" si="45"/>
        <v>0.46768558951965067</v>
      </c>
      <c r="S988">
        <f t="shared" si="46"/>
        <v>1</v>
      </c>
      <c r="T988">
        <f>IF(AND(S988&gt;1,COUNTIF($A$2:A988,A988)=1),1,0)</f>
        <v>0</v>
      </c>
      <c r="U988">
        <f>COUNTIF(Customers!$A$2:$A$301,C988)</f>
        <v>1</v>
      </c>
      <c r="V988">
        <f t="shared" si="47"/>
        <v>0</v>
      </c>
    </row>
    <row r="989" spans="1:22" ht="14.25" customHeight="1" x14ac:dyDescent="0.35">
      <c r="A989" s="10" t="s">
        <v>1434</v>
      </c>
      <c r="B989" s="11">
        <v>45632</v>
      </c>
      <c r="C989" s="10" t="s">
        <v>391</v>
      </c>
      <c r="D989" s="10" t="s">
        <v>212</v>
      </c>
      <c r="E989" s="10" t="s">
        <v>216</v>
      </c>
      <c r="F989" s="12">
        <v>2</v>
      </c>
      <c r="G989" s="12">
        <v>3870</v>
      </c>
      <c r="H989" s="12">
        <v>5.2</v>
      </c>
      <c r="I989" s="12">
        <v>7337.52</v>
      </c>
      <c r="J989" s="10" t="s">
        <v>51</v>
      </c>
      <c r="K989" s="10" t="s">
        <v>52</v>
      </c>
      <c r="L989" t="str">
        <f>IFERROR(VLOOKUP(D989,Products!A:F,3,0),"")</f>
        <v>Electronics</v>
      </c>
      <c r="M989" t="str">
        <f>IFERROR(VLOOKUP(E989,Sales_Reps!A:E,3,0),"")</f>
        <v>South</v>
      </c>
      <c r="N989" t="str">
        <f>IFERROR(VLOOKUP(C989,Customers!A:F,5,0),"")</f>
        <v>Corporate</v>
      </c>
      <c r="O989">
        <f>IFERROR(VLOOKUP(C989,Customers!A:F,3,0),"")</f>
        <v>48</v>
      </c>
      <c r="P989">
        <f>IFERROR(VLOOKUP(D989,Products!A:F,4,0),"")</f>
        <v>1559</v>
      </c>
      <c r="Q989" t="b">
        <f>IFERROR(VLOOKUP(D989,Products!A:F,6,0),"")</f>
        <v>1</v>
      </c>
      <c r="R989">
        <f t="shared" si="45"/>
        <v>0.59715762273901807</v>
      </c>
      <c r="S989">
        <f t="shared" si="46"/>
        <v>1</v>
      </c>
      <c r="T989">
        <f>IF(AND(S989&gt;1,COUNTIF($A$2:A989,A989)=1),1,0)</f>
        <v>0</v>
      </c>
      <c r="U989">
        <f>COUNTIF(Customers!$A$2:$A$301,C989)</f>
        <v>1</v>
      </c>
      <c r="V989">
        <f t="shared" si="47"/>
        <v>0</v>
      </c>
    </row>
    <row r="990" spans="1:22" ht="14.25" customHeight="1" x14ac:dyDescent="0.35">
      <c r="A990" s="10" t="s">
        <v>1435</v>
      </c>
      <c r="B990" s="11">
        <v>45465</v>
      </c>
      <c r="C990" s="10" t="s">
        <v>393</v>
      </c>
      <c r="D990" s="10" t="s">
        <v>151</v>
      </c>
      <c r="E990" s="10" t="s">
        <v>50</v>
      </c>
      <c r="F990" s="12">
        <v>5</v>
      </c>
      <c r="G990" s="12">
        <v>3570</v>
      </c>
      <c r="H990" s="12">
        <v>19.899999999999999</v>
      </c>
      <c r="I990" s="12">
        <v>14297.85</v>
      </c>
      <c r="J990" s="10" t="s">
        <v>51</v>
      </c>
      <c r="K990" s="10" t="s">
        <v>81</v>
      </c>
      <c r="L990" t="str">
        <f>IFERROR(VLOOKUP(D990,Products!A:F,3,0),"")</f>
        <v>Electronics</v>
      </c>
      <c r="M990" t="str">
        <f>IFERROR(VLOOKUP(E990,Sales_Reps!A:E,3,0),"")</f>
        <v>North</v>
      </c>
      <c r="N990" t="str">
        <f>IFERROR(VLOOKUP(C990,Customers!A:F,5,0),"")</f>
        <v>Retail</v>
      </c>
      <c r="O990">
        <f>IFERROR(VLOOKUP(C990,Customers!A:F,3,0),"")</f>
        <v>55</v>
      </c>
      <c r="P990">
        <f>IFERROR(VLOOKUP(D990,Products!A:F,4,0),"")</f>
        <v>1665</v>
      </c>
      <c r="Q990" t="b">
        <f>IFERROR(VLOOKUP(D990,Products!A:F,6,0),"")</f>
        <v>1</v>
      </c>
      <c r="R990">
        <f t="shared" si="45"/>
        <v>0.53361344537815125</v>
      </c>
      <c r="S990">
        <f t="shared" si="46"/>
        <v>1</v>
      </c>
      <c r="T990">
        <f>IF(AND(S990&gt;1,COUNTIF($A$2:A990,A990)=1),1,0)</f>
        <v>0</v>
      </c>
      <c r="U990">
        <f>COUNTIF(Customers!$A$2:$A$301,C990)</f>
        <v>1</v>
      </c>
      <c r="V990">
        <f t="shared" si="47"/>
        <v>0</v>
      </c>
    </row>
    <row r="991" spans="1:22" ht="14.25" customHeight="1" x14ac:dyDescent="0.35">
      <c r="A991" s="10" t="s">
        <v>1436</v>
      </c>
      <c r="B991" s="11">
        <v>45342</v>
      </c>
      <c r="C991" s="10" t="s">
        <v>253</v>
      </c>
      <c r="D991" s="10" t="s">
        <v>146</v>
      </c>
      <c r="E991" s="10" t="s">
        <v>179</v>
      </c>
      <c r="F991" s="12">
        <v>5</v>
      </c>
      <c r="G991" s="12">
        <v>1010</v>
      </c>
      <c r="H991" s="12">
        <v>2.2000000000000002</v>
      </c>
      <c r="I991" s="12">
        <v>4938.8999999999996</v>
      </c>
      <c r="J991" s="10" t="s">
        <v>51</v>
      </c>
      <c r="K991" s="10" t="s">
        <v>58</v>
      </c>
      <c r="L991" t="str">
        <f>IFERROR(VLOOKUP(D991,Products!A:F,3,0),"")</f>
        <v>Sports</v>
      </c>
      <c r="M991" t="str">
        <f>IFERROR(VLOOKUP(E991,Sales_Reps!A:E,3,0),"")</f>
        <v>North</v>
      </c>
      <c r="N991" t="str">
        <f>IFERROR(VLOOKUP(C991,Customers!A:F,5,0),"")</f>
        <v>Retail</v>
      </c>
      <c r="O991">
        <f>IFERROR(VLOOKUP(C991,Customers!A:F,3,0),"")</f>
        <v>38</v>
      </c>
      <c r="P991">
        <f>IFERROR(VLOOKUP(D991,Products!A:F,4,0),"")</f>
        <v>516</v>
      </c>
      <c r="Q991" t="b">
        <f>IFERROR(VLOOKUP(D991,Products!A:F,6,0),"")</f>
        <v>1</v>
      </c>
      <c r="R991">
        <f t="shared" si="45"/>
        <v>0.4891089108910891</v>
      </c>
      <c r="S991">
        <f t="shared" si="46"/>
        <v>1</v>
      </c>
      <c r="T991">
        <f>IF(AND(S991&gt;1,COUNTIF($A$2:A991,A991)=1),1,0)</f>
        <v>0</v>
      </c>
      <c r="U991">
        <f>COUNTIF(Customers!$A$2:$A$301,C991)</f>
        <v>1</v>
      </c>
      <c r="V991">
        <f t="shared" si="47"/>
        <v>0</v>
      </c>
    </row>
    <row r="992" spans="1:22" ht="14.25" customHeight="1" x14ac:dyDescent="0.35">
      <c r="A992" s="10" t="s">
        <v>1437</v>
      </c>
      <c r="B992" s="11">
        <v>45309</v>
      </c>
      <c r="C992" s="10" t="s">
        <v>326</v>
      </c>
      <c r="D992" s="10" t="s">
        <v>350</v>
      </c>
      <c r="E992" s="10" t="s">
        <v>103</v>
      </c>
      <c r="F992" s="12">
        <v>10</v>
      </c>
      <c r="G992" s="12">
        <v>2290</v>
      </c>
      <c r="H992" s="12">
        <v>16.8</v>
      </c>
      <c r="I992" s="12">
        <v>19052.8</v>
      </c>
      <c r="J992" s="10" t="s">
        <v>104</v>
      </c>
      <c r="K992" s="10" t="s">
        <v>58</v>
      </c>
      <c r="L992" t="str">
        <f>IFERROR(VLOOKUP(D992,Products!A:F,3,0),"")</f>
        <v>Beauty</v>
      </c>
      <c r="M992" t="str">
        <f>IFERROR(VLOOKUP(E992,Sales_Reps!A:E,3,0),"")</f>
        <v>North</v>
      </c>
      <c r="N992" t="str">
        <f>IFERROR(VLOOKUP(C992,Customers!A:F,5,0),"")</f>
        <v>Corporate</v>
      </c>
      <c r="O992">
        <f>IFERROR(VLOOKUP(C992,Customers!A:F,3,0),"")</f>
        <v>51</v>
      </c>
      <c r="P992">
        <f>IFERROR(VLOOKUP(D992,Products!A:F,4,0),"")</f>
        <v>1219</v>
      </c>
      <c r="Q992" t="b">
        <f>IFERROR(VLOOKUP(D992,Products!A:F,6,0),"")</f>
        <v>1</v>
      </c>
      <c r="R992">
        <f t="shared" si="45"/>
        <v>0.46768558951965067</v>
      </c>
      <c r="S992">
        <f t="shared" si="46"/>
        <v>1</v>
      </c>
      <c r="T992">
        <f>IF(AND(S992&gt;1,COUNTIF($A$2:A992,A992)=1),1,0)</f>
        <v>0</v>
      </c>
      <c r="U992">
        <f>COUNTIF(Customers!$A$2:$A$301,C992)</f>
        <v>1</v>
      </c>
      <c r="V992">
        <f t="shared" si="47"/>
        <v>0</v>
      </c>
    </row>
    <row r="993" spans="1:22" ht="14.25" customHeight="1" x14ac:dyDescent="0.35">
      <c r="A993" s="10" t="s">
        <v>1438</v>
      </c>
      <c r="B993" s="11">
        <v>45493</v>
      </c>
      <c r="C993" s="10" t="s">
        <v>446</v>
      </c>
      <c r="D993" s="10" t="s">
        <v>234</v>
      </c>
      <c r="E993" s="10" t="s">
        <v>85</v>
      </c>
      <c r="F993" s="12">
        <v>3</v>
      </c>
      <c r="G993" s="12">
        <v>4610</v>
      </c>
      <c r="H993" s="12">
        <v>13.2</v>
      </c>
      <c r="I993" s="12">
        <v>12004.44</v>
      </c>
      <c r="J993" s="10" t="s">
        <v>57</v>
      </c>
      <c r="K993" s="10" t="s">
        <v>97</v>
      </c>
      <c r="L993" t="str">
        <f>IFERROR(VLOOKUP(D993,Products!A:F,3,0),"")</f>
        <v>Home</v>
      </c>
      <c r="M993" t="str">
        <f>IFERROR(VLOOKUP(E993,Sales_Reps!A:E,3,0),"")</f>
        <v>East</v>
      </c>
      <c r="N993" t="str">
        <f>IFERROR(VLOOKUP(C993,Customers!A:F,5,0),"")</f>
        <v>Corporate</v>
      </c>
      <c r="O993">
        <f>IFERROR(VLOOKUP(C993,Customers!A:F,3,0),"")</f>
        <v>52</v>
      </c>
      <c r="P993">
        <f>IFERROR(VLOOKUP(D993,Products!A:F,4,0),"")</f>
        <v>1850</v>
      </c>
      <c r="Q993" t="b">
        <f>IFERROR(VLOOKUP(D993,Products!A:F,6,0),"")</f>
        <v>1</v>
      </c>
      <c r="R993">
        <f t="shared" si="45"/>
        <v>0.59869848156182215</v>
      </c>
      <c r="S993">
        <f t="shared" si="46"/>
        <v>1</v>
      </c>
      <c r="T993">
        <f>IF(AND(S993&gt;1,COUNTIF($A$2:A993,A993)=1),1,0)</f>
        <v>0</v>
      </c>
      <c r="U993">
        <f>COUNTIF(Customers!$A$2:$A$301,C993)</f>
        <v>1</v>
      </c>
      <c r="V993">
        <f t="shared" si="47"/>
        <v>0</v>
      </c>
    </row>
    <row r="994" spans="1:22" ht="14.25" customHeight="1" x14ac:dyDescent="0.35">
      <c r="A994" s="10" t="s">
        <v>1439</v>
      </c>
      <c r="B994" s="11">
        <v>45356</v>
      </c>
      <c r="C994" s="10" t="s">
        <v>424</v>
      </c>
      <c r="D994" s="10" t="s">
        <v>319</v>
      </c>
      <c r="E994" s="10" t="s">
        <v>112</v>
      </c>
      <c r="F994" s="12">
        <v>1</v>
      </c>
      <c r="G994" s="12">
        <v>2510</v>
      </c>
      <c r="H994" s="12">
        <v>16.899999999999999</v>
      </c>
      <c r="I994" s="12">
        <v>2085.81</v>
      </c>
      <c r="J994" s="10" t="s">
        <v>51</v>
      </c>
      <c r="K994" s="10" t="s">
        <v>52</v>
      </c>
      <c r="L994" t="str">
        <f>IFERROR(VLOOKUP(D994,Products!A:F,3,0),"")</f>
        <v>Apparel</v>
      </c>
      <c r="M994" t="str">
        <f>IFERROR(VLOOKUP(E994,Sales_Reps!A:E,3,0),"")</f>
        <v>North</v>
      </c>
      <c r="N994" t="str">
        <f>IFERROR(VLOOKUP(C994,Customers!A:F,5,0),"")</f>
        <v>Corporate</v>
      </c>
      <c r="O994">
        <f>IFERROR(VLOOKUP(C994,Customers!A:F,3,0),"")</f>
        <v>37</v>
      </c>
      <c r="P994">
        <f>IFERROR(VLOOKUP(D994,Products!A:F,4,0),"")</f>
        <v>1075</v>
      </c>
      <c r="Q994" t="b">
        <f>IFERROR(VLOOKUP(D994,Products!A:F,6,0),"")</f>
        <v>0</v>
      </c>
      <c r="R994">
        <f t="shared" si="45"/>
        <v>0.57171314741035861</v>
      </c>
      <c r="S994">
        <f t="shared" si="46"/>
        <v>1</v>
      </c>
      <c r="T994">
        <f>IF(AND(S994&gt;1,COUNTIF($A$2:A994,A994)=1),1,0)</f>
        <v>0</v>
      </c>
      <c r="U994">
        <f>COUNTIF(Customers!$A$2:$A$301,C994)</f>
        <v>1</v>
      </c>
      <c r="V994">
        <f t="shared" si="47"/>
        <v>0</v>
      </c>
    </row>
    <row r="995" spans="1:22" ht="14.25" customHeight="1" x14ac:dyDescent="0.35">
      <c r="A995" s="10" t="s">
        <v>1440</v>
      </c>
      <c r="B995" s="11">
        <v>45367</v>
      </c>
      <c r="C995" s="10" t="s">
        <v>607</v>
      </c>
      <c r="D995" s="10" t="s">
        <v>240</v>
      </c>
      <c r="E995" s="10" t="s">
        <v>168</v>
      </c>
      <c r="F995" s="12">
        <v>1</v>
      </c>
      <c r="G995" s="12">
        <v>3020</v>
      </c>
      <c r="H995" s="12">
        <v>26.7</v>
      </c>
      <c r="I995" s="12">
        <v>2213.66</v>
      </c>
      <c r="J995" s="10" t="s">
        <v>51</v>
      </c>
      <c r="K995" s="10" t="s">
        <v>76</v>
      </c>
      <c r="L995" t="str">
        <f>IFERROR(VLOOKUP(D995,Products!A:F,3,0),"")</f>
        <v>Beauty</v>
      </c>
      <c r="M995" t="str">
        <f>IFERROR(VLOOKUP(E995,Sales_Reps!A:E,3,0),"")</f>
        <v>South</v>
      </c>
      <c r="N995" t="str">
        <f>IFERROR(VLOOKUP(C995,Customers!A:F,5,0),"")</f>
        <v>SMB</v>
      </c>
      <c r="O995">
        <f>IFERROR(VLOOKUP(C995,Customers!A:F,3,0),"")</f>
        <v>27</v>
      </c>
      <c r="P995">
        <f>IFERROR(VLOOKUP(D995,Products!A:F,4,0),"")</f>
        <v>1626</v>
      </c>
      <c r="Q995" t="b">
        <f>IFERROR(VLOOKUP(D995,Products!A:F,6,0),"")</f>
        <v>1</v>
      </c>
      <c r="R995">
        <f t="shared" si="45"/>
        <v>0.46158940397350995</v>
      </c>
      <c r="S995">
        <f t="shared" si="46"/>
        <v>1</v>
      </c>
      <c r="T995">
        <f>IF(AND(S995&gt;1,COUNTIF($A$2:A995,A995)=1),1,0)</f>
        <v>0</v>
      </c>
      <c r="U995">
        <f>COUNTIF(Customers!$A$2:$A$301,C995)</f>
        <v>1</v>
      </c>
      <c r="V995">
        <f t="shared" si="47"/>
        <v>0</v>
      </c>
    </row>
    <row r="996" spans="1:22" ht="14.25" customHeight="1" x14ac:dyDescent="0.35">
      <c r="A996" s="10" t="s">
        <v>1441</v>
      </c>
      <c r="B996" s="11">
        <v>45313</v>
      </c>
      <c r="C996" s="10" t="s">
        <v>523</v>
      </c>
      <c r="D996" s="10" t="s">
        <v>111</v>
      </c>
      <c r="E996" s="10" t="s">
        <v>289</v>
      </c>
      <c r="F996" s="12">
        <v>6</v>
      </c>
      <c r="G996" s="12">
        <v>190</v>
      </c>
      <c r="H996" s="12">
        <v>7.1</v>
      </c>
      <c r="I996" s="12">
        <v>1059.06</v>
      </c>
      <c r="J996" s="10" t="s">
        <v>51</v>
      </c>
      <c r="K996" s="10" t="s">
        <v>52</v>
      </c>
      <c r="L996" t="str">
        <f>IFERROR(VLOOKUP(D996,Products!A:F,3,0),"")</f>
        <v>Sports</v>
      </c>
      <c r="M996" t="str">
        <f>IFERROR(VLOOKUP(E996,Sales_Reps!A:E,3,0),"")</f>
        <v>South</v>
      </c>
      <c r="N996" t="str">
        <f>IFERROR(VLOOKUP(C996,Customers!A:F,5,0),"")</f>
        <v>Retail</v>
      </c>
      <c r="O996">
        <f>IFERROR(VLOOKUP(C996,Customers!A:F,3,0),"")</f>
        <v>62</v>
      </c>
      <c r="P996">
        <f>IFERROR(VLOOKUP(D996,Products!A:F,4,0),"")</f>
        <v>147</v>
      </c>
      <c r="Q996" t="b">
        <f>IFERROR(VLOOKUP(D996,Products!A:F,6,0),"")</f>
        <v>1</v>
      </c>
      <c r="R996">
        <f t="shared" si="45"/>
        <v>0.22631578947368422</v>
      </c>
      <c r="S996">
        <f t="shared" si="46"/>
        <v>1</v>
      </c>
      <c r="T996">
        <f>IF(AND(S996&gt;1,COUNTIF($A$2:A996,A996)=1),1,0)</f>
        <v>0</v>
      </c>
      <c r="U996">
        <f>COUNTIF(Customers!$A$2:$A$301,C996)</f>
        <v>1</v>
      </c>
      <c r="V996">
        <f t="shared" si="47"/>
        <v>0</v>
      </c>
    </row>
    <row r="997" spans="1:22" ht="14.25" customHeight="1" x14ac:dyDescent="0.35">
      <c r="A997" s="10" t="s">
        <v>1442</v>
      </c>
      <c r="B997" s="11">
        <v>45529</v>
      </c>
      <c r="C997" s="10" t="s">
        <v>1155</v>
      </c>
      <c r="D997" s="10" t="s">
        <v>259</v>
      </c>
      <c r="E997" s="10" t="s">
        <v>261</v>
      </c>
      <c r="F997" s="12">
        <v>6</v>
      </c>
      <c r="G997" s="12">
        <v>2030</v>
      </c>
      <c r="H997" s="12">
        <v>13.5</v>
      </c>
      <c r="I997" s="12">
        <v>10535.7</v>
      </c>
      <c r="J997" s="10" t="s">
        <v>104</v>
      </c>
      <c r="K997" s="10" t="s">
        <v>81</v>
      </c>
      <c r="L997" t="str">
        <f>IFERROR(VLOOKUP(D997,Products!A:F,3,0),"")</f>
        <v>Home</v>
      </c>
      <c r="M997" t="str">
        <f>IFERROR(VLOOKUP(E997,Sales_Reps!A:E,3,0),"")</f>
        <v>North</v>
      </c>
      <c r="N997" t="str">
        <f>IFERROR(VLOOKUP(C997,Customers!A:F,5,0),"")</f>
        <v>Retail</v>
      </c>
      <c r="O997">
        <f>IFERROR(VLOOKUP(C997,Customers!A:F,3,0),"")</f>
        <v>36</v>
      </c>
      <c r="P997">
        <f>IFERROR(VLOOKUP(D997,Products!A:F,4,0),"")</f>
        <v>1143</v>
      </c>
      <c r="Q997" t="b">
        <f>IFERROR(VLOOKUP(D997,Products!A:F,6,0),"")</f>
        <v>1</v>
      </c>
      <c r="R997">
        <f t="shared" si="45"/>
        <v>0.43694581280788175</v>
      </c>
      <c r="S997">
        <f t="shared" si="46"/>
        <v>1</v>
      </c>
      <c r="T997">
        <f>IF(AND(S997&gt;1,COUNTIF($A$2:A997,A997)=1),1,0)</f>
        <v>0</v>
      </c>
      <c r="U997">
        <f>COUNTIF(Customers!$A$2:$A$301,C997)</f>
        <v>1</v>
      </c>
      <c r="V997">
        <f t="shared" si="47"/>
        <v>0</v>
      </c>
    </row>
    <row r="998" spans="1:22" ht="14.25" customHeight="1" x14ac:dyDescent="0.35">
      <c r="A998" s="10" t="s">
        <v>1443</v>
      </c>
      <c r="B998" s="11">
        <v>45547</v>
      </c>
      <c r="C998" s="10" t="s">
        <v>792</v>
      </c>
      <c r="D998" s="10" t="s">
        <v>107</v>
      </c>
      <c r="E998" s="10" t="s">
        <v>289</v>
      </c>
      <c r="F998" s="12">
        <v>10</v>
      </c>
      <c r="G998" s="12">
        <v>3250</v>
      </c>
      <c r="H998" s="12">
        <v>8.6999999999999993</v>
      </c>
      <c r="I998" s="12">
        <v>29672.5</v>
      </c>
      <c r="J998" s="10" t="s">
        <v>51</v>
      </c>
      <c r="K998" s="10" t="s">
        <v>97</v>
      </c>
      <c r="L998" t="str">
        <f>IFERROR(VLOOKUP(D998,Products!A:F,3,0),"")</f>
        <v>Home</v>
      </c>
      <c r="M998" t="str">
        <f>IFERROR(VLOOKUP(E998,Sales_Reps!A:E,3,0),"")</f>
        <v>South</v>
      </c>
      <c r="N998" t="str">
        <f>IFERROR(VLOOKUP(C998,Customers!A:F,5,0),"")</f>
        <v>Retail</v>
      </c>
      <c r="O998">
        <f>IFERROR(VLOOKUP(C998,Customers!A:F,3,0),"")</f>
        <v>52</v>
      </c>
      <c r="P998">
        <f>IFERROR(VLOOKUP(D998,Products!A:F,4,0),"")</f>
        <v>1556</v>
      </c>
      <c r="Q998" t="b">
        <f>IFERROR(VLOOKUP(D998,Products!A:F,6,0),"")</f>
        <v>1</v>
      </c>
      <c r="R998">
        <f t="shared" si="45"/>
        <v>0.52123076923076928</v>
      </c>
      <c r="S998">
        <f t="shared" si="46"/>
        <v>1</v>
      </c>
      <c r="T998">
        <f>IF(AND(S998&gt;1,COUNTIF($A$2:A998,A998)=1),1,0)</f>
        <v>0</v>
      </c>
      <c r="U998">
        <f>COUNTIF(Customers!$A$2:$A$301,C998)</f>
        <v>1</v>
      </c>
      <c r="V998">
        <f t="shared" si="47"/>
        <v>0</v>
      </c>
    </row>
    <row r="999" spans="1:22" ht="14.25" customHeight="1" x14ac:dyDescent="0.35">
      <c r="A999" s="10" t="s">
        <v>1444</v>
      </c>
      <c r="B999" s="11">
        <v>45299</v>
      </c>
      <c r="C999" s="10" t="s">
        <v>406</v>
      </c>
      <c r="D999" s="10" t="s">
        <v>259</v>
      </c>
      <c r="E999" s="10" t="s">
        <v>193</v>
      </c>
      <c r="F999" s="12">
        <v>9</v>
      </c>
      <c r="G999" s="12">
        <v>2030</v>
      </c>
      <c r="H999" s="12">
        <v>29.3</v>
      </c>
      <c r="I999" s="12">
        <v>12916.89</v>
      </c>
      <c r="J999" s="10" t="s">
        <v>51</v>
      </c>
      <c r="K999" s="10" t="s">
        <v>52</v>
      </c>
      <c r="L999" t="str">
        <f>IFERROR(VLOOKUP(D999,Products!A:F,3,0),"")</f>
        <v>Home</v>
      </c>
      <c r="M999" t="str">
        <f>IFERROR(VLOOKUP(E999,Sales_Reps!A:E,3,0),"")</f>
        <v>West</v>
      </c>
      <c r="N999" t="str">
        <f>IFERROR(VLOOKUP(C999,Customers!A:F,5,0),"")</f>
        <v>Retail</v>
      </c>
      <c r="O999">
        <f>IFERROR(VLOOKUP(C999,Customers!A:F,3,0),"")</f>
        <v>65</v>
      </c>
      <c r="P999">
        <f>IFERROR(VLOOKUP(D999,Products!A:F,4,0),"")</f>
        <v>1143</v>
      </c>
      <c r="Q999" t="b">
        <f>IFERROR(VLOOKUP(D999,Products!A:F,6,0),"")</f>
        <v>1</v>
      </c>
      <c r="R999">
        <f t="shared" si="45"/>
        <v>0.43694581280788175</v>
      </c>
      <c r="S999">
        <f t="shared" si="46"/>
        <v>1</v>
      </c>
      <c r="T999">
        <f>IF(AND(S999&gt;1,COUNTIF($A$2:A999,A999)=1),1,0)</f>
        <v>0</v>
      </c>
      <c r="U999">
        <f>COUNTIF(Customers!$A$2:$A$301,C999)</f>
        <v>1</v>
      </c>
      <c r="V999">
        <f t="shared" si="47"/>
        <v>0</v>
      </c>
    </row>
    <row r="1000" spans="1:22" ht="14.25" customHeight="1" x14ac:dyDescent="0.35">
      <c r="A1000" s="10" t="s">
        <v>1445</v>
      </c>
      <c r="B1000" s="11">
        <v>45380</v>
      </c>
      <c r="C1000" s="10" t="s">
        <v>991</v>
      </c>
      <c r="D1000" s="10" t="s">
        <v>331</v>
      </c>
      <c r="E1000" s="10" t="s">
        <v>75</v>
      </c>
      <c r="F1000" s="12">
        <v>1</v>
      </c>
      <c r="G1000" s="12">
        <v>2380</v>
      </c>
      <c r="H1000" s="12">
        <v>12.9</v>
      </c>
      <c r="I1000" s="12">
        <v>2072.98</v>
      </c>
      <c r="J1000" s="10" t="s">
        <v>51</v>
      </c>
      <c r="K1000" s="10" t="s">
        <v>76</v>
      </c>
      <c r="L1000" t="str">
        <f>IFERROR(VLOOKUP(D1000,Products!A:F,3,0),"")</f>
        <v>Grocery</v>
      </c>
      <c r="M1000" t="str">
        <f>IFERROR(VLOOKUP(E1000,Sales_Reps!A:E,3,0),"")</f>
        <v>West</v>
      </c>
      <c r="N1000" t="str">
        <f>IFERROR(VLOOKUP(C1000,Customers!A:F,5,0),"")</f>
        <v>SMB</v>
      </c>
      <c r="O1000">
        <f>IFERROR(VLOOKUP(C1000,Customers!A:F,3,0),"")</f>
        <v>47</v>
      </c>
      <c r="P1000">
        <f>IFERROR(VLOOKUP(D1000,Products!A:F,4,0),"")</f>
        <v>1182</v>
      </c>
      <c r="Q1000" t="b">
        <f>IFERROR(VLOOKUP(D1000,Products!A:F,6,0),"")</f>
        <v>1</v>
      </c>
      <c r="R1000">
        <f t="shared" si="45"/>
        <v>0.50336134453781511</v>
      </c>
      <c r="S1000">
        <f t="shared" si="46"/>
        <v>1</v>
      </c>
      <c r="T1000">
        <f>IF(AND(S1000&gt;1,COUNTIF($A$2:A1000,A1000)=1),1,0)</f>
        <v>0</v>
      </c>
      <c r="U1000">
        <f>COUNTIF(Customers!$A$2:$A$301,C1000)</f>
        <v>1</v>
      </c>
      <c r="V1000">
        <f t="shared" si="47"/>
        <v>0</v>
      </c>
    </row>
    <row r="1001" spans="1:22" ht="14.25" customHeight="1" x14ac:dyDescent="0.35">
      <c r="A1001" s="10" t="s">
        <v>1446</v>
      </c>
      <c r="B1001" s="11">
        <v>45521</v>
      </c>
      <c r="C1001" s="10" t="s">
        <v>503</v>
      </c>
      <c r="D1001" s="10" t="s">
        <v>416</v>
      </c>
      <c r="E1001" s="10" t="s">
        <v>80</v>
      </c>
      <c r="F1001" s="12">
        <v>10</v>
      </c>
      <c r="G1001" s="12">
        <v>3450</v>
      </c>
      <c r="H1001" s="12">
        <v>18.5</v>
      </c>
      <c r="I1001" s="12">
        <v>28117.5</v>
      </c>
      <c r="J1001" s="10" t="s">
        <v>51</v>
      </c>
      <c r="K1001" s="10" t="s">
        <v>97</v>
      </c>
      <c r="L1001" t="str">
        <f>IFERROR(VLOOKUP(D1001,Products!A:F,3,0),"")</f>
        <v>Apparel</v>
      </c>
      <c r="M1001" t="str">
        <f>IFERROR(VLOOKUP(E1001,Sales_Reps!A:E,3,0),"")</f>
        <v>West</v>
      </c>
      <c r="N1001" t="str">
        <f>IFERROR(VLOOKUP(C1001,Customers!A:F,5,0),"")</f>
        <v>Retail</v>
      </c>
      <c r="O1001">
        <f>IFERROR(VLOOKUP(C1001,Customers!A:F,3,0),"")</f>
        <v>38</v>
      </c>
      <c r="P1001">
        <f>IFERROR(VLOOKUP(D1001,Products!A:F,4,0),"")</f>
        <v>1748</v>
      </c>
      <c r="Q1001" t="b">
        <f>IFERROR(VLOOKUP(D1001,Products!A:F,6,0),"")</f>
        <v>1</v>
      </c>
      <c r="R1001">
        <f t="shared" si="45"/>
        <v>0.49333333333333335</v>
      </c>
      <c r="S1001">
        <f t="shared" si="46"/>
        <v>1</v>
      </c>
      <c r="T1001">
        <f>IF(AND(S1001&gt;1,COUNTIF($A$2:A1001,A1001)=1),1,0)</f>
        <v>0</v>
      </c>
      <c r="U1001">
        <f>COUNTIF(Customers!$A$2:$A$301,C1001)</f>
        <v>1</v>
      </c>
      <c r="V1001">
        <f t="shared" si="47"/>
        <v>0</v>
      </c>
    </row>
    <row r="1002" spans="1:22" ht="14.25" customHeight="1" x14ac:dyDescent="0.35">
      <c r="A1002" s="10" t="s">
        <v>1447</v>
      </c>
      <c r="B1002" s="11">
        <v>45500</v>
      </c>
      <c r="C1002" s="10" t="s">
        <v>242</v>
      </c>
      <c r="D1002" s="10" t="s">
        <v>70</v>
      </c>
      <c r="E1002" s="10" t="s">
        <v>261</v>
      </c>
      <c r="F1002" s="12">
        <v>10</v>
      </c>
      <c r="G1002" s="12">
        <v>3160</v>
      </c>
      <c r="H1002" s="12">
        <v>26.3</v>
      </c>
      <c r="I1002" s="12">
        <v>23289.200000000001</v>
      </c>
      <c r="J1002" s="10" t="s">
        <v>51</v>
      </c>
      <c r="K1002" s="10" t="s">
        <v>97</v>
      </c>
      <c r="L1002" t="str">
        <f>IFERROR(VLOOKUP(D1002,Products!A:F,3,0),"")</f>
        <v>Apparel</v>
      </c>
      <c r="M1002" t="str">
        <f>IFERROR(VLOOKUP(E1002,Sales_Reps!A:E,3,0),"")</f>
        <v>North</v>
      </c>
      <c r="N1002" t="str">
        <f>IFERROR(VLOOKUP(C1002,Customers!A:F,5,0),"")</f>
        <v>Corporate</v>
      </c>
      <c r="O1002">
        <f>IFERROR(VLOOKUP(C1002,Customers!A:F,3,0),"")</f>
        <v>29</v>
      </c>
      <c r="P1002">
        <f>IFERROR(VLOOKUP(D1002,Products!A:F,4,0),"")</f>
        <v>1886</v>
      </c>
      <c r="Q1002" t="b">
        <f>IFERROR(VLOOKUP(D1002,Products!A:F,6,0),"")</f>
        <v>1</v>
      </c>
      <c r="R1002">
        <f t="shared" si="45"/>
        <v>0.4031645569620253</v>
      </c>
      <c r="S1002">
        <f t="shared" si="46"/>
        <v>1</v>
      </c>
      <c r="T1002">
        <f>IF(AND(S1002&gt;1,COUNTIF($A$2:A1002,A1002)=1),1,0)</f>
        <v>0</v>
      </c>
      <c r="U1002">
        <f>COUNTIF(Customers!$A$2:$A$301,C1002)</f>
        <v>1</v>
      </c>
      <c r="V1002">
        <f t="shared" si="47"/>
        <v>0</v>
      </c>
    </row>
    <row r="1003" spans="1:22" ht="14.25" customHeight="1" x14ac:dyDescent="0.35">
      <c r="A1003" s="10" t="s">
        <v>1448</v>
      </c>
      <c r="B1003" s="11">
        <v>45531</v>
      </c>
      <c r="C1003" s="10" t="s">
        <v>317</v>
      </c>
      <c r="D1003" s="10" t="s">
        <v>88</v>
      </c>
      <c r="E1003" s="10" t="s">
        <v>165</v>
      </c>
      <c r="F1003" s="12">
        <v>10</v>
      </c>
      <c r="G1003" s="12">
        <v>5490</v>
      </c>
      <c r="H1003" s="12">
        <v>22.7</v>
      </c>
      <c r="I1003" s="12">
        <v>42437.7</v>
      </c>
      <c r="J1003" s="10" t="s">
        <v>51</v>
      </c>
      <c r="K1003" s="10" t="s">
        <v>58</v>
      </c>
      <c r="L1003" t="str">
        <f>IFERROR(VLOOKUP(D1003,Products!A:F,3,0),"")</f>
        <v>Home</v>
      </c>
      <c r="M1003" t="str">
        <f>IFERROR(VLOOKUP(E1003,Sales_Reps!A:E,3,0),"")</f>
        <v>West</v>
      </c>
      <c r="N1003" t="str">
        <f>IFERROR(VLOOKUP(C1003,Customers!A:F,5,0),"")</f>
        <v>Retail</v>
      </c>
      <c r="O1003">
        <f>IFERROR(VLOOKUP(C1003,Customers!A:F,3,0),"")</f>
        <v>60</v>
      </c>
      <c r="P1003">
        <f>IFERROR(VLOOKUP(D1003,Products!A:F,4,0),"")</f>
        <v>2549</v>
      </c>
      <c r="Q1003" t="b">
        <f>IFERROR(VLOOKUP(D1003,Products!A:F,6,0),"")</f>
        <v>1</v>
      </c>
      <c r="R1003">
        <f t="shared" si="45"/>
        <v>0.53570127504553733</v>
      </c>
      <c r="S1003">
        <f t="shared" si="46"/>
        <v>1</v>
      </c>
      <c r="T1003">
        <f>IF(AND(S1003&gt;1,COUNTIF($A$2:A1003,A1003)=1),1,0)</f>
        <v>0</v>
      </c>
      <c r="U1003">
        <f>COUNTIF(Customers!$A$2:$A$301,C1003)</f>
        <v>1</v>
      </c>
      <c r="V1003">
        <f t="shared" si="47"/>
        <v>0</v>
      </c>
    </row>
    <row r="1004" spans="1:22" ht="14.25" customHeight="1" x14ac:dyDescent="0.35">
      <c r="A1004" s="10" t="s">
        <v>1449</v>
      </c>
      <c r="B1004" s="11">
        <v>45563</v>
      </c>
      <c r="C1004" s="10" t="s">
        <v>664</v>
      </c>
      <c r="D1004" s="10" t="s">
        <v>159</v>
      </c>
      <c r="E1004" s="10" t="s">
        <v>67</v>
      </c>
      <c r="F1004" s="12">
        <v>8</v>
      </c>
      <c r="G1004" s="12">
        <v>2860</v>
      </c>
      <c r="H1004" s="12">
        <v>14.3</v>
      </c>
      <c r="I1004" s="12">
        <v>19608.16</v>
      </c>
      <c r="J1004" s="10" t="s">
        <v>51</v>
      </c>
      <c r="K1004" s="10" t="s">
        <v>58</v>
      </c>
      <c r="L1004" t="str">
        <f>IFERROR(VLOOKUP(D1004,Products!A:F,3,0),"")</f>
        <v>Sports</v>
      </c>
      <c r="M1004" t="str">
        <f>IFERROR(VLOOKUP(E1004,Sales_Reps!A:E,3,0),"")</f>
        <v>North</v>
      </c>
      <c r="N1004" t="str">
        <f>IFERROR(VLOOKUP(C1004,Customers!A:F,5,0),"")</f>
        <v>SMB</v>
      </c>
      <c r="O1004">
        <f>IFERROR(VLOOKUP(C1004,Customers!A:F,3,0),"")</f>
        <v>46</v>
      </c>
      <c r="P1004">
        <f>IFERROR(VLOOKUP(D1004,Products!A:F,4,0),"")</f>
        <v>2028</v>
      </c>
      <c r="Q1004" t="b">
        <f>IFERROR(VLOOKUP(D1004,Products!A:F,6,0),"")</f>
        <v>1</v>
      </c>
      <c r="R1004">
        <f t="shared" si="45"/>
        <v>0.29090909090909089</v>
      </c>
      <c r="S1004">
        <f t="shared" si="46"/>
        <v>1</v>
      </c>
      <c r="T1004">
        <f>IF(AND(S1004&gt;1,COUNTIF($A$2:A1004,A1004)=1),1,0)</f>
        <v>0</v>
      </c>
      <c r="U1004">
        <f>COUNTIF(Customers!$A$2:$A$301,C1004)</f>
        <v>1</v>
      </c>
      <c r="V1004">
        <f t="shared" si="47"/>
        <v>0</v>
      </c>
    </row>
    <row r="1005" spans="1:22" ht="14.25" customHeight="1" x14ac:dyDescent="0.35">
      <c r="A1005" s="10" t="s">
        <v>1450</v>
      </c>
      <c r="B1005" s="11">
        <v>45416</v>
      </c>
      <c r="C1005" s="10" t="s">
        <v>211</v>
      </c>
      <c r="D1005" s="10" t="s">
        <v>344</v>
      </c>
      <c r="E1005" s="10" t="s">
        <v>237</v>
      </c>
      <c r="F1005" s="12">
        <v>1</v>
      </c>
      <c r="G1005" s="12">
        <v>960</v>
      </c>
      <c r="H1005" s="12">
        <v>11.9</v>
      </c>
      <c r="I1005" s="12">
        <v>845.76</v>
      </c>
      <c r="J1005" s="10" t="s">
        <v>51</v>
      </c>
      <c r="K1005" s="10" t="s">
        <v>81</v>
      </c>
      <c r="L1005" t="str">
        <f>IFERROR(VLOOKUP(D1005,Products!A:F,3,0),"")</f>
        <v>Beauty</v>
      </c>
      <c r="M1005" t="str">
        <f>IFERROR(VLOOKUP(E1005,Sales_Reps!A:E,3,0),"")</f>
        <v>South</v>
      </c>
      <c r="N1005" t="str">
        <f>IFERROR(VLOOKUP(C1005,Customers!A:F,5,0),"")</f>
        <v>Retail</v>
      </c>
      <c r="O1005">
        <f>IFERROR(VLOOKUP(C1005,Customers!A:F,3,0),"")</f>
        <v>34</v>
      </c>
      <c r="P1005">
        <f>IFERROR(VLOOKUP(D1005,Products!A:F,4,0),"")</f>
        <v>675</v>
      </c>
      <c r="Q1005" t="b">
        <f>IFERROR(VLOOKUP(D1005,Products!A:F,6,0),"")</f>
        <v>1</v>
      </c>
      <c r="R1005">
        <f t="shared" si="45"/>
        <v>0.296875</v>
      </c>
      <c r="S1005">
        <f t="shared" si="46"/>
        <v>1</v>
      </c>
      <c r="T1005">
        <f>IF(AND(S1005&gt;1,COUNTIF($A$2:A1005,A1005)=1),1,0)</f>
        <v>0</v>
      </c>
      <c r="U1005">
        <f>COUNTIF(Customers!$A$2:$A$301,C1005)</f>
        <v>1</v>
      </c>
      <c r="V1005">
        <f t="shared" si="47"/>
        <v>0</v>
      </c>
    </row>
    <row r="1006" spans="1:22" ht="14.25" customHeight="1" x14ac:dyDescent="0.35">
      <c r="A1006" s="10" t="s">
        <v>1451</v>
      </c>
      <c r="B1006" s="11">
        <v>45430</v>
      </c>
      <c r="C1006" s="10" t="s">
        <v>716</v>
      </c>
      <c r="D1006" s="10" t="s">
        <v>128</v>
      </c>
      <c r="E1006" s="10" t="s">
        <v>50</v>
      </c>
      <c r="F1006" s="12">
        <v>3</v>
      </c>
      <c r="G1006" s="12">
        <v>1080</v>
      </c>
      <c r="H1006" s="12">
        <v>26</v>
      </c>
      <c r="I1006" s="12">
        <v>2397.6</v>
      </c>
      <c r="J1006" s="10" t="s">
        <v>51</v>
      </c>
      <c r="K1006" s="10" t="s">
        <v>81</v>
      </c>
      <c r="L1006" t="str">
        <f>IFERROR(VLOOKUP(D1006,Products!A:F,3,0),"")</f>
        <v>Home</v>
      </c>
      <c r="M1006" t="str">
        <f>IFERROR(VLOOKUP(E1006,Sales_Reps!A:E,3,0),"")</f>
        <v>North</v>
      </c>
      <c r="N1006" t="str">
        <f>IFERROR(VLOOKUP(C1006,Customers!A:F,5,0),"")</f>
        <v>Retail</v>
      </c>
      <c r="O1006">
        <f>IFERROR(VLOOKUP(C1006,Customers!A:F,3,0),"")</f>
        <v>32</v>
      </c>
      <c r="P1006">
        <f>IFERROR(VLOOKUP(D1006,Products!A:F,4,0),"")</f>
        <v>519</v>
      </c>
      <c r="Q1006" t="b">
        <f>IFERROR(VLOOKUP(D1006,Products!A:F,6,0),"")</f>
        <v>1</v>
      </c>
      <c r="R1006">
        <f t="shared" si="45"/>
        <v>0.51944444444444449</v>
      </c>
      <c r="S1006">
        <f t="shared" si="46"/>
        <v>1</v>
      </c>
      <c r="T1006">
        <f>IF(AND(S1006&gt;1,COUNTIF($A$2:A1006,A1006)=1),1,0)</f>
        <v>0</v>
      </c>
      <c r="U1006">
        <f>COUNTIF(Customers!$A$2:$A$301,C1006)</f>
        <v>1</v>
      </c>
      <c r="V1006">
        <f t="shared" si="47"/>
        <v>0</v>
      </c>
    </row>
    <row r="1007" spans="1:22" ht="14.25" customHeight="1" x14ac:dyDescent="0.35">
      <c r="A1007" s="10" t="s">
        <v>1452</v>
      </c>
      <c r="B1007" s="11">
        <v>45585</v>
      </c>
      <c r="C1007" s="10" t="s">
        <v>354</v>
      </c>
      <c r="D1007" s="10" t="s">
        <v>159</v>
      </c>
      <c r="E1007" s="10" t="s">
        <v>179</v>
      </c>
      <c r="F1007" s="12">
        <v>10</v>
      </c>
      <c r="G1007" s="12">
        <v>2860</v>
      </c>
      <c r="H1007" s="12">
        <v>13.1</v>
      </c>
      <c r="I1007" s="12">
        <v>24853.4</v>
      </c>
      <c r="J1007" s="10" t="s">
        <v>108</v>
      </c>
      <c r="K1007" s="10" t="s">
        <v>52</v>
      </c>
      <c r="L1007" t="str">
        <f>IFERROR(VLOOKUP(D1007,Products!A:F,3,0),"")</f>
        <v>Sports</v>
      </c>
      <c r="M1007" t="str">
        <f>IFERROR(VLOOKUP(E1007,Sales_Reps!A:E,3,0),"")</f>
        <v>North</v>
      </c>
      <c r="N1007" t="str">
        <f>IFERROR(VLOOKUP(C1007,Customers!A:F,5,0),"")</f>
        <v>SMB</v>
      </c>
      <c r="O1007">
        <f>IFERROR(VLOOKUP(C1007,Customers!A:F,3,0),"")</f>
        <v>54</v>
      </c>
      <c r="P1007">
        <f>IFERROR(VLOOKUP(D1007,Products!A:F,4,0),"")</f>
        <v>2028</v>
      </c>
      <c r="Q1007" t="b">
        <f>IFERROR(VLOOKUP(D1007,Products!A:F,6,0),"")</f>
        <v>1</v>
      </c>
      <c r="R1007">
        <f t="shared" si="45"/>
        <v>0.29090909090909089</v>
      </c>
      <c r="S1007">
        <f t="shared" si="46"/>
        <v>1</v>
      </c>
      <c r="T1007">
        <f>IF(AND(S1007&gt;1,COUNTIF($A$2:A1007,A1007)=1),1,0)</f>
        <v>0</v>
      </c>
      <c r="U1007">
        <f>COUNTIF(Customers!$A$2:$A$301,C1007)</f>
        <v>1</v>
      </c>
      <c r="V1007">
        <f t="shared" si="47"/>
        <v>0</v>
      </c>
    </row>
    <row r="1008" spans="1:22" ht="14.25" customHeight="1" x14ac:dyDescent="0.35">
      <c r="A1008" s="10" t="s">
        <v>1453</v>
      </c>
      <c r="B1008" s="11">
        <v>45630</v>
      </c>
      <c r="C1008" s="10" t="s">
        <v>1325</v>
      </c>
      <c r="D1008" s="10" t="s">
        <v>201</v>
      </c>
      <c r="E1008" s="10" t="s">
        <v>179</v>
      </c>
      <c r="F1008" s="12">
        <v>3</v>
      </c>
      <c r="G1008" s="12">
        <v>3640</v>
      </c>
      <c r="H1008" s="12">
        <v>18.2</v>
      </c>
      <c r="I1008" s="12">
        <v>8932.56</v>
      </c>
      <c r="J1008" s="10" t="s">
        <v>51</v>
      </c>
      <c r="K1008" s="10" t="s">
        <v>58</v>
      </c>
      <c r="L1008" t="str">
        <f>IFERROR(VLOOKUP(D1008,Products!A:F,3,0),"")</f>
        <v>Apparel</v>
      </c>
      <c r="M1008" t="str">
        <f>IFERROR(VLOOKUP(E1008,Sales_Reps!A:E,3,0),"")</f>
        <v>North</v>
      </c>
      <c r="N1008" t="str">
        <f>IFERROR(VLOOKUP(C1008,Customers!A:F,5,0),"")</f>
        <v>Retail</v>
      </c>
      <c r="O1008">
        <f>IFERROR(VLOOKUP(C1008,Customers!A:F,3,0),"")</f>
        <v>34</v>
      </c>
      <c r="P1008">
        <f>IFERROR(VLOOKUP(D1008,Products!A:F,4,0),"")</f>
        <v>2611</v>
      </c>
      <c r="Q1008" t="b">
        <f>IFERROR(VLOOKUP(D1008,Products!A:F,6,0),"")</f>
        <v>1</v>
      </c>
      <c r="R1008">
        <f t="shared" si="45"/>
        <v>0.28269230769230769</v>
      </c>
      <c r="S1008">
        <f t="shared" si="46"/>
        <v>1</v>
      </c>
      <c r="T1008">
        <f>IF(AND(S1008&gt;1,COUNTIF($A$2:A1008,A1008)=1),1,0)</f>
        <v>0</v>
      </c>
      <c r="U1008">
        <f>COUNTIF(Customers!$A$2:$A$301,C1008)</f>
        <v>1</v>
      </c>
      <c r="V1008">
        <f t="shared" si="47"/>
        <v>0</v>
      </c>
    </row>
    <row r="1009" spans="1:22" ht="14.25" customHeight="1" x14ac:dyDescent="0.35">
      <c r="A1009" s="10" t="s">
        <v>1454</v>
      </c>
      <c r="B1009" s="11">
        <v>45405</v>
      </c>
      <c r="C1009" s="10" t="s">
        <v>170</v>
      </c>
      <c r="D1009" s="10" t="s">
        <v>137</v>
      </c>
      <c r="E1009" s="10" t="s">
        <v>267</v>
      </c>
      <c r="F1009" s="12">
        <v>3</v>
      </c>
      <c r="G1009" s="12">
        <v>2720</v>
      </c>
      <c r="H1009" s="12">
        <v>3.6</v>
      </c>
      <c r="I1009" s="12">
        <v>7866.24</v>
      </c>
      <c r="J1009" s="10" t="s">
        <v>51</v>
      </c>
      <c r="K1009" s="10" t="s">
        <v>97</v>
      </c>
      <c r="L1009" t="str">
        <f>IFERROR(VLOOKUP(D1009,Products!A:F,3,0),"")</f>
        <v>Apparel</v>
      </c>
      <c r="M1009" t="str">
        <f>IFERROR(VLOOKUP(E1009,Sales_Reps!A:E,3,0),"")</f>
        <v>East</v>
      </c>
      <c r="N1009" t="str">
        <f>IFERROR(VLOOKUP(C1009,Customers!A:F,5,0),"")</f>
        <v>SMB</v>
      </c>
      <c r="O1009">
        <f>IFERROR(VLOOKUP(C1009,Customers!A:F,3,0),"")</f>
        <v>40</v>
      </c>
      <c r="P1009">
        <f>IFERROR(VLOOKUP(D1009,Products!A:F,4,0),"")</f>
        <v>1962</v>
      </c>
      <c r="Q1009" t="b">
        <f>IFERROR(VLOOKUP(D1009,Products!A:F,6,0),"")</f>
        <v>1</v>
      </c>
      <c r="R1009">
        <f t="shared" si="45"/>
        <v>0.2786764705882353</v>
      </c>
      <c r="S1009">
        <f t="shared" si="46"/>
        <v>1</v>
      </c>
      <c r="T1009">
        <f>IF(AND(S1009&gt;1,COUNTIF($A$2:A1009,A1009)=1),1,0)</f>
        <v>0</v>
      </c>
      <c r="U1009">
        <f>COUNTIF(Customers!$A$2:$A$301,C1009)</f>
        <v>1</v>
      </c>
      <c r="V1009">
        <f t="shared" si="47"/>
        <v>0</v>
      </c>
    </row>
    <row r="1010" spans="1:22" ht="14.25" customHeight="1" x14ac:dyDescent="0.35">
      <c r="A1010" s="10" t="s">
        <v>1455</v>
      </c>
      <c r="B1010" s="11">
        <v>45630</v>
      </c>
      <c r="C1010" s="10" t="s">
        <v>501</v>
      </c>
      <c r="D1010" s="10" t="s">
        <v>95</v>
      </c>
      <c r="E1010" s="10" t="s">
        <v>71</v>
      </c>
      <c r="F1010" s="12">
        <v>4</v>
      </c>
      <c r="G1010" s="12">
        <v>2270</v>
      </c>
      <c r="H1010" s="12">
        <v>18.399999999999999</v>
      </c>
      <c r="I1010" s="12">
        <v>7409.28</v>
      </c>
      <c r="J1010" s="10" t="s">
        <v>51</v>
      </c>
      <c r="K1010" s="10" t="s">
        <v>97</v>
      </c>
      <c r="L1010" t="str">
        <f>IFERROR(VLOOKUP(D1010,Products!A:F,3,0),"")</f>
        <v>Grocery</v>
      </c>
      <c r="M1010" t="str">
        <f>IFERROR(VLOOKUP(E1010,Sales_Reps!A:E,3,0),"")</f>
        <v>North</v>
      </c>
      <c r="N1010" t="str">
        <f>IFERROR(VLOOKUP(C1010,Customers!A:F,5,0),"")</f>
        <v>SMB</v>
      </c>
      <c r="O1010">
        <f>IFERROR(VLOOKUP(C1010,Customers!A:F,3,0),"")</f>
        <v>48</v>
      </c>
      <c r="P1010">
        <f>IFERROR(VLOOKUP(D1010,Products!A:F,4,0),"")</f>
        <v>1203</v>
      </c>
      <c r="Q1010" t="b">
        <f>IFERROR(VLOOKUP(D1010,Products!A:F,6,0),"")</f>
        <v>1</v>
      </c>
      <c r="R1010">
        <f t="shared" si="45"/>
        <v>0.47004405286343615</v>
      </c>
      <c r="S1010">
        <f t="shared" si="46"/>
        <v>1</v>
      </c>
      <c r="T1010">
        <f>IF(AND(S1010&gt;1,COUNTIF($A$2:A1010,A1010)=1),1,0)</f>
        <v>0</v>
      </c>
      <c r="U1010">
        <f>COUNTIF(Customers!$A$2:$A$301,C1010)</f>
        <v>1</v>
      </c>
      <c r="V1010">
        <f t="shared" si="47"/>
        <v>0</v>
      </c>
    </row>
    <row r="1011" spans="1:22" ht="14.25" customHeight="1" x14ac:dyDescent="0.35">
      <c r="A1011" s="10" t="s">
        <v>1456</v>
      </c>
      <c r="B1011" s="11">
        <v>45483</v>
      </c>
      <c r="C1011" s="10" t="s">
        <v>1157</v>
      </c>
      <c r="D1011" s="10" t="s">
        <v>231</v>
      </c>
      <c r="E1011" s="10" t="s">
        <v>193</v>
      </c>
      <c r="F1011" s="12">
        <v>5</v>
      </c>
      <c r="G1011" s="12">
        <v>1220</v>
      </c>
      <c r="H1011" s="12">
        <v>13.9</v>
      </c>
      <c r="I1011" s="12">
        <v>5252.1</v>
      </c>
      <c r="J1011" s="10" t="s">
        <v>51</v>
      </c>
      <c r="K1011" s="10" t="s">
        <v>97</v>
      </c>
      <c r="L1011" t="str">
        <f>IFERROR(VLOOKUP(D1011,Products!A:F,3,0),"")</f>
        <v>Electronics</v>
      </c>
      <c r="M1011" t="str">
        <f>IFERROR(VLOOKUP(E1011,Sales_Reps!A:E,3,0),"")</f>
        <v>West</v>
      </c>
      <c r="N1011" t="str">
        <f>IFERROR(VLOOKUP(C1011,Customers!A:F,5,0),"")</f>
        <v>SMB</v>
      </c>
      <c r="O1011">
        <f>IFERROR(VLOOKUP(C1011,Customers!A:F,3,0),"")</f>
        <v>25</v>
      </c>
      <c r="P1011">
        <f>IFERROR(VLOOKUP(D1011,Products!A:F,4,0),"")</f>
        <v>517</v>
      </c>
      <c r="Q1011" t="b">
        <f>IFERROR(VLOOKUP(D1011,Products!A:F,6,0),"")</f>
        <v>1</v>
      </c>
      <c r="R1011">
        <f t="shared" si="45"/>
        <v>0.57622950819672136</v>
      </c>
      <c r="S1011">
        <f t="shared" si="46"/>
        <v>1</v>
      </c>
      <c r="T1011">
        <f>IF(AND(S1011&gt;1,COUNTIF($A$2:A1011,A1011)=1),1,0)</f>
        <v>0</v>
      </c>
      <c r="U1011">
        <f>COUNTIF(Customers!$A$2:$A$301,C1011)</f>
        <v>1</v>
      </c>
      <c r="V1011">
        <f t="shared" si="47"/>
        <v>0</v>
      </c>
    </row>
    <row r="1012" spans="1:22" ht="14.25" customHeight="1" x14ac:dyDescent="0.35">
      <c r="A1012" s="10" t="s">
        <v>1457</v>
      </c>
      <c r="B1012" s="11">
        <v>45530</v>
      </c>
      <c r="C1012" s="10" t="s">
        <v>263</v>
      </c>
      <c r="D1012" s="10" t="s">
        <v>99</v>
      </c>
      <c r="E1012" s="10" t="s">
        <v>152</v>
      </c>
      <c r="F1012" s="12">
        <v>8</v>
      </c>
      <c r="G1012" s="12">
        <v>2640</v>
      </c>
      <c r="H1012" s="12">
        <v>17.3</v>
      </c>
      <c r="I1012" s="12">
        <v>17466.240000000002</v>
      </c>
      <c r="J1012" s="10" t="s">
        <v>51</v>
      </c>
      <c r="K1012" s="10" t="s">
        <v>97</v>
      </c>
      <c r="L1012" t="str">
        <f>IFERROR(VLOOKUP(D1012,Products!A:F,3,0),"")</f>
        <v>Electronics</v>
      </c>
      <c r="M1012" t="str">
        <f>IFERROR(VLOOKUP(E1012,Sales_Reps!A:E,3,0),"")</f>
        <v>South</v>
      </c>
      <c r="N1012" t="str">
        <f>IFERROR(VLOOKUP(C1012,Customers!A:F,5,0),"")</f>
        <v>Retail</v>
      </c>
      <c r="O1012">
        <f>IFERROR(VLOOKUP(C1012,Customers!A:F,3,0),"")</f>
        <v>29</v>
      </c>
      <c r="P1012">
        <f>IFERROR(VLOOKUP(D1012,Products!A:F,4,0),"")</f>
        <v>1149</v>
      </c>
      <c r="Q1012" t="b">
        <f>IFERROR(VLOOKUP(D1012,Products!A:F,6,0),"")</f>
        <v>1</v>
      </c>
      <c r="R1012">
        <f t="shared" si="45"/>
        <v>0.56477272727272732</v>
      </c>
      <c r="S1012">
        <f t="shared" si="46"/>
        <v>1</v>
      </c>
      <c r="T1012">
        <f>IF(AND(S1012&gt;1,COUNTIF($A$2:A1012,A1012)=1),1,0)</f>
        <v>0</v>
      </c>
      <c r="U1012">
        <f>COUNTIF(Customers!$A$2:$A$301,C1012)</f>
        <v>1</v>
      </c>
      <c r="V1012">
        <f t="shared" si="47"/>
        <v>0</v>
      </c>
    </row>
    <row r="1013" spans="1:22" ht="14.25" customHeight="1" x14ac:dyDescent="0.35">
      <c r="A1013" s="10" t="s">
        <v>1458</v>
      </c>
      <c r="B1013" s="11">
        <v>45500</v>
      </c>
      <c r="C1013" s="10" t="s">
        <v>340</v>
      </c>
      <c r="D1013" s="10" t="s">
        <v>91</v>
      </c>
      <c r="E1013" s="10" t="s">
        <v>152</v>
      </c>
      <c r="F1013" s="12">
        <v>1</v>
      </c>
      <c r="G1013" s="12">
        <v>970</v>
      </c>
      <c r="H1013" s="12">
        <v>28</v>
      </c>
      <c r="I1013" s="12">
        <v>698.4</v>
      </c>
      <c r="J1013" s="10" t="s">
        <v>104</v>
      </c>
      <c r="K1013" s="10" t="s">
        <v>81</v>
      </c>
      <c r="L1013" t="str">
        <f>IFERROR(VLOOKUP(D1013,Products!A:F,3,0),"")</f>
        <v>Grocery</v>
      </c>
      <c r="M1013" t="str">
        <f>IFERROR(VLOOKUP(E1013,Sales_Reps!A:E,3,0),"")</f>
        <v>South</v>
      </c>
      <c r="N1013" t="str">
        <f>IFERROR(VLOOKUP(C1013,Customers!A:F,5,0),"")</f>
        <v>SMB</v>
      </c>
      <c r="O1013">
        <f>IFERROR(VLOOKUP(C1013,Customers!A:F,3,0),"")</f>
        <v>44</v>
      </c>
      <c r="P1013">
        <f>IFERROR(VLOOKUP(D1013,Products!A:F,4,0),"")</f>
        <v>434</v>
      </c>
      <c r="Q1013" t="b">
        <f>IFERROR(VLOOKUP(D1013,Products!A:F,6,0),"")</f>
        <v>1</v>
      </c>
      <c r="R1013">
        <f t="shared" si="45"/>
        <v>0.5525773195876289</v>
      </c>
      <c r="S1013">
        <f t="shared" si="46"/>
        <v>1</v>
      </c>
      <c r="T1013">
        <f>IF(AND(S1013&gt;1,COUNTIF($A$2:A1013,A1013)=1),1,0)</f>
        <v>0</v>
      </c>
      <c r="U1013">
        <f>COUNTIF(Customers!$A$2:$A$301,C1013)</f>
        <v>1</v>
      </c>
      <c r="V1013">
        <f t="shared" si="47"/>
        <v>698.4</v>
      </c>
    </row>
    <row r="1014" spans="1:22" ht="14.25" customHeight="1" x14ac:dyDescent="0.35">
      <c r="A1014" s="10" t="s">
        <v>1459</v>
      </c>
      <c r="B1014" s="11">
        <v>45358</v>
      </c>
      <c r="C1014" s="10" t="s">
        <v>239</v>
      </c>
      <c r="D1014" s="10" t="s">
        <v>190</v>
      </c>
      <c r="E1014" s="10" t="s">
        <v>75</v>
      </c>
      <c r="F1014" s="12">
        <v>8</v>
      </c>
      <c r="G1014" s="12">
        <v>3730</v>
      </c>
      <c r="H1014" s="12">
        <v>2.1</v>
      </c>
      <c r="I1014" s="12">
        <v>29213.360000000001</v>
      </c>
      <c r="J1014" s="10" t="s">
        <v>108</v>
      </c>
      <c r="K1014" s="10" t="s">
        <v>52</v>
      </c>
      <c r="L1014" t="str">
        <f>IFERROR(VLOOKUP(D1014,Products!A:F,3,0),"")</f>
        <v>Home</v>
      </c>
      <c r="M1014" t="str">
        <f>IFERROR(VLOOKUP(E1014,Sales_Reps!A:E,3,0),"")</f>
        <v>West</v>
      </c>
      <c r="N1014" t="str">
        <f>IFERROR(VLOOKUP(C1014,Customers!A:F,5,0),"")</f>
        <v>Retail</v>
      </c>
      <c r="O1014">
        <f>IFERROR(VLOOKUP(C1014,Customers!A:F,3,0),"")</f>
        <v>44</v>
      </c>
      <c r="P1014">
        <f>IFERROR(VLOOKUP(D1014,Products!A:F,4,0),"")</f>
        <v>2135</v>
      </c>
      <c r="Q1014" t="b">
        <f>IFERROR(VLOOKUP(D1014,Products!A:F,6,0),"")</f>
        <v>1</v>
      </c>
      <c r="R1014">
        <f t="shared" si="45"/>
        <v>0.42761394101876676</v>
      </c>
      <c r="S1014">
        <f t="shared" si="46"/>
        <v>1</v>
      </c>
      <c r="T1014">
        <f>IF(AND(S1014&gt;1,COUNTIF($A$2:A1014,A1014)=1),1,0)</f>
        <v>0</v>
      </c>
      <c r="U1014">
        <f>COUNTIF(Customers!$A$2:$A$301,C1014)</f>
        <v>1</v>
      </c>
      <c r="V1014">
        <f t="shared" si="47"/>
        <v>0</v>
      </c>
    </row>
    <row r="1015" spans="1:22" ht="14.25" customHeight="1" x14ac:dyDescent="0.35">
      <c r="A1015" s="10" t="s">
        <v>1460</v>
      </c>
      <c r="B1015" s="11">
        <v>45598</v>
      </c>
      <c r="C1015" s="10" t="s">
        <v>749</v>
      </c>
      <c r="D1015" s="10" t="s">
        <v>91</v>
      </c>
      <c r="E1015" s="10" t="s">
        <v>80</v>
      </c>
      <c r="F1015" s="12">
        <v>7</v>
      </c>
      <c r="G1015" s="12">
        <v>970</v>
      </c>
      <c r="H1015" s="12">
        <v>25.5</v>
      </c>
      <c r="I1015" s="12">
        <v>5058.55</v>
      </c>
      <c r="J1015" s="10" t="s">
        <v>51</v>
      </c>
      <c r="K1015" s="10" t="s">
        <v>52</v>
      </c>
      <c r="L1015" t="str">
        <f>IFERROR(VLOOKUP(D1015,Products!A:F,3,0),"")</f>
        <v>Grocery</v>
      </c>
      <c r="M1015" t="str">
        <f>IFERROR(VLOOKUP(E1015,Sales_Reps!A:E,3,0),"")</f>
        <v>West</v>
      </c>
      <c r="N1015" t="str">
        <f>IFERROR(VLOOKUP(C1015,Customers!A:F,5,0),"")</f>
        <v>Retail</v>
      </c>
      <c r="O1015">
        <f>IFERROR(VLOOKUP(C1015,Customers!A:F,3,0),"")</f>
        <v>31</v>
      </c>
      <c r="P1015">
        <f>IFERROR(VLOOKUP(D1015,Products!A:F,4,0),"")</f>
        <v>434</v>
      </c>
      <c r="Q1015" t="b">
        <f>IFERROR(VLOOKUP(D1015,Products!A:F,6,0),"")</f>
        <v>1</v>
      </c>
      <c r="R1015">
        <f t="shared" si="45"/>
        <v>0.5525773195876289</v>
      </c>
      <c r="S1015">
        <f t="shared" si="46"/>
        <v>1</v>
      </c>
      <c r="T1015">
        <f>IF(AND(S1015&gt;1,COUNTIF($A$2:A1015,A1015)=1),1,0)</f>
        <v>0</v>
      </c>
      <c r="U1015">
        <f>COUNTIF(Customers!$A$2:$A$301,C1015)</f>
        <v>1</v>
      </c>
      <c r="V1015">
        <f t="shared" si="47"/>
        <v>0</v>
      </c>
    </row>
    <row r="1016" spans="1:22" ht="14.25" customHeight="1" x14ac:dyDescent="0.35">
      <c r="A1016" s="10" t="s">
        <v>1461</v>
      </c>
      <c r="B1016" s="11">
        <v>45318</v>
      </c>
      <c r="C1016" s="10" t="s">
        <v>323</v>
      </c>
      <c r="D1016" s="10" t="s">
        <v>151</v>
      </c>
      <c r="E1016" s="10" t="s">
        <v>249</v>
      </c>
      <c r="F1016" s="12">
        <v>6</v>
      </c>
      <c r="G1016" s="12">
        <v>3570</v>
      </c>
      <c r="H1016" s="12">
        <v>9.9</v>
      </c>
      <c r="I1016" s="12">
        <v>19299.419999999998</v>
      </c>
      <c r="J1016" s="10" t="s">
        <v>51</v>
      </c>
      <c r="K1016" s="10" t="s">
        <v>63</v>
      </c>
      <c r="L1016" t="str">
        <f>IFERROR(VLOOKUP(D1016,Products!A:F,3,0),"")</f>
        <v>Electronics</v>
      </c>
      <c r="M1016" t="str">
        <f>IFERROR(VLOOKUP(E1016,Sales_Reps!A:E,3,0),"")</f>
        <v>East</v>
      </c>
      <c r="N1016" t="str">
        <f>IFERROR(VLOOKUP(C1016,Customers!A:F,5,0),"")</f>
        <v>SMB</v>
      </c>
      <c r="O1016">
        <f>IFERROR(VLOOKUP(C1016,Customers!A:F,3,0),"")</f>
        <v>28</v>
      </c>
      <c r="P1016">
        <f>IFERROR(VLOOKUP(D1016,Products!A:F,4,0),"")</f>
        <v>1665</v>
      </c>
      <c r="Q1016" t="b">
        <f>IFERROR(VLOOKUP(D1016,Products!A:F,6,0),"")</f>
        <v>1</v>
      </c>
      <c r="R1016">
        <f t="shared" si="45"/>
        <v>0.53361344537815125</v>
      </c>
      <c r="S1016">
        <f t="shared" si="46"/>
        <v>1</v>
      </c>
      <c r="T1016">
        <f>IF(AND(S1016&gt;1,COUNTIF($A$2:A1016,A1016)=1),1,0)</f>
        <v>0</v>
      </c>
      <c r="U1016">
        <f>COUNTIF(Customers!$A$2:$A$301,C1016)</f>
        <v>1</v>
      </c>
      <c r="V1016">
        <f t="shared" si="47"/>
        <v>0</v>
      </c>
    </row>
    <row r="1017" spans="1:22" ht="14.25" customHeight="1" x14ac:dyDescent="0.35">
      <c r="A1017" s="10" t="s">
        <v>1462</v>
      </c>
      <c r="B1017" s="11">
        <v>45524</v>
      </c>
      <c r="C1017" s="10" t="s">
        <v>1463</v>
      </c>
      <c r="D1017" s="10" t="s">
        <v>91</v>
      </c>
      <c r="E1017" s="10" t="s">
        <v>310</v>
      </c>
      <c r="F1017" s="12">
        <v>6</v>
      </c>
      <c r="G1017" s="12">
        <v>970</v>
      </c>
      <c r="H1017" s="12">
        <v>19.600000000000001</v>
      </c>
      <c r="I1017" s="12">
        <v>4679.28</v>
      </c>
      <c r="J1017" s="10" t="s">
        <v>51</v>
      </c>
      <c r="K1017" s="10" t="s">
        <v>58</v>
      </c>
      <c r="L1017" t="str">
        <f>IFERROR(VLOOKUP(D1017,Products!A:F,3,0),"")</f>
        <v>Grocery</v>
      </c>
      <c r="M1017" t="str">
        <f>IFERROR(VLOOKUP(E1017,Sales_Reps!A:E,3,0),"")</f>
        <v>South</v>
      </c>
      <c r="N1017" t="str">
        <f>IFERROR(VLOOKUP(C1017,Customers!A:F,5,0),"")</f>
        <v>Retail</v>
      </c>
      <c r="O1017">
        <f>IFERROR(VLOOKUP(C1017,Customers!A:F,3,0),"")</f>
        <v>26</v>
      </c>
      <c r="P1017">
        <f>IFERROR(VLOOKUP(D1017,Products!A:F,4,0),"")</f>
        <v>434</v>
      </c>
      <c r="Q1017" t="b">
        <f>IFERROR(VLOOKUP(D1017,Products!A:F,6,0),"")</f>
        <v>1</v>
      </c>
      <c r="R1017">
        <f t="shared" si="45"/>
        <v>0.5525773195876289</v>
      </c>
      <c r="S1017">
        <f t="shared" si="46"/>
        <v>1</v>
      </c>
      <c r="T1017">
        <f>IF(AND(S1017&gt;1,COUNTIF($A$2:A1017,A1017)=1),1,0)</f>
        <v>0</v>
      </c>
      <c r="U1017">
        <f>COUNTIF(Customers!$A$2:$A$301,C1017)</f>
        <v>1</v>
      </c>
      <c r="V1017">
        <f t="shared" si="47"/>
        <v>0</v>
      </c>
    </row>
    <row r="1018" spans="1:22" ht="14.25" customHeight="1" x14ac:dyDescent="0.35">
      <c r="A1018" s="10" t="s">
        <v>1464</v>
      </c>
      <c r="B1018" s="11">
        <v>45554</v>
      </c>
      <c r="C1018" s="10" t="s">
        <v>183</v>
      </c>
      <c r="D1018" s="10" t="s">
        <v>425</v>
      </c>
      <c r="E1018" s="10" t="s">
        <v>237</v>
      </c>
      <c r="F1018" s="12">
        <v>8</v>
      </c>
      <c r="G1018" s="12">
        <v>3780</v>
      </c>
      <c r="H1018" s="12">
        <v>26.5</v>
      </c>
      <c r="I1018" s="12">
        <v>22226.400000000001</v>
      </c>
      <c r="J1018" s="10" t="s">
        <v>51</v>
      </c>
      <c r="K1018" s="10" t="s">
        <v>63</v>
      </c>
      <c r="L1018" t="str">
        <f>IFERROR(VLOOKUP(D1018,Products!A:F,3,0),"")</f>
        <v>Sports</v>
      </c>
      <c r="M1018" t="str">
        <f>IFERROR(VLOOKUP(E1018,Sales_Reps!A:E,3,0),"")</f>
        <v>South</v>
      </c>
      <c r="N1018" t="str">
        <f>IFERROR(VLOOKUP(C1018,Customers!A:F,5,0),"")</f>
        <v>SMB</v>
      </c>
      <c r="O1018">
        <f>IFERROR(VLOOKUP(C1018,Customers!A:F,3,0),"")</f>
        <v>50</v>
      </c>
      <c r="P1018">
        <f>IFERROR(VLOOKUP(D1018,Products!A:F,4,0),"")</f>
        <v>1860</v>
      </c>
      <c r="Q1018" t="b">
        <f>IFERROR(VLOOKUP(D1018,Products!A:F,6,0),"")</f>
        <v>1</v>
      </c>
      <c r="R1018">
        <f t="shared" si="45"/>
        <v>0.50793650793650791</v>
      </c>
      <c r="S1018">
        <f t="shared" si="46"/>
        <v>1</v>
      </c>
      <c r="T1018">
        <f>IF(AND(S1018&gt;1,COUNTIF($A$2:A1018,A1018)=1),1,0)</f>
        <v>0</v>
      </c>
      <c r="U1018">
        <f>COUNTIF(Customers!$A$2:$A$301,C1018)</f>
        <v>1</v>
      </c>
      <c r="V1018">
        <f t="shared" si="47"/>
        <v>0</v>
      </c>
    </row>
    <row r="1019" spans="1:22" ht="14.25" customHeight="1" x14ac:dyDescent="0.35">
      <c r="A1019" s="10" t="s">
        <v>1465</v>
      </c>
      <c r="B1019" s="11">
        <v>45528</v>
      </c>
      <c r="C1019" s="10" t="s">
        <v>885</v>
      </c>
      <c r="D1019" s="10" t="s">
        <v>115</v>
      </c>
      <c r="E1019" s="10" t="s">
        <v>237</v>
      </c>
      <c r="F1019" s="12">
        <v>6</v>
      </c>
      <c r="G1019" s="12">
        <v>2400</v>
      </c>
      <c r="H1019" s="12">
        <v>1.4</v>
      </c>
      <c r="I1019" s="12">
        <v>14198.4</v>
      </c>
      <c r="J1019" s="10" t="s">
        <v>51</v>
      </c>
      <c r="K1019" s="10" t="s">
        <v>81</v>
      </c>
      <c r="L1019" t="str">
        <f>IFERROR(VLOOKUP(D1019,Products!A:F,3,0),"")</f>
        <v>Sports</v>
      </c>
      <c r="M1019" t="str">
        <f>IFERROR(VLOOKUP(E1019,Sales_Reps!A:E,3,0),"")</f>
        <v>South</v>
      </c>
      <c r="N1019" t="str">
        <f>IFERROR(VLOOKUP(C1019,Customers!A:F,5,0),"")</f>
        <v>Retail</v>
      </c>
      <c r="O1019">
        <f>IFERROR(VLOOKUP(C1019,Customers!A:F,3,0),"")</f>
        <v>28</v>
      </c>
      <c r="P1019">
        <f>IFERROR(VLOOKUP(D1019,Products!A:F,4,0),"")</f>
        <v>974</v>
      </c>
      <c r="Q1019" t="b">
        <f>IFERROR(VLOOKUP(D1019,Products!A:F,6,0),"")</f>
        <v>1</v>
      </c>
      <c r="R1019">
        <f t="shared" si="45"/>
        <v>0.59416666666666662</v>
      </c>
      <c r="S1019">
        <f t="shared" si="46"/>
        <v>1</v>
      </c>
      <c r="T1019">
        <f>IF(AND(S1019&gt;1,COUNTIF($A$2:A1019,A1019)=1),1,0)</f>
        <v>0</v>
      </c>
      <c r="U1019">
        <f>COUNTIF(Customers!$A$2:$A$301,C1019)</f>
        <v>1</v>
      </c>
      <c r="V1019">
        <f t="shared" si="47"/>
        <v>0</v>
      </c>
    </row>
    <row r="1020" spans="1:22" ht="14.25" customHeight="1" x14ac:dyDescent="0.35">
      <c r="A1020" s="10" t="s">
        <v>1466</v>
      </c>
      <c r="B1020" s="11">
        <v>45486</v>
      </c>
      <c r="C1020" s="10" t="s">
        <v>321</v>
      </c>
      <c r="D1020" s="10" t="s">
        <v>107</v>
      </c>
      <c r="E1020" s="10" t="s">
        <v>122</v>
      </c>
      <c r="F1020" s="12">
        <v>10</v>
      </c>
      <c r="G1020" s="12">
        <v>3250</v>
      </c>
      <c r="H1020" s="12">
        <v>19.3</v>
      </c>
      <c r="I1020" s="12">
        <v>26227.5</v>
      </c>
      <c r="J1020" s="10" t="s">
        <v>51</v>
      </c>
      <c r="K1020" s="10" t="s">
        <v>63</v>
      </c>
      <c r="L1020" t="str">
        <f>IFERROR(VLOOKUP(D1020,Products!A:F,3,0),"")</f>
        <v>Home</v>
      </c>
      <c r="M1020" t="str">
        <f>IFERROR(VLOOKUP(E1020,Sales_Reps!A:E,3,0),"")</f>
        <v>East</v>
      </c>
      <c r="N1020" t="str">
        <f>IFERROR(VLOOKUP(C1020,Customers!A:F,5,0),"")</f>
        <v>SMB</v>
      </c>
      <c r="O1020">
        <f>IFERROR(VLOOKUP(C1020,Customers!A:F,3,0),"")</f>
        <v>38</v>
      </c>
      <c r="P1020">
        <f>IFERROR(VLOOKUP(D1020,Products!A:F,4,0),"")</f>
        <v>1556</v>
      </c>
      <c r="Q1020" t="b">
        <f>IFERROR(VLOOKUP(D1020,Products!A:F,6,0),"")</f>
        <v>1</v>
      </c>
      <c r="R1020">
        <f t="shared" si="45"/>
        <v>0.52123076923076928</v>
      </c>
      <c r="S1020">
        <f t="shared" si="46"/>
        <v>1</v>
      </c>
      <c r="T1020">
        <f>IF(AND(S1020&gt;1,COUNTIF($A$2:A1020,A1020)=1),1,0)</f>
        <v>0</v>
      </c>
      <c r="U1020">
        <f>COUNTIF(Customers!$A$2:$A$301,C1020)</f>
        <v>1</v>
      </c>
      <c r="V1020">
        <f t="shared" si="47"/>
        <v>0</v>
      </c>
    </row>
    <row r="1021" spans="1:22" ht="14.25" customHeight="1" x14ac:dyDescent="0.35">
      <c r="A1021" s="10" t="s">
        <v>1467</v>
      </c>
      <c r="B1021" s="11">
        <v>45336</v>
      </c>
      <c r="C1021" s="10" t="s">
        <v>352</v>
      </c>
      <c r="D1021" s="10" t="s">
        <v>164</v>
      </c>
      <c r="E1021" s="10" t="s">
        <v>62</v>
      </c>
      <c r="F1021" s="12">
        <v>7</v>
      </c>
      <c r="G1021" s="12">
        <v>2760</v>
      </c>
      <c r="H1021" s="12">
        <v>23.6</v>
      </c>
      <c r="I1021" s="12">
        <v>14760.48</v>
      </c>
      <c r="J1021" s="10" t="s">
        <v>57</v>
      </c>
      <c r="K1021" s="10" t="s">
        <v>97</v>
      </c>
      <c r="L1021" t="str">
        <f>IFERROR(VLOOKUP(D1021,Products!A:F,3,0),"")</f>
        <v>Grocery</v>
      </c>
      <c r="M1021" t="str">
        <f>IFERROR(VLOOKUP(E1021,Sales_Reps!A:E,3,0),"")</f>
        <v>South</v>
      </c>
      <c r="N1021" t="str">
        <f>IFERROR(VLOOKUP(C1021,Customers!A:F,5,0),"")</f>
        <v>Retail</v>
      </c>
      <c r="O1021">
        <f>IFERROR(VLOOKUP(C1021,Customers!A:F,3,0),"")</f>
        <v>44</v>
      </c>
      <c r="P1021">
        <f>IFERROR(VLOOKUP(D1021,Products!A:F,4,0),"")</f>
        <v>1435</v>
      </c>
      <c r="Q1021" t="b">
        <f>IFERROR(VLOOKUP(D1021,Products!A:F,6,0),"")</f>
        <v>1</v>
      </c>
      <c r="R1021">
        <f t="shared" si="45"/>
        <v>0.48007246376811596</v>
      </c>
      <c r="S1021">
        <f t="shared" si="46"/>
        <v>1</v>
      </c>
      <c r="T1021">
        <f>IF(AND(S1021&gt;1,COUNTIF($A$2:A1021,A1021)=1),1,0)</f>
        <v>0</v>
      </c>
      <c r="U1021">
        <f>COUNTIF(Customers!$A$2:$A$301,C1021)</f>
        <v>1</v>
      </c>
      <c r="V1021">
        <f t="shared" si="47"/>
        <v>0</v>
      </c>
    </row>
    <row r="1022" spans="1:22" ht="14.25" customHeight="1" x14ac:dyDescent="0.35">
      <c r="A1022" s="10" t="s">
        <v>1468</v>
      </c>
      <c r="B1022" s="11">
        <v>45463</v>
      </c>
      <c r="C1022" s="10" t="s">
        <v>195</v>
      </c>
      <c r="D1022" s="10" t="s">
        <v>151</v>
      </c>
      <c r="E1022" s="10" t="s">
        <v>179</v>
      </c>
      <c r="F1022" s="12">
        <v>3</v>
      </c>
      <c r="G1022" s="12">
        <v>3570</v>
      </c>
      <c r="H1022" s="12">
        <v>26.3</v>
      </c>
      <c r="I1022" s="12">
        <v>7893.27</v>
      </c>
      <c r="J1022" s="10" t="s">
        <v>51</v>
      </c>
      <c r="K1022" s="10" t="s">
        <v>81</v>
      </c>
      <c r="L1022" t="str">
        <f>IFERROR(VLOOKUP(D1022,Products!A:F,3,0),"")</f>
        <v>Electronics</v>
      </c>
      <c r="M1022" t="str">
        <f>IFERROR(VLOOKUP(E1022,Sales_Reps!A:E,3,0),"")</f>
        <v>North</v>
      </c>
      <c r="N1022" t="str">
        <f>IFERROR(VLOOKUP(C1022,Customers!A:F,5,0),"")</f>
        <v>SMB</v>
      </c>
      <c r="O1022">
        <f>IFERROR(VLOOKUP(C1022,Customers!A:F,3,0),"")</f>
        <v>64</v>
      </c>
      <c r="P1022">
        <f>IFERROR(VLOOKUP(D1022,Products!A:F,4,0),"")</f>
        <v>1665</v>
      </c>
      <c r="Q1022" t="b">
        <f>IFERROR(VLOOKUP(D1022,Products!A:F,6,0),"")</f>
        <v>1</v>
      </c>
      <c r="R1022">
        <f t="shared" si="45"/>
        <v>0.53361344537815125</v>
      </c>
      <c r="S1022">
        <f t="shared" si="46"/>
        <v>1</v>
      </c>
      <c r="T1022">
        <f>IF(AND(S1022&gt;1,COUNTIF($A$2:A1022,A1022)=1),1,0)</f>
        <v>0</v>
      </c>
      <c r="U1022">
        <f>COUNTIF(Customers!$A$2:$A$301,C1022)</f>
        <v>1</v>
      </c>
      <c r="V1022">
        <f t="shared" si="47"/>
        <v>0</v>
      </c>
    </row>
    <row r="1023" spans="1:22" ht="14.25" customHeight="1" x14ac:dyDescent="0.35">
      <c r="A1023" s="10" t="s">
        <v>1469</v>
      </c>
      <c r="B1023" s="11">
        <v>45392</v>
      </c>
      <c r="C1023" s="10" t="s">
        <v>549</v>
      </c>
      <c r="D1023" s="10" t="s">
        <v>198</v>
      </c>
      <c r="E1023" s="10" t="s">
        <v>152</v>
      </c>
      <c r="F1023" s="12">
        <v>4</v>
      </c>
      <c r="G1023" s="12">
        <v>3780</v>
      </c>
      <c r="H1023" s="12">
        <v>10.1</v>
      </c>
      <c r="I1023" s="12">
        <v>13592.88</v>
      </c>
      <c r="J1023" s="10" t="s">
        <v>51</v>
      </c>
      <c r="K1023" s="10" t="s">
        <v>58</v>
      </c>
      <c r="L1023" t="str">
        <f>IFERROR(VLOOKUP(D1023,Products!A:F,3,0),"")</f>
        <v>Grocery</v>
      </c>
      <c r="M1023" t="str">
        <f>IFERROR(VLOOKUP(E1023,Sales_Reps!A:E,3,0),"")</f>
        <v>South</v>
      </c>
      <c r="N1023" t="str">
        <f>IFERROR(VLOOKUP(C1023,Customers!A:F,5,0),"")</f>
        <v>Retail</v>
      </c>
      <c r="O1023">
        <f>IFERROR(VLOOKUP(C1023,Customers!A:F,3,0),"")</f>
        <v>26</v>
      </c>
      <c r="P1023">
        <f>IFERROR(VLOOKUP(D1023,Products!A:F,4,0),"")</f>
        <v>2436</v>
      </c>
      <c r="Q1023" t="b">
        <f>IFERROR(VLOOKUP(D1023,Products!A:F,6,0),"")</f>
        <v>1</v>
      </c>
      <c r="R1023">
        <f t="shared" si="45"/>
        <v>0.35555555555555557</v>
      </c>
      <c r="S1023">
        <f t="shared" si="46"/>
        <v>1</v>
      </c>
      <c r="T1023">
        <f>IF(AND(S1023&gt;1,COUNTIF($A$2:A1023,A1023)=1),1,0)</f>
        <v>0</v>
      </c>
      <c r="U1023">
        <f>COUNTIF(Customers!$A$2:$A$301,C1023)</f>
        <v>1</v>
      </c>
      <c r="V1023">
        <f t="shared" si="47"/>
        <v>0</v>
      </c>
    </row>
    <row r="1024" spans="1:22" ht="14.25" customHeight="1" x14ac:dyDescent="0.35">
      <c r="A1024" s="10" t="s">
        <v>1470</v>
      </c>
      <c r="B1024" s="11">
        <v>45600</v>
      </c>
      <c r="C1024" s="10" t="s">
        <v>566</v>
      </c>
      <c r="D1024" s="10" t="s">
        <v>84</v>
      </c>
      <c r="E1024" s="10" t="s">
        <v>85</v>
      </c>
      <c r="F1024" s="12">
        <v>10</v>
      </c>
      <c r="G1024" s="12">
        <v>1430</v>
      </c>
      <c r="H1024" s="12">
        <v>3.7</v>
      </c>
      <c r="I1024" s="12">
        <v>13770.9</v>
      </c>
      <c r="J1024" s="10" t="s">
        <v>51</v>
      </c>
      <c r="K1024" s="10" t="s">
        <v>58</v>
      </c>
      <c r="L1024" t="str">
        <f>IFERROR(VLOOKUP(D1024,Products!A:F,3,0),"")</f>
        <v>Electronics</v>
      </c>
      <c r="M1024" t="str">
        <f>IFERROR(VLOOKUP(E1024,Sales_Reps!A:E,3,0),"")</f>
        <v>East</v>
      </c>
      <c r="N1024" t="str">
        <f>IFERROR(VLOOKUP(C1024,Customers!A:F,5,0),"")</f>
        <v>Retail</v>
      </c>
      <c r="O1024">
        <f>IFERROR(VLOOKUP(C1024,Customers!A:F,3,0),"")</f>
        <v>61</v>
      </c>
      <c r="P1024">
        <f>IFERROR(VLOOKUP(D1024,Products!A:F,4,0),"")</f>
        <v>861</v>
      </c>
      <c r="Q1024" t="b">
        <f>IFERROR(VLOOKUP(D1024,Products!A:F,6,0),"")</f>
        <v>1</v>
      </c>
      <c r="R1024">
        <f t="shared" si="45"/>
        <v>0.39790209790209791</v>
      </c>
      <c r="S1024">
        <f t="shared" si="46"/>
        <v>1</v>
      </c>
      <c r="T1024">
        <f>IF(AND(S1024&gt;1,COUNTIF($A$2:A1024,A1024)=1),1,0)</f>
        <v>0</v>
      </c>
      <c r="U1024">
        <f>COUNTIF(Customers!$A$2:$A$301,C1024)</f>
        <v>1</v>
      </c>
      <c r="V1024">
        <f t="shared" si="47"/>
        <v>0</v>
      </c>
    </row>
    <row r="1025" spans="1:22" ht="14.25" customHeight="1" x14ac:dyDescent="0.35">
      <c r="A1025" s="10" t="s">
        <v>1471</v>
      </c>
      <c r="B1025" s="11">
        <v>45411</v>
      </c>
      <c r="C1025" s="10" t="s">
        <v>705</v>
      </c>
      <c r="D1025" s="10" t="s">
        <v>209</v>
      </c>
      <c r="E1025" s="10" t="s">
        <v>237</v>
      </c>
      <c r="F1025" s="12">
        <v>6</v>
      </c>
      <c r="G1025" s="12">
        <v>2270</v>
      </c>
      <c r="H1025" s="12">
        <v>7.9</v>
      </c>
      <c r="I1025" s="12">
        <v>12544.02</v>
      </c>
      <c r="J1025" s="10" t="s">
        <v>108</v>
      </c>
      <c r="K1025" s="10" t="s">
        <v>97</v>
      </c>
      <c r="L1025" t="str">
        <f>IFERROR(VLOOKUP(D1025,Products!A:F,3,0),"")</f>
        <v>Grocery</v>
      </c>
      <c r="M1025" t="str">
        <f>IFERROR(VLOOKUP(E1025,Sales_Reps!A:E,3,0),"")</f>
        <v>South</v>
      </c>
      <c r="N1025" t="str">
        <f>IFERROR(VLOOKUP(C1025,Customers!A:F,5,0),"")</f>
        <v>SMB</v>
      </c>
      <c r="O1025">
        <f>IFERROR(VLOOKUP(C1025,Customers!A:F,3,0),"")</f>
        <v>29</v>
      </c>
      <c r="P1025">
        <f>IFERROR(VLOOKUP(D1025,Products!A:F,4,0),"")</f>
        <v>1412</v>
      </c>
      <c r="Q1025" t="b">
        <f>IFERROR(VLOOKUP(D1025,Products!A:F,6,0),"")</f>
        <v>1</v>
      </c>
      <c r="R1025">
        <f t="shared" si="45"/>
        <v>0.37797356828193834</v>
      </c>
      <c r="S1025">
        <f t="shared" si="46"/>
        <v>1</v>
      </c>
      <c r="T1025">
        <f>IF(AND(S1025&gt;1,COUNTIF($A$2:A1025,A1025)=1),1,0)</f>
        <v>0</v>
      </c>
      <c r="U1025">
        <f>COUNTIF(Customers!$A$2:$A$301,C1025)</f>
        <v>1</v>
      </c>
      <c r="V1025">
        <f t="shared" si="47"/>
        <v>0</v>
      </c>
    </row>
    <row r="1026" spans="1:22" ht="14.25" customHeight="1" x14ac:dyDescent="0.35">
      <c r="A1026" s="10" t="s">
        <v>1472</v>
      </c>
      <c r="B1026" s="11">
        <v>45406</v>
      </c>
      <c r="C1026" s="10" t="s">
        <v>446</v>
      </c>
      <c r="D1026" s="10" t="s">
        <v>146</v>
      </c>
      <c r="E1026" s="10" t="s">
        <v>216</v>
      </c>
      <c r="F1026" s="12">
        <v>1</v>
      </c>
      <c r="G1026" s="12">
        <v>1010</v>
      </c>
      <c r="H1026" s="12">
        <v>6.9</v>
      </c>
      <c r="I1026" s="12">
        <v>940.31</v>
      </c>
      <c r="J1026" s="10" t="s">
        <v>57</v>
      </c>
      <c r="K1026" s="10" t="s">
        <v>97</v>
      </c>
      <c r="L1026" t="str">
        <f>IFERROR(VLOOKUP(D1026,Products!A:F,3,0),"")</f>
        <v>Sports</v>
      </c>
      <c r="M1026" t="str">
        <f>IFERROR(VLOOKUP(E1026,Sales_Reps!A:E,3,0),"")</f>
        <v>South</v>
      </c>
      <c r="N1026" t="str">
        <f>IFERROR(VLOOKUP(C1026,Customers!A:F,5,0),"")</f>
        <v>Corporate</v>
      </c>
      <c r="O1026">
        <f>IFERROR(VLOOKUP(C1026,Customers!A:F,3,0),"")</f>
        <v>52</v>
      </c>
      <c r="P1026">
        <f>IFERROR(VLOOKUP(D1026,Products!A:F,4,0),"")</f>
        <v>516</v>
      </c>
      <c r="Q1026" t="b">
        <f>IFERROR(VLOOKUP(D1026,Products!A:F,6,0),"")</f>
        <v>1</v>
      </c>
      <c r="R1026">
        <f t="shared" ref="R1026:R1089" si="48">IFERROR((G1026-P1026)/G1026,"")</f>
        <v>0.4891089108910891</v>
      </c>
      <c r="S1026">
        <f t="shared" ref="S1026:S1089" si="49">COUNTIF($A$2:$A$2001,A1026)</f>
        <v>1</v>
      </c>
      <c r="T1026">
        <f>IF(AND(S1026&gt;1,COUNTIF($A$2:A1026,A1026)=1),1,0)</f>
        <v>0</v>
      </c>
      <c r="U1026">
        <f>COUNTIF(Customers!$A$2:$A$301,C1026)</f>
        <v>1</v>
      </c>
      <c r="V1026">
        <f t="shared" ref="V1026:V1089" si="50">IF(AND(K1026="Bengaluru",L1026="Grocery"),I1026,0)</f>
        <v>0</v>
      </c>
    </row>
    <row r="1027" spans="1:22" ht="14.25" customHeight="1" x14ac:dyDescent="0.35">
      <c r="A1027" s="10" t="s">
        <v>1473</v>
      </c>
      <c r="B1027" s="11">
        <v>45411</v>
      </c>
      <c r="C1027" s="10" t="s">
        <v>139</v>
      </c>
      <c r="D1027" s="10" t="s">
        <v>159</v>
      </c>
      <c r="E1027" s="10" t="s">
        <v>62</v>
      </c>
      <c r="F1027" s="12">
        <v>2</v>
      </c>
      <c r="G1027" s="12">
        <v>2860</v>
      </c>
      <c r="H1027" s="12">
        <v>20.100000000000001</v>
      </c>
      <c r="I1027" s="12">
        <v>4570.28</v>
      </c>
      <c r="J1027" s="10" t="s">
        <v>51</v>
      </c>
      <c r="K1027" s="10" t="s">
        <v>97</v>
      </c>
      <c r="L1027" t="str">
        <f>IFERROR(VLOOKUP(D1027,Products!A:F,3,0),"")</f>
        <v>Sports</v>
      </c>
      <c r="M1027" t="str">
        <f>IFERROR(VLOOKUP(E1027,Sales_Reps!A:E,3,0),"")</f>
        <v>South</v>
      </c>
      <c r="N1027" t="str">
        <f>IFERROR(VLOOKUP(C1027,Customers!A:F,5,0),"")</f>
        <v>SMB</v>
      </c>
      <c r="O1027">
        <f>IFERROR(VLOOKUP(C1027,Customers!A:F,3,0),"")</f>
        <v>40</v>
      </c>
      <c r="P1027">
        <f>IFERROR(VLOOKUP(D1027,Products!A:F,4,0),"")</f>
        <v>2028</v>
      </c>
      <c r="Q1027" t="b">
        <f>IFERROR(VLOOKUP(D1027,Products!A:F,6,0),"")</f>
        <v>1</v>
      </c>
      <c r="R1027">
        <f t="shared" si="48"/>
        <v>0.29090909090909089</v>
      </c>
      <c r="S1027">
        <f t="shared" si="49"/>
        <v>1</v>
      </c>
      <c r="T1027">
        <f>IF(AND(S1027&gt;1,COUNTIF($A$2:A1027,A1027)=1),1,0)</f>
        <v>0</v>
      </c>
      <c r="U1027">
        <f>COUNTIF(Customers!$A$2:$A$301,C1027)</f>
        <v>1</v>
      </c>
      <c r="V1027">
        <f t="shared" si="50"/>
        <v>0</v>
      </c>
    </row>
    <row r="1028" spans="1:22" ht="14.25" customHeight="1" x14ac:dyDescent="0.35">
      <c r="A1028" s="10" t="s">
        <v>1474</v>
      </c>
      <c r="B1028" s="11">
        <v>45461</v>
      </c>
      <c r="C1028" s="10" t="s">
        <v>850</v>
      </c>
      <c r="D1028" s="10" t="s">
        <v>102</v>
      </c>
      <c r="E1028" s="10" t="s">
        <v>85</v>
      </c>
      <c r="F1028" s="12">
        <v>9</v>
      </c>
      <c r="G1028" s="12">
        <v>2600</v>
      </c>
      <c r="H1028" s="12">
        <v>15.9</v>
      </c>
      <c r="I1028" s="12">
        <v>19679.400000000001</v>
      </c>
      <c r="J1028" s="10" t="s">
        <v>104</v>
      </c>
      <c r="K1028" s="10" t="s">
        <v>58</v>
      </c>
      <c r="L1028" t="str">
        <f>IFERROR(VLOOKUP(D1028,Products!A:F,3,0),"")</f>
        <v>Electronics</v>
      </c>
      <c r="M1028" t="str">
        <f>IFERROR(VLOOKUP(E1028,Sales_Reps!A:E,3,0),"")</f>
        <v>East</v>
      </c>
      <c r="N1028" t="str">
        <f>IFERROR(VLOOKUP(C1028,Customers!A:F,5,0),"")</f>
        <v>Corporate</v>
      </c>
      <c r="O1028">
        <f>IFERROR(VLOOKUP(C1028,Customers!A:F,3,0),"")</f>
        <v>44</v>
      </c>
      <c r="P1028">
        <f>IFERROR(VLOOKUP(D1028,Products!A:F,4,0),"")</f>
        <v>1052</v>
      </c>
      <c r="Q1028" t="b">
        <f>IFERROR(VLOOKUP(D1028,Products!A:F,6,0),"")</f>
        <v>1</v>
      </c>
      <c r="R1028">
        <f t="shared" si="48"/>
        <v>0.5953846153846154</v>
      </c>
      <c r="S1028">
        <f t="shared" si="49"/>
        <v>1</v>
      </c>
      <c r="T1028">
        <f>IF(AND(S1028&gt;1,COUNTIF($A$2:A1028,A1028)=1),1,0)</f>
        <v>0</v>
      </c>
      <c r="U1028">
        <f>COUNTIF(Customers!$A$2:$A$301,C1028)</f>
        <v>1</v>
      </c>
      <c r="V1028">
        <f t="shared" si="50"/>
        <v>0</v>
      </c>
    </row>
    <row r="1029" spans="1:22" ht="14.25" customHeight="1" x14ac:dyDescent="0.35">
      <c r="A1029" s="10" t="s">
        <v>1475</v>
      </c>
      <c r="B1029" s="11">
        <v>45409</v>
      </c>
      <c r="C1029" s="10" t="s">
        <v>457</v>
      </c>
      <c r="D1029" s="10" t="s">
        <v>61</v>
      </c>
      <c r="E1029" s="10" t="s">
        <v>80</v>
      </c>
      <c r="F1029" s="12">
        <v>10</v>
      </c>
      <c r="G1029" s="12">
        <v>470</v>
      </c>
      <c r="H1029" s="12">
        <v>23.1</v>
      </c>
      <c r="I1029" s="12">
        <v>3614.3</v>
      </c>
      <c r="J1029" s="10" t="s">
        <v>57</v>
      </c>
      <c r="K1029" s="10" t="s">
        <v>52</v>
      </c>
      <c r="L1029" t="str">
        <f>IFERROR(VLOOKUP(D1029,Products!A:F,3,0),"")</f>
        <v>Sports</v>
      </c>
      <c r="M1029" t="str">
        <f>IFERROR(VLOOKUP(E1029,Sales_Reps!A:E,3,0),"")</f>
        <v>West</v>
      </c>
      <c r="N1029" t="str">
        <f>IFERROR(VLOOKUP(C1029,Customers!A:F,5,0),"")</f>
        <v>Retail</v>
      </c>
      <c r="O1029">
        <f>IFERROR(VLOOKUP(C1029,Customers!A:F,3,0),"")</f>
        <v>57</v>
      </c>
      <c r="P1029">
        <f>IFERROR(VLOOKUP(D1029,Products!A:F,4,0),"")</f>
        <v>302</v>
      </c>
      <c r="Q1029" t="b">
        <f>IFERROR(VLOOKUP(D1029,Products!A:F,6,0),"")</f>
        <v>0</v>
      </c>
      <c r="R1029">
        <f t="shared" si="48"/>
        <v>0.35744680851063831</v>
      </c>
      <c r="S1029">
        <f t="shared" si="49"/>
        <v>1</v>
      </c>
      <c r="T1029">
        <f>IF(AND(S1029&gt;1,COUNTIF($A$2:A1029,A1029)=1),1,0)</f>
        <v>0</v>
      </c>
      <c r="U1029">
        <f>COUNTIF(Customers!$A$2:$A$301,C1029)</f>
        <v>1</v>
      </c>
      <c r="V1029">
        <f t="shared" si="50"/>
        <v>0</v>
      </c>
    </row>
    <row r="1030" spans="1:22" ht="14.25" customHeight="1" x14ac:dyDescent="0.35">
      <c r="A1030" s="10" t="s">
        <v>1476</v>
      </c>
      <c r="B1030" s="11">
        <v>45495</v>
      </c>
      <c r="C1030" s="10" t="s">
        <v>130</v>
      </c>
      <c r="D1030" s="10" t="s">
        <v>167</v>
      </c>
      <c r="E1030" s="10" t="s">
        <v>216</v>
      </c>
      <c r="F1030" s="12">
        <v>10</v>
      </c>
      <c r="G1030" s="12">
        <v>660</v>
      </c>
      <c r="H1030" s="12">
        <v>9.4</v>
      </c>
      <c r="I1030" s="12">
        <v>5979.6</v>
      </c>
      <c r="J1030" s="10" t="s">
        <v>51</v>
      </c>
      <c r="K1030" s="10" t="s">
        <v>97</v>
      </c>
      <c r="L1030" t="str">
        <f>IFERROR(VLOOKUP(D1030,Products!A:F,3,0),"")</f>
        <v>Home</v>
      </c>
      <c r="M1030" t="str">
        <f>IFERROR(VLOOKUP(E1030,Sales_Reps!A:E,3,0),"")</f>
        <v>South</v>
      </c>
      <c r="N1030" t="str">
        <f>IFERROR(VLOOKUP(C1030,Customers!A:F,5,0),"")</f>
        <v>Retail</v>
      </c>
      <c r="O1030">
        <f>IFERROR(VLOOKUP(C1030,Customers!A:F,3,0),"")</f>
        <v>32</v>
      </c>
      <c r="P1030">
        <f>IFERROR(VLOOKUP(D1030,Products!A:F,4,0),"")</f>
        <v>329</v>
      </c>
      <c r="Q1030" t="b">
        <f>IFERROR(VLOOKUP(D1030,Products!A:F,6,0),"")</f>
        <v>1</v>
      </c>
      <c r="R1030">
        <f t="shared" si="48"/>
        <v>0.50151515151515147</v>
      </c>
      <c r="S1030">
        <f t="shared" si="49"/>
        <v>1</v>
      </c>
      <c r="T1030">
        <f>IF(AND(S1030&gt;1,COUNTIF($A$2:A1030,A1030)=1),1,0)</f>
        <v>0</v>
      </c>
      <c r="U1030">
        <f>COUNTIF(Customers!$A$2:$A$301,C1030)</f>
        <v>1</v>
      </c>
      <c r="V1030">
        <f t="shared" si="50"/>
        <v>0</v>
      </c>
    </row>
    <row r="1031" spans="1:22" ht="14.25" customHeight="1" x14ac:dyDescent="0.35">
      <c r="A1031" s="10" t="s">
        <v>1477</v>
      </c>
      <c r="B1031" s="11">
        <v>45307</v>
      </c>
      <c r="C1031" s="10" t="s">
        <v>443</v>
      </c>
      <c r="D1031" s="10" t="s">
        <v>231</v>
      </c>
      <c r="E1031" s="10" t="s">
        <v>118</v>
      </c>
      <c r="F1031" s="12">
        <v>5</v>
      </c>
      <c r="G1031" s="12">
        <v>1220</v>
      </c>
      <c r="H1031" s="12">
        <v>23.3</v>
      </c>
      <c r="I1031" s="12">
        <v>4678.7</v>
      </c>
      <c r="J1031" s="10" t="s">
        <v>51</v>
      </c>
      <c r="K1031" s="10" t="s">
        <v>52</v>
      </c>
      <c r="L1031" t="str">
        <f>IFERROR(VLOOKUP(D1031,Products!A:F,3,0),"")</f>
        <v>Electronics</v>
      </c>
      <c r="M1031" t="str">
        <f>IFERROR(VLOOKUP(E1031,Sales_Reps!A:E,3,0),"")</f>
        <v>East</v>
      </c>
      <c r="N1031" t="str">
        <f>IFERROR(VLOOKUP(C1031,Customers!A:F,5,0),"")</f>
        <v>SMB</v>
      </c>
      <c r="O1031">
        <f>IFERROR(VLOOKUP(C1031,Customers!A:F,3,0),"")</f>
        <v>49</v>
      </c>
      <c r="P1031">
        <f>IFERROR(VLOOKUP(D1031,Products!A:F,4,0),"")</f>
        <v>517</v>
      </c>
      <c r="Q1031" t="b">
        <f>IFERROR(VLOOKUP(D1031,Products!A:F,6,0),"")</f>
        <v>1</v>
      </c>
      <c r="R1031">
        <f t="shared" si="48"/>
        <v>0.57622950819672136</v>
      </c>
      <c r="S1031">
        <f t="shared" si="49"/>
        <v>1</v>
      </c>
      <c r="T1031">
        <f>IF(AND(S1031&gt;1,COUNTIF($A$2:A1031,A1031)=1),1,0)</f>
        <v>0</v>
      </c>
      <c r="U1031">
        <f>COUNTIF(Customers!$A$2:$A$301,C1031)</f>
        <v>1</v>
      </c>
      <c r="V1031">
        <f t="shared" si="50"/>
        <v>0</v>
      </c>
    </row>
    <row r="1032" spans="1:22" ht="14.25" customHeight="1" x14ac:dyDescent="0.35">
      <c r="A1032" s="10" t="s">
        <v>1478</v>
      </c>
      <c r="B1032" s="11">
        <v>45294</v>
      </c>
      <c r="C1032" s="10" t="s">
        <v>559</v>
      </c>
      <c r="D1032" s="10" t="s">
        <v>107</v>
      </c>
      <c r="E1032" s="10" t="s">
        <v>237</v>
      </c>
      <c r="F1032" s="12">
        <v>9</v>
      </c>
      <c r="G1032" s="12">
        <v>3250</v>
      </c>
      <c r="H1032" s="12">
        <v>19.600000000000001</v>
      </c>
      <c r="I1032" s="12">
        <v>23517</v>
      </c>
      <c r="J1032" s="10" t="s">
        <v>57</v>
      </c>
      <c r="K1032" s="10" t="s">
        <v>63</v>
      </c>
      <c r="L1032" t="str">
        <f>IFERROR(VLOOKUP(D1032,Products!A:F,3,0),"")</f>
        <v>Home</v>
      </c>
      <c r="M1032" t="str">
        <f>IFERROR(VLOOKUP(E1032,Sales_Reps!A:E,3,0),"")</f>
        <v>South</v>
      </c>
      <c r="N1032" t="str">
        <f>IFERROR(VLOOKUP(C1032,Customers!A:F,5,0),"")</f>
        <v>SMB</v>
      </c>
      <c r="O1032">
        <f>IFERROR(VLOOKUP(C1032,Customers!A:F,3,0),"")</f>
        <v>48</v>
      </c>
      <c r="P1032">
        <f>IFERROR(VLOOKUP(D1032,Products!A:F,4,0),"")</f>
        <v>1556</v>
      </c>
      <c r="Q1032" t="b">
        <f>IFERROR(VLOOKUP(D1032,Products!A:F,6,0),"")</f>
        <v>1</v>
      </c>
      <c r="R1032">
        <f t="shared" si="48"/>
        <v>0.52123076923076928</v>
      </c>
      <c r="S1032">
        <f t="shared" si="49"/>
        <v>1</v>
      </c>
      <c r="T1032">
        <f>IF(AND(S1032&gt;1,COUNTIF($A$2:A1032,A1032)=1),1,0)</f>
        <v>0</v>
      </c>
      <c r="U1032">
        <f>COUNTIF(Customers!$A$2:$A$301,C1032)</f>
        <v>1</v>
      </c>
      <c r="V1032">
        <f t="shared" si="50"/>
        <v>0</v>
      </c>
    </row>
    <row r="1033" spans="1:22" ht="14.25" customHeight="1" x14ac:dyDescent="0.35">
      <c r="A1033" s="10" t="s">
        <v>1479</v>
      </c>
      <c r="B1033" s="11">
        <v>45542</v>
      </c>
      <c r="C1033" s="10" t="s">
        <v>1155</v>
      </c>
      <c r="D1033" s="10" t="s">
        <v>256</v>
      </c>
      <c r="E1033" s="10" t="s">
        <v>267</v>
      </c>
      <c r="F1033" s="12">
        <v>7</v>
      </c>
      <c r="G1033" s="12">
        <v>620</v>
      </c>
      <c r="H1033" s="12">
        <v>29</v>
      </c>
      <c r="I1033" s="12">
        <v>3081.4</v>
      </c>
      <c r="J1033" s="10" t="s">
        <v>51</v>
      </c>
      <c r="K1033" s="10" t="s">
        <v>81</v>
      </c>
      <c r="L1033" t="str">
        <f>IFERROR(VLOOKUP(D1033,Products!A:F,3,0),"")</f>
        <v>Apparel</v>
      </c>
      <c r="M1033" t="str">
        <f>IFERROR(VLOOKUP(E1033,Sales_Reps!A:E,3,0),"")</f>
        <v>East</v>
      </c>
      <c r="N1033" t="str">
        <f>IFERROR(VLOOKUP(C1033,Customers!A:F,5,0),"")</f>
        <v>Retail</v>
      </c>
      <c r="O1033">
        <f>IFERROR(VLOOKUP(C1033,Customers!A:F,3,0),"")</f>
        <v>36</v>
      </c>
      <c r="P1033">
        <f>IFERROR(VLOOKUP(D1033,Products!A:F,4,0),"")</f>
        <v>396</v>
      </c>
      <c r="Q1033" t="b">
        <f>IFERROR(VLOOKUP(D1033,Products!A:F,6,0),"")</f>
        <v>1</v>
      </c>
      <c r="R1033">
        <f t="shared" si="48"/>
        <v>0.36129032258064514</v>
      </c>
      <c r="S1033">
        <f t="shared" si="49"/>
        <v>1</v>
      </c>
      <c r="T1033">
        <f>IF(AND(S1033&gt;1,COUNTIF($A$2:A1033,A1033)=1),1,0)</f>
        <v>0</v>
      </c>
      <c r="U1033">
        <f>COUNTIF(Customers!$A$2:$A$301,C1033)</f>
        <v>1</v>
      </c>
      <c r="V1033">
        <f t="shared" si="50"/>
        <v>0</v>
      </c>
    </row>
    <row r="1034" spans="1:22" ht="14.25" customHeight="1" x14ac:dyDescent="0.35">
      <c r="A1034" s="10" t="s">
        <v>1480</v>
      </c>
      <c r="B1034" s="11">
        <v>45453</v>
      </c>
      <c r="C1034" s="10" t="s">
        <v>127</v>
      </c>
      <c r="D1034" s="10" t="s">
        <v>228</v>
      </c>
      <c r="E1034" s="10" t="s">
        <v>67</v>
      </c>
      <c r="F1034" s="12">
        <v>9</v>
      </c>
      <c r="G1034" s="12">
        <v>4070</v>
      </c>
      <c r="H1034" s="12">
        <v>16.2</v>
      </c>
      <c r="I1034" s="12">
        <v>30695.94</v>
      </c>
      <c r="J1034" s="10" t="s">
        <v>51</v>
      </c>
      <c r="K1034" s="10" t="s">
        <v>58</v>
      </c>
      <c r="L1034" t="str">
        <f>IFERROR(VLOOKUP(D1034,Products!A:F,3,0),"")</f>
        <v>Grocery</v>
      </c>
      <c r="M1034" t="str">
        <f>IFERROR(VLOOKUP(E1034,Sales_Reps!A:E,3,0),"")</f>
        <v>North</v>
      </c>
      <c r="N1034" t="str">
        <f>IFERROR(VLOOKUP(C1034,Customers!A:F,5,0),"")</f>
        <v>Retail</v>
      </c>
      <c r="O1034">
        <f>IFERROR(VLOOKUP(C1034,Customers!A:F,3,0),"")</f>
        <v>49</v>
      </c>
      <c r="P1034">
        <f>IFERROR(VLOOKUP(D1034,Products!A:F,4,0),"")</f>
        <v>2027</v>
      </c>
      <c r="Q1034" t="b">
        <f>IFERROR(VLOOKUP(D1034,Products!A:F,6,0),"")</f>
        <v>1</v>
      </c>
      <c r="R1034">
        <f t="shared" si="48"/>
        <v>0.50196560196560192</v>
      </c>
      <c r="S1034">
        <f t="shared" si="49"/>
        <v>1</v>
      </c>
      <c r="T1034">
        <f>IF(AND(S1034&gt;1,COUNTIF($A$2:A1034,A1034)=1),1,0)</f>
        <v>0</v>
      </c>
      <c r="U1034">
        <f>COUNTIF(Customers!$A$2:$A$301,C1034)</f>
        <v>1</v>
      </c>
      <c r="V1034">
        <f t="shared" si="50"/>
        <v>0</v>
      </c>
    </row>
    <row r="1035" spans="1:22" ht="14.25" customHeight="1" x14ac:dyDescent="0.35">
      <c r="A1035" s="10" t="s">
        <v>1481</v>
      </c>
      <c r="B1035" s="11">
        <v>45351</v>
      </c>
      <c r="C1035" s="10" t="s">
        <v>964</v>
      </c>
      <c r="D1035" s="10" t="s">
        <v>70</v>
      </c>
      <c r="E1035" s="10" t="s">
        <v>50</v>
      </c>
      <c r="F1035" s="12">
        <v>8</v>
      </c>
      <c r="G1035" s="12">
        <v>3160</v>
      </c>
      <c r="H1035" s="12">
        <v>23.8</v>
      </c>
      <c r="I1035" s="12">
        <v>19263.36</v>
      </c>
      <c r="J1035" s="10" t="s">
        <v>51</v>
      </c>
      <c r="K1035" s="10" t="s">
        <v>81</v>
      </c>
      <c r="L1035" t="str">
        <f>IFERROR(VLOOKUP(D1035,Products!A:F,3,0),"")</f>
        <v>Apparel</v>
      </c>
      <c r="M1035" t="str">
        <f>IFERROR(VLOOKUP(E1035,Sales_Reps!A:E,3,0),"")</f>
        <v>North</v>
      </c>
      <c r="N1035" t="str">
        <f>IFERROR(VLOOKUP(C1035,Customers!A:F,5,0),"")</f>
        <v>Retail</v>
      </c>
      <c r="O1035">
        <f>IFERROR(VLOOKUP(C1035,Customers!A:F,3,0),"")</f>
        <v>27</v>
      </c>
      <c r="P1035">
        <f>IFERROR(VLOOKUP(D1035,Products!A:F,4,0),"")</f>
        <v>1886</v>
      </c>
      <c r="Q1035" t="b">
        <f>IFERROR(VLOOKUP(D1035,Products!A:F,6,0),"")</f>
        <v>1</v>
      </c>
      <c r="R1035">
        <f t="shared" si="48"/>
        <v>0.4031645569620253</v>
      </c>
      <c r="S1035">
        <f t="shared" si="49"/>
        <v>1</v>
      </c>
      <c r="T1035">
        <f>IF(AND(S1035&gt;1,COUNTIF($A$2:A1035,A1035)=1),1,0)</f>
        <v>0</v>
      </c>
      <c r="U1035">
        <f>COUNTIF(Customers!$A$2:$A$301,C1035)</f>
        <v>1</v>
      </c>
      <c r="V1035">
        <f t="shared" si="50"/>
        <v>0</v>
      </c>
    </row>
    <row r="1036" spans="1:22" ht="14.25" customHeight="1" x14ac:dyDescent="0.35">
      <c r="A1036" s="10" t="s">
        <v>1482</v>
      </c>
      <c r="B1036" s="11">
        <v>45422</v>
      </c>
      <c r="C1036" s="10" t="s">
        <v>69</v>
      </c>
      <c r="D1036" s="10" t="s">
        <v>302</v>
      </c>
      <c r="E1036" s="10" t="s">
        <v>249</v>
      </c>
      <c r="F1036" s="12">
        <v>3</v>
      </c>
      <c r="G1036" s="12">
        <v>2210</v>
      </c>
      <c r="H1036" s="12">
        <v>29.7</v>
      </c>
      <c r="I1036" s="12">
        <v>4660.8900000000003</v>
      </c>
      <c r="J1036" s="10" t="s">
        <v>51</v>
      </c>
      <c r="K1036" s="10" t="s">
        <v>58</v>
      </c>
      <c r="L1036" t="str">
        <f>IFERROR(VLOOKUP(D1036,Products!A:F,3,0),"")</f>
        <v>Grocery</v>
      </c>
      <c r="M1036" t="str">
        <f>IFERROR(VLOOKUP(E1036,Sales_Reps!A:E,3,0),"")</f>
        <v>East</v>
      </c>
      <c r="N1036" t="str">
        <f>IFERROR(VLOOKUP(C1036,Customers!A:F,5,0),"")</f>
        <v>Retail</v>
      </c>
      <c r="O1036">
        <f>IFERROR(VLOOKUP(C1036,Customers!A:F,3,0),"")</f>
        <v>36</v>
      </c>
      <c r="P1036">
        <f>IFERROR(VLOOKUP(D1036,Products!A:F,4,0),"")</f>
        <v>1010</v>
      </c>
      <c r="Q1036" t="b">
        <f>IFERROR(VLOOKUP(D1036,Products!A:F,6,0),"")</f>
        <v>1</v>
      </c>
      <c r="R1036">
        <f t="shared" si="48"/>
        <v>0.54298642533936647</v>
      </c>
      <c r="S1036">
        <f t="shared" si="49"/>
        <v>1</v>
      </c>
      <c r="T1036">
        <f>IF(AND(S1036&gt;1,COUNTIF($A$2:A1036,A1036)=1),1,0)</f>
        <v>0</v>
      </c>
      <c r="U1036">
        <f>COUNTIF(Customers!$A$2:$A$301,C1036)</f>
        <v>1</v>
      </c>
      <c r="V1036">
        <f t="shared" si="50"/>
        <v>0</v>
      </c>
    </row>
    <row r="1037" spans="1:22" ht="14.25" customHeight="1" x14ac:dyDescent="0.35">
      <c r="A1037" s="10" t="s">
        <v>1483</v>
      </c>
      <c r="B1037" s="11">
        <v>45361</v>
      </c>
      <c r="C1037" s="10" t="s">
        <v>566</v>
      </c>
      <c r="D1037" s="10" t="s">
        <v>61</v>
      </c>
      <c r="E1037" s="10" t="s">
        <v>75</v>
      </c>
      <c r="F1037" s="12">
        <v>9</v>
      </c>
      <c r="G1037" s="12">
        <v>470</v>
      </c>
      <c r="H1037" s="12">
        <v>27.1</v>
      </c>
      <c r="I1037" s="12">
        <v>3083.67</v>
      </c>
      <c r="J1037" s="10" t="s">
        <v>51</v>
      </c>
      <c r="K1037" s="10" t="s">
        <v>58</v>
      </c>
      <c r="L1037" t="str">
        <f>IFERROR(VLOOKUP(D1037,Products!A:F,3,0),"")</f>
        <v>Sports</v>
      </c>
      <c r="M1037" t="str">
        <f>IFERROR(VLOOKUP(E1037,Sales_Reps!A:E,3,0),"")</f>
        <v>West</v>
      </c>
      <c r="N1037" t="str">
        <f>IFERROR(VLOOKUP(C1037,Customers!A:F,5,0),"")</f>
        <v>Retail</v>
      </c>
      <c r="O1037">
        <f>IFERROR(VLOOKUP(C1037,Customers!A:F,3,0),"")</f>
        <v>61</v>
      </c>
      <c r="P1037">
        <f>IFERROR(VLOOKUP(D1037,Products!A:F,4,0),"")</f>
        <v>302</v>
      </c>
      <c r="Q1037" t="b">
        <f>IFERROR(VLOOKUP(D1037,Products!A:F,6,0),"")</f>
        <v>0</v>
      </c>
      <c r="R1037">
        <f t="shared" si="48"/>
        <v>0.35744680851063831</v>
      </c>
      <c r="S1037">
        <f t="shared" si="49"/>
        <v>1</v>
      </c>
      <c r="T1037">
        <f>IF(AND(S1037&gt;1,COUNTIF($A$2:A1037,A1037)=1),1,0)</f>
        <v>0</v>
      </c>
      <c r="U1037">
        <f>COUNTIF(Customers!$A$2:$A$301,C1037)</f>
        <v>1</v>
      </c>
      <c r="V1037">
        <f t="shared" si="50"/>
        <v>0</v>
      </c>
    </row>
    <row r="1038" spans="1:22" ht="14.25" customHeight="1" x14ac:dyDescent="0.35">
      <c r="A1038" s="10" t="s">
        <v>1484</v>
      </c>
      <c r="B1038" s="11">
        <v>45622</v>
      </c>
      <c r="C1038" s="10" t="s">
        <v>253</v>
      </c>
      <c r="D1038" s="10" t="s">
        <v>74</v>
      </c>
      <c r="E1038" s="10" t="s">
        <v>156</v>
      </c>
      <c r="F1038" s="12">
        <v>6</v>
      </c>
      <c r="G1038" s="12">
        <v>370</v>
      </c>
      <c r="H1038" s="12">
        <v>5.4</v>
      </c>
      <c r="I1038" s="12">
        <v>2100.12</v>
      </c>
      <c r="J1038" s="10" t="s">
        <v>51</v>
      </c>
      <c r="K1038" s="10" t="s">
        <v>58</v>
      </c>
      <c r="L1038" t="str">
        <f>IFERROR(VLOOKUP(D1038,Products!A:F,3,0),"")</f>
        <v>Home</v>
      </c>
      <c r="M1038" t="str">
        <f>IFERROR(VLOOKUP(E1038,Sales_Reps!A:E,3,0),"")</f>
        <v>East</v>
      </c>
      <c r="N1038" t="str">
        <f>IFERROR(VLOOKUP(C1038,Customers!A:F,5,0),"")</f>
        <v>Retail</v>
      </c>
      <c r="O1038">
        <f>IFERROR(VLOOKUP(C1038,Customers!A:F,3,0),"")</f>
        <v>38</v>
      </c>
      <c r="P1038">
        <f>IFERROR(VLOOKUP(D1038,Products!A:F,4,0),"")</f>
        <v>288</v>
      </c>
      <c r="Q1038" t="b">
        <f>IFERROR(VLOOKUP(D1038,Products!A:F,6,0),"")</f>
        <v>1</v>
      </c>
      <c r="R1038">
        <f t="shared" si="48"/>
        <v>0.22162162162162163</v>
      </c>
      <c r="S1038">
        <f t="shared" si="49"/>
        <v>1</v>
      </c>
      <c r="T1038">
        <f>IF(AND(S1038&gt;1,COUNTIF($A$2:A1038,A1038)=1),1,0)</f>
        <v>0</v>
      </c>
      <c r="U1038">
        <f>COUNTIF(Customers!$A$2:$A$301,C1038)</f>
        <v>1</v>
      </c>
      <c r="V1038">
        <f t="shared" si="50"/>
        <v>0</v>
      </c>
    </row>
    <row r="1039" spans="1:22" ht="14.25" customHeight="1" x14ac:dyDescent="0.35">
      <c r="A1039" s="10" t="s">
        <v>1485</v>
      </c>
      <c r="B1039" s="11">
        <v>45496</v>
      </c>
      <c r="C1039" s="10" t="s">
        <v>577</v>
      </c>
      <c r="D1039" s="10" t="s">
        <v>425</v>
      </c>
      <c r="E1039" s="10" t="s">
        <v>267</v>
      </c>
      <c r="F1039" s="12">
        <v>10</v>
      </c>
      <c r="G1039" s="12">
        <v>3780</v>
      </c>
      <c r="H1039" s="12">
        <v>21.5</v>
      </c>
      <c r="I1039" s="12">
        <v>29673</v>
      </c>
      <c r="J1039" s="10" t="s">
        <v>57</v>
      </c>
      <c r="K1039" s="10" t="s">
        <v>76</v>
      </c>
      <c r="L1039" t="str">
        <f>IFERROR(VLOOKUP(D1039,Products!A:F,3,0),"")</f>
        <v>Sports</v>
      </c>
      <c r="M1039" t="str">
        <f>IFERROR(VLOOKUP(E1039,Sales_Reps!A:E,3,0),"")</f>
        <v>East</v>
      </c>
      <c r="N1039" t="str">
        <f>IFERROR(VLOOKUP(C1039,Customers!A:F,5,0),"")</f>
        <v>Retail</v>
      </c>
      <c r="O1039">
        <f>IFERROR(VLOOKUP(C1039,Customers!A:F,3,0),"")</f>
        <v>44</v>
      </c>
      <c r="P1039">
        <f>IFERROR(VLOOKUP(D1039,Products!A:F,4,0),"")</f>
        <v>1860</v>
      </c>
      <c r="Q1039" t="b">
        <f>IFERROR(VLOOKUP(D1039,Products!A:F,6,0),"")</f>
        <v>1</v>
      </c>
      <c r="R1039">
        <f t="shared" si="48"/>
        <v>0.50793650793650791</v>
      </c>
      <c r="S1039">
        <f t="shared" si="49"/>
        <v>1</v>
      </c>
      <c r="T1039">
        <f>IF(AND(S1039&gt;1,COUNTIF($A$2:A1039,A1039)=1),1,0)</f>
        <v>0</v>
      </c>
      <c r="U1039">
        <f>COUNTIF(Customers!$A$2:$A$301,C1039)</f>
        <v>1</v>
      </c>
      <c r="V1039">
        <f t="shared" si="50"/>
        <v>0</v>
      </c>
    </row>
    <row r="1040" spans="1:22" ht="14.25" customHeight="1" x14ac:dyDescent="0.35">
      <c r="A1040" s="10" t="s">
        <v>1486</v>
      </c>
      <c r="B1040" s="11">
        <v>45578</v>
      </c>
      <c r="C1040" s="10" t="s">
        <v>454</v>
      </c>
      <c r="D1040" s="10" t="s">
        <v>479</v>
      </c>
      <c r="E1040" s="10" t="s">
        <v>168</v>
      </c>
      <c r="F1040" s="12">
        <v>4</v>
      </c>
      <c r="G1040" s="12">
        <v>6940</v>
      </c>
      <c r="H1040" s="12">
        <v>3.9</v>
      </c>
      <c r="I1040" s="12">
        <v>26677.360000000001</v>
      </c>
      <c r="J1040" s="10" t="s">
        <v>104</v>
      </c>
      <c r="K1040" s="10" t="s">
        <v>63</v>
      </c>
      <c r="L1040" t="str">
        <f>IFERROR(VLOOKUP(D1040,Products!A:F,3,0),"")</f>
        <v>Sports</v>
      </c>
      <c r="M1040" t="str">
        <f>IFERROR(VLOOKUP(E1040,Sales_Reps!A:E,3,0),"")</f>
        <v>South</v>
      </c>
      <c r="N1040" t="str">
        <f>IFERROR(VLOOKUP(C1040,Customers!A:F,5,0),"")</f>
        <v>Retail</v>
      </c>
      <c r="O1040">
        <f>IFERROR(VLOOKUP(C1040,Customers!A:F,3,0),"")</f>
        <v>59</v>
      </c>
      <c r="P1040">
        <f>IFERROR(VLOOKUP(D1040,Products!A:F,4,0),"")</f>
        <v>2827</v>
      </c>
      <c r="Q1040" t="b">
        <f>IFERROR(VLOOKUP(D1040,Products!A:F,6,0),"")</f>
        <v>1</v>
      </c>
      <c r="R1040">
        <f t="shared" si="48"/>
        <v>0.5926512968299712</v>
      </c>
      <c r="S1040">
        <f t="shared" si="49"/>
        <v>1</v>
      </c>
      <c r="T1040">
        <f>IF(AND(S1040&gt;1,COUNTIF($A$2:A1040,A1040)=1),1,0)</f>
        <v>0</v>
      </c>
      <c r="U1040">
        <f>COUNTIF(Customers!$A$2:$A$301,C1040)</f>
        <v>1</v>
      </c>
      <c r="V1040">
        <f t="shared" si="50"/>
        <v>0</v>
      </c>
    </row>
    <row r="1041" spans="1:22" ht="14.25" customHeight="1" x14ac:dyDescent="0.35">
      <c r="A1041" s="10" t="s">
        <v>1487</v>
      </c>
      <c r="B1041" s="11">
        <v>45476</v>
      </c>
      <c r="C1041" s="10" t="s">
        <v>497</v>
      </c>
      <c r="D1041" s="10" t="s">
        <v>190</v>
      </c>
      <c r="E1041" s="10" t="s">
        <v>249</v>
      </c>
      <c r="F1041" s="12">
        <v>3</v>
      </c>
      <c r="G1041" s="12">
        <v>3730</v>
      </c>
      <c r="H1041" s="12">
        <v>20.7</v>
      </c>
      <c r="I1041" s="12">
        <v>8873.67</v>
      </c>
      <c r="J1041" s="10" t="s">
        <v>51</v>
      </c>
      <c r="K1041" s="10" t="s">
        <v>63</v>
      </c>
      <c r="L1041" t="str">
        <f>IFERROR(VLOOKUP(D1041,Products!A:F,3,0),"")</f>
        <v>Home</v>
      </c>
      <c r="M1041" t="str">
        <f>IFERROR(VLOOKUP(E1041,Sales_Reps!A:E,3,0),"")</f>
        <v>East</v>
      </c>
      <c r="N1041" t="str">
        <f>IFERROR(VLOOKUP(C1041,Customers!A:F,5,0),"")</f>
        <v>SMB</v>
      </c>
      <c r="O1041">
        <f>IFERROR(VLOOKUP(C1041,Customers!A:F,3,0),"")</f>
        <v>48</v>
      </c>
      <c r="P1041">
        <f>IFERROR(VLOOKUP(D1041,Products!A:F,4,0),"")</f>
        <v>2135</v>
      </c>
      <c r="Q1041" t="b">
        <f>IFERROR(VLOOKUP(D1041,Products!A:F,6,0),"")</f>
        <v>1</v>
      </c>
      <c r="R1041">
        <f t="shared" si="48"/>
        <v>0.42761394101876676</v>
      </c>
      <c r="S1041">
        <f t="shared" si="49"/>
        <v>1</v>
      </c>
      <c r="T1041">
        <f>IF(AND(S1041&gt;1,COUNTIF($A$2:A1041,A1041)=1),1,0)</f>
        <v>0</v>
      </c>
      <c r="U1041">
        <f>COUNTIF(Customers!$A$2:$A$301,C1041)</f>
        <v>1</v>
      </c>
      <c r="V1041">
        <f t="shared" si="50"/>
        <v>0</v>
      </c>
    </row>
    <row r="1042" spans="1:22" ht="14.25" customHeight="1" x14ac:dyDescent="0.35">
      <c r="A1042" s="10" t="s">
        <v>1488</v>
      </c>
      <c r="B1042" s="11">
        <v>45300</v>
      </c>
      <c r="C1042" s="10" t="s">
        <v>1019</v>
      </c>
      <c r="D1042" s="10" t="s">
        <v>407</v>
      </c>
      <c r="E1042" s="10" t="s">
        <v>75</v>
      </c>
      <c r="F1042" s="12">
        <v>8</v>
      </c>
      <c r="G1042" s="12">
        <v>5080</v>
      </c>
      <c r="H1042" s="12">
        <v>6.2</v>
      </c>
      <c r="I1042" s="12">
        <v>38120.32</v>
      </c>
      <c r="J1042" s="10" t="s">
        <v>51</v>
      </c>
      <c r="K1042" s="10" t="s">
        <v>76</v>
      </c>
      <c r="L1042" t="str">
        <f>IFERROR(VLOOKUP(D1042,Products!A:F,3,0),"")</f>
        <v>Home</v>
      </c>
      <c r="M1042" t="str">
        <f>IFERROR(VLOOKUP(E1042,Sales_Reps!A:E,3,0),"")</f>
        <v>West</v>
      </c>
      <c r="N1042" t="str">
        <f>IFERROR(VLOOKUP(C1042,Customers!A:F,5,0),"")</f>
        <v>Retail</v>
      </c>
      <c r="O1042">
        <f>IFERROR(VLOOKUP(C1042,Customers!A:F,3,0),"")</f>
        <v>37</v>
      </c>
      <c r="P1042">
        <f>IFERROR(VLOOKUP(D1042,Products!A:F,4,0),"")</f>
        <v>2459</v>
      </c>
      <c r="Q1042" t="b">
        <f>IFERROR(VLOOKUP(D1042,Products!A:F,6,0),"")</f>
        <v>1</v>
      </c>
      <c r="R1042">
        <f t="shared" si="48"/>
        <v>0.51594488188976373</v>
      </c>
      <c r="S1042">
        <f t="shared" si="49"/>
        <v>1</v>
      </c>
      <c r="T1042">
        <f>IF(AND(S1042&gt;1,COUNTIF($A$2:A1042,A1042)=1),1,0)</f>
        <v>0</v>
      </c>
      <c r="U1042">
        <f>COUNTIF(Customers!$A$2:$A$301,C1042)</f>
        <v>1</v>
      </c>
      <c r="V1042">
        <f t="shared" si="50"/>
        <v>0</v>
      </c>
    </row>
    <row r="1043" spans="1:22" ht="14.25" customHeight="1" x14ac:dyDescent="0.35">
      <c r="A1043" s="10" t="s">
        <v>1489</v>
      </c>
      <c r="B1043" s="11">
        <v>45455</v>
      </c>
      <c r="C1043" s="10" t="s">
        <v>130</v>
      </c>
      <c r="D1043" s="10" t="s">
        <v>324</v>
      </c>
      <c r="E1043" s="10" t="s">
        <v>179</v>
      </c>
      <c r="F1043" s="12">
        <v>5</v>
      </c>
      <c r="G1043" s="12">
        <v>5410</v>
      </c>
      <c r="H1043" s="12">
        <v>5.2</v>
      </c>
      <c r="I1043" s="12">
        <v>25643.4</v>
      </c>
      <c r="J1043" s="10" t="s">
        <v>51</v>
      </c>
      <c r="K1043" s="10" t="s">
        <v>97</v>
      </c>
      <c r="L1043" t="str">
        <f>IFERROR(VLOOKUP(D1043,Products!A:F,3,0),"")</f>
        <v>Sports</v>
      </c>
      <c r="M1043" t="str">
        <f>IFERROR(VLOOKUP(E1043,Sales_Reps!A:E,3,0),"")</f>
        <v>North</v>
      </c>
      <c r="N1043" t="str">
        <f>IFERROR(VLOOKUP(C1043,Customers!A:F,5,0),"")</f>
        <v>Retail</v>
      </c>
      <c r="O1043">
        <f>IFERROR(VLOOKUP(C1043,Customers!A:F,3,0),"")</f>
        <v>32</v>
      </c>
      <c r="P1043">
        <f>IFERROR(VLOOKUP(D1043,Products!A:F,4,0),"")</f>
        <v>2265</v>
      </c>
      <c r="Q1043" t="b">
        <f>IFERROR(VLOOKUP(D1043,Products!A:F,6,0),"")</f>
        <v>1</v>
      </c>
      <c r="R1043">
        <f t="shared" si="48"/>
        <v>0.58133086876155271</v>
      </c>
      <c r="S1043">
        <f t="shared" si="49"/>
        <v>1</v>
      </c>
      <c r="T1043">
        <f>IF(AND(S1043&gt;1,COUNTIF($A$2:A1043,A1043)=1),1,0)</f>
        <v>0</v>
      </c>
      <c r="U1043">
        <f>COUNTIF(Customers!$A$2:$A$301,C1043)</f>
        <v>1</v>
      </c>
      <c r="V1043">
        <f t="shared" si="50"/>
        <v>0</v>
      </c>
    </row>
    <row r="1044" spans="1:22" ht="14.25" customHeight="1" x14ac:dyDescent="0.35">
      <c r="A1044" s="10" t="s">
        <v>1490</v>
      </c>
      <c r="B1044" s="11">
        <v>45404</v>
      </c>
      <c r="C1044" s="10" t="s">
        <v>384</v>
      </c>
      <c r="D1044" s="10" t="s">
        <v>137</v>
      </c>
      <c r="E1044" s="10" t="s">
        <v>165</v>
      </c>
      <c r="F1044" s="12">
        <v>6</v>
      </c>
      <c r="G1044" s="12">
        <v>2720</v>
      </c>
      <c r="H1044" s="12">
        <v>29.8</v>
      </c>
      <c r="I1044" s="12">
        <v>11456.64</v>
      </c>
      <c r="J1044" s="10" t="s">
        <v>57</v>
      </c>
      <c r="K1044" s="10" t="s">
        <v>63</v>
      </c>
      <c r="L1044" t="str">
        <f>IFERROR(VLOOKUP(D1044,Products!A:F,3,0),"")</f>
        <v>Apparel</v>
      </c>
      <c r="M1044" t="str">
        <f>IFERROR(VLOOKUP(E1044,Sales_Reps!A:E,3,0),"")</f>
        <v>West</v>
      </c>
      <c r="N1044" t="str">
        <f>IFERROR(VLOOKUP(C1044,Customers!A:F,5,0),"")</f>
        <v>Retail</v>
      </c>
      <c r="O1044">
        <f>IFERROR(VLOOKUP(C1044,Customers!A:F,3,0),"")</f>
        <v>44</v>
      </c>
      <c r="P1044">
        <f>IFERROR(VLOOKUP(D1044,Products!A:F,4,0),"")</f>
        <v>1962</v>
      </c>
      <c r="Q1044" t="b">
        <f>IFERROR(VLOOKUP(D1044,Products!A:F,6,0),"")</f>
        <v>1</v>
      </c>
      <c r="R1044">
        <f t="shared" si="48"/>
        <v>0.2786764705882353</v>
      </c>
      <c r="S1044">
        <f t="shared" si="49"/>
        <v>1</v>
      </c>
      <c r="T1044">
        <f>IF(AND(S1044&gt;1,COUNTIF($A$2:A1044,A1044)=1),1,0)</f>
        <v>0</v>
      </c>
      <c r="U1044">
        <f>COUNTIF(Customers!$A$2:$A$301,C1044)</f>
        <v>1</v>
      </c>
      <c r="V1044">
        <f t="shared" si="50"/>
        <v>0</v>
      </c>
    </row>
    <row r="1045" spans="1:22" ht="14.25" customHeight="1" x14ac:dyDescent="0.35">
      <c r="A1045" s="10" t="s">
        <v>1491</v>
      </c>
      <c r="B1045" s="11">
        <v>45468</v>
      </c>
      <c r="C1045" s="10" t="s">
        <v>340</v>
      </c>
      <c r="D1045" s="10" t="s">
        <v>231</v>
      </c>
      <c r="E1045" s="10" t="s">
        <v>96</v>
      </c>
      <c r="F1045" s="12">
        <v>1</v>
      </c>
      <c r="G1045" s="12">
        <v>1220</v>
      </c>
      <c r="H1045" s="12">
        <v>22.6</v>
      </c>
      <c r="I1045" s="12">
        <v>944.28</v>
      </c>
      <c r="J1045" s="10" t="s">
        <v>51</v>
      </c>
      <c r="K1045" s="10" t="s">
        <v>81</v>
      </c>
      <c r="L1045" t="str">
        <f>IFERROR(VLOOKUP(D1045,Products!A:F,3,0),"")</f>
        <v>Electronics</v>
      </c>
      <c r="M1045" t="str">
        <f>IFERROR(VLOOKUP(E1045,Sales_Reps!A:E,3,0),"")</f>
        <v>South</v>
      </c>
      <c r="N1045" t="str">
        <f>IFERROR(VLOOKUP(C1045,Customers!A:F,5,0),"")</f>
        <v>SMB</v>
      </c>
      <c r="O1045">
        <f>IFERROR(VLOOKUP(C1045,Customers!A:F,3,0),"")</f>
        <v>44</v>
      </c>
      <c r="P1045">
        <f>IFERROR(VLOOKUP(D1045,Products!A:F,4,0),"")</f>
        <v>517</v>
      </c>
      <c r="Q1045" t="b">
        <f>IFERROR(VLOOKUP(D1045,Products!A:F,6,0),"")</f>
        <v>1</v>
      </c>
      <c r="R1045">
        <f t="shared" si="48"/>
        <v>0.57622950819672136</v>
      </c>
      <c r="S1045">
        <f t="shared" si="49"/>
        <v>1</v>
      </c>
      <c r="T1045">
        <f>IF(AND(S1045&gt;1,COUNTIF($A$2:A1045,A1045)=1),1,0)</f>
        <v>0</v>
      </c>
      <c r="U1045">
        <f>COUNTIF(Customers!$A$2:$A$301,C1045)</f>
        <v>1</v>
      </c>
      <c r="V1045">
        <f t="shared" si="50"/>
        <v>0</v>
      </c>
    </row>
    <row r="1046" spans="1:22" ht="14.25" customHeight="1" x14ac:dyDescent="0.35">
      <c r="A1046" s="10" t="s">
        <v>1492</v>
      </c>
      <c r="B1046" s="11">
        <v>45640</v>
      </c>
      <c r="C1046" s="10" t="s">
        <v>1493</v>
      </c>
      <c r="D1046" s="10" t="s">
        <v>148</v>
      </c>
      <c r="E1046" s="10" t="s">
        <v>71</v>
      </c>
      <c r="F1046" s="12">
        <v>10</v>
      </c>
      <c r="G1046" s="12">
        <v>4880</v>
      </c>
      <c r="H1046" s="12">
        <v>7.3</v>
      </c>
      <c r="I1046" s="12">
        <v>45237.599999999999</v>
      </c>
      <c r="J1046" s="10" t="s">
        <v>51</v>
      </c>
      <c r="K1046" s="10" t="s">
        <v>58</v>
      </c>
      <c r="L1046" t="str">
        <f>IFERROR(VLOOKUP(D1046,Products!A:F,3,0),"")</f>
        <v>Beauty</v>
      </c>
      <c r="M1046" t="str">
        <f>IFERROR(VLOOKUP(E1046,Sales_Reps!A:E,3,0),"")</f>
        <v>North</v>
      </c>
      <c r="N1046" t="str">
        <f>IFERROR(VLOOKUP(C1046,Customers!A:F,5,0),"")</f>
        <v>Retail</v>
      </c>
      <c r="O1046">
        <f>IFERROR(VLOOKUP(C1046,Customers!A:F,3,0),"")</f>
        <v>31</v>
      </c>
      <c r="P1046">
        <f>IFERROR(VLOOKUP(D1046,Products!A:F,4,0),"")</f>
        <v>2768</v>
      </c>
      <c r="Q1046" t="b">
        <f>IFERROR(VLOOKUP(D1046,Products!A:F,6,0),"")</f>
        <v>1</v>
      </c>
      <c r="R1046">
        <f t="shared" si="48"/>
        <v>0.43278688524590164</v>
      </c>
      <c r="S1046">
        <f t="shared" si="49"/>
        <v>1</v>
      </c>
      <c r="T1046">
        <f>IF(AND(S1046&gt;1,COUNTIF($A$2:A1046,A1046)=1),1,0)</f>
        <v>0</v>
      </c>
      <c r="U1046">
        <f>COUNTIF(Customers!$A$2:$A$301,C1046)</f>
        <v>1</v>
      </c>
      <c r="V1046">
        <f t="shared" si="50"/>
        <v>0</v>
      </c>
    </row>
    <row r="1047" spans="1:22" ht="14.25" customHeight="1" x14ac:dyDescent="0.35">
      <c r="A1047" s="10" t="s">
        <v>1494</v>
      </c>
      <c r="B1047" s="11">
        <v>45450</v>
      </c>
      <c r="C1047" s="10" t="s">
        <v>836</v>
      </c>
      <c r="D1047" s="10" t="s">
        <v>209</v>
      </c>
      <c r="E1047" s="10" t="s">
        <v>122</v>
      </c>
      <c r="F1047" s="12">
        <v>10</v>
      </c>
      <c r="G1047" s="12">
        <v>2270</v>
      </c>
      <c r="H1047" s="12">
        <v>1.6</v>
      </c>
      <c r="I1047" s="12">
        <v>22336.799999999999</v>
      </c>
      <c r="J1047" s="10" t="s">
        <v>51</v>
      </c>
      <c r="K1047" s="10" t="s">
        <v>76</v>
      </c>
      <c r="L1047" t="str">
        <f>IFERROR(VLOOKUP(D1047,Products!A:F,3,0),"")</f>
        <v>Grocery</v>
      </c>
      <c r="M1047" t="str">
        <f>IFERROR(VLOOKUP(E1047,Sales_Reps!A:E,3,0),"")</f>
        <v>East</v>
      </c>
      <c r="N1047" t="str">
        <f>IFERROR(VLOOKUP(C1047,Customers!A:F,5,0),"")</f>
        <v>Corporate</v>
      </c>
      <c r="O1047">
        <f>IFERROR(VLOOKUP(C1047,Customers!A:F,3,0),"")</f>
        <v>62</v>
      </c>
      <c r="P1047">
        <f>IFERROR(VLOOKUP(D1047,Products!A:F,4,0),"")</f>
        <v>1412</v>
      </c>
      <c r="Q1047" t="b">
        <f>IFERROR(VLOOKUP(D1047,Products!A:F,6,0),"")</f>
        <v>1</v>
      </c>
      <c r="R1047">
        <f t="shared" si="48"/>
        <v>0.37797356828193834</v>
      </c>
      <c r="S1047">
        <f t="shared" si="49"/>
        <v>1</v>
      </c>
      <c r="T1047">
        <f>IF(AND(S1047&gt;1,COUNTIF($A$2:A1047,A1047)=1),1,0)</f>
        <v>0</v>
      </c>
      <c r="U1047">
        <f>COUNTIF(Customers!$A$2:$A$301,C1047)</f>
        <v>1</v>
      </c>
      <c r="V1047">
        <f t="shared" si="50"/>
        <v>0</v>
      </c>
    </row>
    <row r="1048" spans="1:22" ht="14.25" customHeight="1" x14ac:dyDescent="0.35">
      <c r="A1048" s="10" t="s">
        <v>1495</v>
      </c>
      <c r="B1048" s="11">
        <v>45589</v>
      </c>
      <c r="C1048" s="10" t="s">
        <v>371</v>
      </c>
      <c r="D1048" s="10" t="s">
        <v>91</v>
      </c>
      <c r="E1048" s="10" t="s">
        <v>112</v>
      </c>
      <c r="F1048" s="12">
        <v>8</v>
      </c>
      <c r="G1048" s="12">
        <v>970</v>
      </c>
      <c r="H1048" s="12">
        <v>13.1</v>
      </c>
      <c r="I1048" s="12">
        <v>6743.44</v>
      </c>
      <c r="J1048" s="10" t="s">
        <v>51</v>
      </c>
      <c r="K1048" s="10" t="s">
        <v>52</v>
      </c>
      <c r="L1048" t="str">
        <f>IFERROR(VLOOKUP(D1048,Products!A:F,3,0),"")</f>
        <v>Grocery</v>
      </c>
      <c r="M1048" t="str">
        <f>IFERROR(VLOOKUP(E1048,Sales_Reps!A:E,3,0),"")</f>
        <v>North</v>
      </c>
      <c r="N1048" t="str">
        <f>IFERROR(VLOOKUP(C1048,Customers!A:F,5,0),"")</f>
        <v>SMB</v>
      </c>
      <c r="O1048">
        <f>IFERROR(VLOOKUP(C1048,Customers!A:F,3,0),"")</f>
        <v>53</v>
      </c>
      <c r="P1048">
        <f>IFERROR(VLOOKUP(D1048,Products!A:F,4,0),"")</f>
        <v>434</v>
      </c>
      <c r="Q1048" t="b">
        <f>IFERROR(VLOOKUP(D1048,Products!A:F,6,0),"")</f>
        <v>1</v>
      </c>
      <c r="R1048">
        <f t="shared" si="48"/>
        <v>0.5525773195876289</v>
      </c>
      <c r="S1048">
        <f t="shared" si="49"/>
        <v>1</v>
      </c>
      <c r="T1048">
        <f>IF(AND(S1048&gt;1,COUNTIF($A$2:A1048,A1048)=1),1,0)</f>
        <v>0</v>
      </c>
      <c r="U1048">
        <f>COUNTIF(Customers!$A$2:$A$301,C1048)</f>
        <v>1</v>
      </c>
      <c r="V1048">
        <f t="shared" si="50"/>
        <v>0</v>
      </c>
    </row>
    <row r="1049" spans="1:22" ht="14.25" customHeight="1" x14ac:dyDescent="0.35">
      <c r="A1049" s="10" t="s">
        <v>1496</v>
      </c>
      <c r="B1049" s="11">
        <v>45646</v>
      </c>
      <c r="C1049" s="10" t="s">
        <v>346</v>
      </c>
      <c r="D1049" s="10" t="s">
        <v>331</v>
      </c>
      <c r="E1049" s="10" t="s">
        <v>289</v>
      </c>
      <c r="F1049" s="12">
        <v>7</v>
      </c>
      <c r="G1049" s="12">
        <v>2380</v>
      </c>
      <c r="H1049" s="12">
        <v>10.6</v>
      </c>
      <c r="I1049" s="12">
        <v>14894.04</v>
      </c>
      <c r="J1049" s="10" t="s">
        <v>104</v>
      </c>
      <c r="K1049" s="10" t="s">
        <v>63</v>
      </c>
      <c r="L1049" t="str">
        <f>IFERROR(VLOOKUP(D1049,Products!A:F,3,0),"")</f>
        <v>Grocery</v>
      </c>
      <c r="M1049" t="str">
        <f>IFERROR(VLOOKUP(E1049,Sales_Reps!A:E,3,0),"")</f>
        <v>South</v>
      </c>
      <c r="N1049" t="str">
        <f>IFERROR(VLOOKUP(C1049,Customers!A:F,5,0),"")</f>
        <v>Corporate</v>
      </c>
      <c r="O1049">
        <f>IFERROR(VLOOKUP(C1049,Customers!A:F,3,0),"")</f>
        <v>27</v>
      </c>
      <c r="P1049">
        <f>IFERROR(VLOOKUP(D1049,Products!A:F,4,0),"")</f>
        <v>1182</v>
      </c>
      <c r="Q1049" t="b">
        <f>IFERROR(VLOOKUP(D1049,Products!A:F,6,0),"")</f>
        <v>1</v>
      </c>
      <c r="R1049">
        <f t="shared" si="48"/>
        <v>0.50336134453781511</v>
      </c>
      <c r="S1049">
        <f t="shared" si="49"/>
        <v>1</v>
      </c>
      <c r="T1049">
        <f>IF(AND(S1049&gt;1,COUNTIF($A$2:A1049,A1049)=1),1,0)</f>
        <v>0</v>
      </c>
      <c r="U1049">
        <f>COUNTIF(Customers!$A$2:$A$301,C1049)</f>
        <v>1</v>
      </c>
      <c r="V1049">
        <f t="shared" si="50"/>
        <v>0</v>
      </c>
    </row>
    <row r="1050" spans="1:22" ht="14.25" customHeight="1" x14ac:dyDescent="0.35">
      <c r="A1050" s="10" t="s">
        <v>1497</v>
      </c>
      <c r="B1050" s="11">
        <v>45488</v>
      </c>
      <c r="C1050" s="10" t="s">
        <v>1498</v>
      </c>
      <c r="D1050" s="10" t="s">
        <v>49</v>
      </c>
      <c r="E1050" s="10" t="s">
        <v>310</v>
      </c>
      <c r="F1050" s="12">
        <v>6</v>
      </c>
      <c r="G1050" s="12">
        <v>3620</v>
      </c>
      <c r="H1050" s="12">
        <v>21.3</v>
      </c>
      <c r="I1050" s="12">
        <v>17093.64</v>
      </c>
      <c r="J1050" s="10" t="s">
        <v>104</v>
      </c>
      <c r="K1050" s="10" t="s">
        <v>97</v>
      </c>
      <c r="L1050" t="str">
        <f>IFERROR(VLOOKUP(D1050,Products!A:F,3,0),"")</f>
        <v>Apparel</v>
      </c>
      <c r="M1050" t="str">
        <f>IFERROR(VLOOKUP(E1050,Sales_Reps!A:E,3,0),"")</f>
        <v>South</v>
      </c>
      <c r="N1050" t="str">
        <f>IFERROR(VLOOKUP(C1050,Customers!A:F,5,0),"")</f>
        <v>Corporate</v>
      </c>
      <c r="O1050">
        <f>IFERROR(VLOOKUP(C1050,Customers!A:F,3,0),"")</f>
        <v>25</v>
      </c>
      <c r="P1050">
        <f>IFERROR(VLOOKUP(D1050,Products!A:F,4,0),"")</f>
        <v>2509</v>
      </c>
      <c r="Q1050" t="b">
        <f>IFERROR(VLOOKUP(D1050,Products!A:F,6,0),"")</f>
        <v>1</v>
      </c>
      <c r="R1050">
        <f t="shared" si="48"/>
        <v>0.3069060773480663</v>
      </c>
      <c r="S1050">
        <f t="shared" si="49"/>
        <v>1</v>
      </c>
      <c r="T1050">
        <f>IF(AND(S1050&gt;1,COUNTIF($A$2:A1050,A1050)=1),1,0)</f>
        <v>0</v>
      </c>
      <c r="U1050">
        <f>COUNTIF(Customers!$A$2:$A$301,C1050)</f>
        <v>1</v>
      </c>
      <c r="V1050">
        <f t="shared" si="50"/>
        <v>0</v>
      </c>
    </row>
    <row r="1051" spans="1:22" ht="14.25" customHeight="1" x14ac:dyDescent="0.35">
      <c r="A1051" s="10" t="s">
        <v>1499</v>
      </c>
      <c r="B1051" s="11">
        <v>45555</v>
      </c>
      <c r="C1051" s="10" t="s">
        <v>454</v>
      </c>
      <c r="D1051" s="10" t="s">
        <v>228</v>
      </c>
      <c r="E1051" s="10" t="s">
        <v>307</v>
      </c>
      <c r="F1051" s="12">
        <v>3</v>
      </c>
      <c r="G1051" s="12">
        <v>4070</v>
      </c>
      <c r="H1051" s="12">
        <v>8.1999999999999993</v>
      </c>
      <c r="I1051" s="12">
        <v>11208.78</v>
      </c>
      <c r="J1051" s="10" t="s">
        <v>104</v>
      </c>
      <c r="K1051" s="10" t="s">
        <v>63</v>
      </c>
      <c r="L1051" t="str">
        <f>IFERROR(VLOOKUP(D1051,Products!A:F,3,0),"")</f>
        <v>Grocery</v>
      </c>
      <c r="M1051" t="str">
        <f>IFERROR(VLOOKUP(E1051,Sales_Reps!A:E,3,0),"")</f>
        <v>West</v>
      </c>
      <c r="N1051" t="str">
        <f>IFERROR(VLOOKUP(C1051,Customers!A:F,5,0),"")</f>
        <v>Retail</v>
      </c>
      <c r="O1051">
        <f>IFERROR(VLOOKUP(C1051,Customers!A:F,3,0),"")</f>
        <v>59</v>
      </c>
      <c r="P1051">
        <f>IFERROR(VLOOKUP(D1051,Products!A:F,4,0),"")</f>
        <v>2027</v>
      </c>
      <c r="Q1051" t="b">
        <f>IFERROR(VLOOKUP(D1051,Products!A:F,6,0),"")</f>
        <v>1</v>
      </c>
      <c r="R1051">
        <f t="shared" si="48"/>
        <v>0.50196560196560192</v>
      </c>
      <c r="S1051">
        <f t="shared" si="49"/>
        <v>1</v>
      </c>
      <c r="T1051">
        <f>IF(AND(S1051&gt;1,COUNTIF($A$2:A1051,A1051)=1),1,0)</f>
        <v>0</v>
      </c>
      <c r="U1051">
        <f>COUNTIF(Customers!$A$2:$A$301,C1051)</f>
        <v>1</v>
      </c>
      <c r="V1051">
        <f t="shared" si="50"/>
        <v>0</v>
      </c>
    </row>
    <row r="1052" spans="1:22" ht="14.25" customHeight="1" x14ac:dyDescent="0.35">
      <c r="A1052" s="10" t="s">
        <v>1500</v>
      </c>
      <c r="B1052" s="11">
        <v>45578</v>
      </c>
      <c r="C1052" s="10" t="s">
        <v>418</v>
      </c>
      <c r="D1052" s="10" t="s">
        <v>155</v>
      </c>
      <c r="E1052" s="10" t="s">
        <v>165</v>
      </c>
      <c r="F1052" s="12">
        <v>8</v>
      </c>
      <c r="G1052" s="12">
        <v>5100</v>
      </c>
      <c r="H1052" s="12">
        <v>26.9</v>
      </c>
      <c r="I1052" s="12">
        <v>29824.799999999999</v>
      </c>
      <c r="J1052" s="10" t="s">
        <v>51</v>
      </c>
      <c r="K1052" s="10" t="s">
        <v>97</v>
      </c>
      <c r="L1052" t="str">
        <f>IFERROR(VLOOKUP(D1052,Products!A:F,3,0),"")</f>
        <v>Beauty</v>
      </c>
      <c r="M1052" t="str">
        <f>IFERROR(VLOOKUP(E1052,Sales_Reps!A:E,3,0),"")</f>
        <v>West</v>
      </c>
      <c r="N1052" t="str">
        <f>IFERROR(VLOOKUP(C1052,Customers!A:F,5,0),"")</f>
        <v>Corporate</v>
      </c>
      <c r="O1052">
        <f>IFERROR(VLOOKUP(C1052,Customers!A:F,3,0),"")</f>
        <v>43</v>
      </c>
      <c r="P1052">
        <f>IFERROR(VLOOKUP(D1052,Products!A:F,4,0),"")</f>
        <v>2237</v>
      </c>
      <c r="Q1052" t="b">
        <f>IFERROR(VLOOKUP(D1052,Products!A:F,6,0),"")</f>
        <v>1</v>
      </c>
      <c r="R1052">
        <f t="shared" si="48"/>
        <v>0.56137254901960787</v>
      </c>
      <c r="S1052">
        <f t="shared" si="49"/>
        <v>1</v>
      </c>
      <c r="T1052">
        <f>IF(AND(S1052&gt;1,COUNTIF($A$2:A1052,A1052)=1),1,0)</f>
        <v>0</v>
      </c>
      <c r="U1052">
        <f>COUNTIF(Customers!$A$2:$A$301,C1052)</f>
        <v>1</v>
      </c>
      <c r="V1052">
        <f t="shared" si="50"/>
        <v>0</v>
      </c>
    </row>
    <row r="1053" spans="1:22" ht="14.25" customHeight="1" x14ac:dyDescent="0.35">
      <c r="A1053" s="10" t="s">
        <v>1252</v>
      </c>
      <c r="B1053" s="11">
        <v>45296</v>
      </c>
      <c r="C1053" s="10" t="s">
        <v>836</v>
      </c>
      <c r="D1053" s="10" t="s">
        <v>240</v>
      </c>
      <c r="E1053" s="10" t="s">
        <v>202</v>
      </c>
      <c r="F1053" s="12">
        <v>3</v>
      </c>
      <c r="G1053" s="12">
        <v>3020</v>
      </c>
      <c r="H1053" s="12">
        <v>18.5</v>
      </c>
      <c r="I1053" s="12">
        <v>7383.9</v>
      </c>
      <c r="J1053" s="10" t="s">
        <v>104</v>
      </c>
      <c r="K1053" s="10" t="s">
        <v>76</v>
      </c>
      <c r="L1053" t="str">
        <f>IFERROR(VLOOKUP(D1053,Products!A:F,3,0),"")</f>
        <v>Beauty</v>
      </c>
      <c r="M1053" t="str">
        <f>IFERROR(VLOOKUP(E1053,Sales_Reps!A:E,3,0),"")</f>
        <v>East</v>
      </c>
      <c r="N1053" t="str">
        <f>IFERROR(VLOOKUP(C1053,Customers!A:F,5,0),"")</f>
        <v>Corporate</v>
      </c>
      <c r="O1053">
        <f>IFERROR(VLOOKUP(C1053,Customers!A:F,3,0),"")</f>
        <v>62</v>
      </c>
      <c r="P1053">
        <f>IFERROR(VLOOKUP(D1053,Products!A:F,4,0),"")</f>
        <v>1626</v>
      </c>
      <c r="Q1053" t="b">
        <f>IFERROR(VLOOKUP(D1053,Products!A:F,6,0),"")</f>
        <v>1</v>
      </c>
      <c r="R1053">
        <f t="shared" si="48"/>
        <v>0.46158940397350995</v>
      </c>
      <c r="S1053">
        <f t="shared" si="49"/>
        <v>2</v>
      </c>
      <c r="T1053">
        <f>IF(AND(S1053&gt;1,COUNTIF($A$2:A1053,A1053)=1),1,0)</f>
        <v>0</v>
      </c>
      <c r="U1053">
        <f>COUNTIF(Customers!$A$2:$A$301,C1053)</f>
        <v>1</v>
      </c>
      <c r="V1053">
        <f t="shared" si="50"/>
        <v>0</v>
      </c>
    </row>
    <row r="1054" spans="1:22" ht="14.25" customHeight="1" x14ac:dyDescent="0.35">
      <c r="A1054" s="10" t="s">
        <v>1501</v>
      </c>
      <c r="B1054" s="11">
        <v>45564</v>
      </c>
      <c r="C1054" s="10" t="s">
        <v>1060</v>
      </c>
      <c r="D1054" s="10" t="s">
        <v>344</v>
      </c>
      <c r="E1054" s="10" t="s">
        <v>261</v>
      </c>
      <c r="F1054" s="12">
        <v>8</v>
      </c>
      <c r="G1054" s="12">
        <v>960</v>
      </c>
      <c r="H1054" s="12">
        <v>7.1</v>
      </c>
      <c r="I1054" s="12">
        <v>7134.72</v>
      </c>
      <c r="J1054" s="10" t="s">
        <v>51</v>
      </c>
      <c r="K1054" s="10" t="s">
        <v>52</v>
      </c>
      <c r="L1054" t="str">
        <f>IFERROR(VLOOKUP(D1054,Products!A:F,3,0),"")</f>
        <v>Beauty</v>
      </c>
      <c r="M1054" t="str">
        <f>IFERROR(VLOOKUP(E1054,Sales_Reps!A:E,3,0),"")</f>
        <v>North</v>
      </c>
      <c r="N1054" t="str">
        <f>IFERROR(VLOOKUP(C1054,Customers!A:F,5,0),"")</f>
        <v>Corporate</v>
      </c>
      <c r="O1054">
        <f>IFERROR(VLOOKUP(C1054,Customers!A:F,3,0),"")</f>
        <v>42</v>
      </c>
      <c r="P1054">
        <f>IFERROR(VLOOKUP(D1054,Products!A:F,4,0),"")</f>
        <v>675</v>
      </c>
      <c r="Q1054" t="b">
        <f>IFERROR(VLOOKUP(D1054,Products!A:F,6,0),"")</f>
        <v>1</v>
      </c>
      <c r="R1054">
        <f t="shared" si="48"/>
        <v>0.296875</v>
      </c>
      <c r="S1054">
        <f t="shared" si="49"/>
        <v>1</v>
      </c>
      <c r="T1054">
        <f>IF(AND(S1054&gt;1,COUNTIF($A$2:A1054,A1054)=1),1,0)</f>
        <v>0</v>
      </c>
      <c r="U1054">
        <f>COUNTIF(Customers!$A$2:$A$301,C1054)</f>
        <v>1</v>
      </c>
      <c r="V1054">
        <f t="shared" si="50"/>
        <v>0</v>
      </c>
    </row>
    <row r="1055" spans="1:22" ht="14.25" customHeight="1" x14ac:dyDescent="0.35">
      <c r="A1055" s="10" t="s">
        <v>1502</v>
      </c>
      <c r="B1055" s="11">
        <v>45383</v>
      </c>
      <c r="C1055" s="10" t="s">
        <v>566</v>
      </c>
      <c r="D1055" s="10" t="s">
        <v>407</v>
      </c>
      <c r="E1055" s="10" t="s">
        <v>152</v>
      </c>
      <c r="F1055" s="12">
        <v>8</v>
      </c>
      <c r="G1055" s="12">
        <v>5080</v>
      </c>
      <c r="H1055" s="12">
        <v>6.2</v>
      </c>
      <c r="I1055" s="12">
        <v>38120.32</v>
      </c>
      <c r="J1055" s="10" t="s">
        <v>51</v>
      </c>
      <c r="K1055" s="10" t="s">
        <v>58</v>
      </c>
      <c r="L1055" t="str">
        <f>IFERROR(VLOOKUP(D1055,Products!A:F,3,0),"")</f>
        <v>Home</v>
      </c>
      <c r="M1055" t="str">
        <f>IFERROR(VLOOKUP(E1055,Sales_Reps!A:E,3,0),"")</f>
        <v>South</v>
      </c>
      <c r="N1055" t="str">
        <f>IFERROR(VLOOKUP(C1055,Customers!A:F,5,0),"")</f>
        <v>Retail</v>
      </c>
      <c r="O1055">
        <f>IFERROR(VLOOKUP(C1055,Customers!A:F,3,0),"")</f>
        <v>61</v>
      </c>
      <c r="P1055">
        <f>IFERROR(VLOOKUP(D1055,Products!A:F,4,0),"")</f>
        <v>2459</v>
      </c>
      <c r="Q1055" t="b">
        <f>IFERROR(VLOOKUP(D1055,Products!A:F,6,0),"")</f>
        <v>1</v>
      </c>
      <c r="R1055">
        <f t="shared" si="48"/>
        <v>0.51594488188976373</v>
      </c>
      <c r="S1055">
        <f t="shared" si="49"/>
        <v>1</v>
      </c>
      <c r="T1055">
        <f>IF(AND(S1055&gt;1,COUNTIF($A$2:A1055,A1055)=1),1,0)</f>
        <v>0</v>
      </c>
      <c r="U1055">
        <f>COUNTIF(Customers!$A$2:$A$301,C1055)</f>
        <v>1</v>
      </c>
      <c r="V1055">
        <f t="shared" si="50"/>
        <v>0</v>
      </c>
    </row>
    <row r="1056" spans="1:22" ht="14.25" customHeight="1" x14ac:dyDescent="0.35">
      <c r="A1056" s="10" t="s">
        <v>1503</v>
      </c>
      <c r="B1056" s="11">
        <v>45436</v>
      </c>
      <c r="C1056" s="10" t="s">
        <v>505</v>
      </c>
      <c r="D1056" s="10" t="s">
        <v>205</v>
      </c>
      <c r="E1056" s="10" t="s">
        <v>96</v>
      </c>
      <c r="F1056" s="12">
        <v>6</v>
      </c>
      <c r="G1056" s="12">
        <v>6080</v>
      </c>
      <c r="H1056" s="12">
        <v>25.8</v>
      </c>
      <c r="I1056" s="12">
        <v>27068.16</v>
      </c>
      <c r="J1056" s="10" t="s">
        <v>51</v>
      </c>
      <c r="K1056" s="10" t="s">
        <v>58</v>
      </c>
      <c r="L1056" t="str">
        <f>IFERROR(VLOOKUP(D1056,Products!A:F,3,0),"")</f>
        <v>Beauty</v>
      </c>
      <c r="M1056" t="str">
        <f>IFERROR(VLOOKUP(E1056,Sales_Reps!A:E,3,0),"")</f>
        <v>South</v>
      </c>
      <c r="N1056" t="str">
        <f>IFERROR(VLOOKUP(C1056,Customers!A:F,5,0),"")</f>
        <v>Corporate</v>
      </c>
      <c r="O1056">
        <f>IFERROR(VLOOKUP(C1056,Customers!A:F,3,0),"")</f>
        <v>34</v>
      </c>
      <c r="P1056">
        <f>IFERROR(VLOOKUP(D1056,Products!A:F,4,0),"")</f>
        <v>2617</v>
      </c>
      <c r="Q1056" t="b">
        <f>IFERROR(VLOOKUP(D1056,Products!A:F,6,0),"")</f>
        <v>1</v>
      </c>
      <c r="R1056">
        <f t="shared" si="48"/>
        <v>0.56957236842105263</v>
      </c>
      <c r="S1056">
        <f t="shared" si="49"/>
        <v>1</v>
      </c>
      <c r="T1056">
        <f>IF(AND(S1056&gt;1,COUNTIF($A$2:A1056,A1056)=1),1,0)</f>
        <v>0</v>
      </c>
      <c r="U1056">
        <f>COUNTIF(Customers!$A$2:$A$301,C1056)</f>
        <v>1</v>
      </c>
      <c r="V1056">
        <f t="shared" si="50"/>
        <v>0</v>
      </c>
    </row>
    <row r="1057" spans="1:22" ht="14.25" customHeight="1" x14ac:dyDescent="0.35">
      <c r="A1057" s="10" t="s">
        <v>1504</v>
      </c>
      <c r="B1057" s="11">
        <v>45544</v>
      </c>
      <c r="C1057" s="10" t="s">
        <v>503</v>
      </c>
      <c r="D1057" s="10" t="s">
        <v>223</v>
      </c>
      <c r="E1057" s="10" t="s">
        <v>96</v>
      </c>
      <c r="F1057" s="12">
        <v>5</v>
      </c>
      <c r="G1057" s="12">
        <v>1540</v>
      </c>
      <c r="H1057" s="12">
        <v>24.6</v>
      </c>
      <c r="I1057" s="12">
        <v>5805.8</v>
      </c>
      <c r="J1057" s="10" t="s">
        <v>51</v>
      </c>
      <c r="K1057" s="10" t="s">
        <v>97</v>
      </c>
      <c r="L1057" t="str">
        <f>IFERROR(VLOOKUP(D1057,Products!A:F,3,0),"")</f>
        <v>Beauty</v>
      </c>
      <c r="M1057" t="str">
        <f>IFERROR(VLOOKUP(E1057,Sales_Reps!A:E,3,0),"")</f>
        <v>South</v>
      </c>
      <c r="N1057" t="str">
        <f>IFERROR(VLOOKUP(C1057,Customers!A:F,5,0),"")</f>
        <v>Retail</v>
      </c>
      <c r="O1057">
        <f>IFERROR(VLOOKUP(C1057,Customers!A:F,3,0),"")</f>
        <v>38</v>
      </c>
      <c r="P1057">
        <f>IFERROR(VLOOKUP(D1057,Products!A:F,4,0),"")</f>
        <v>647</v>
      </c>
      <c r="Q1057" t="b">
        <f>IFERROR(VLOOKUP(D1057,Products!A:F,6,0),"")</f>
        <v>0</v>
      </c>
      <c r="R1057">
        <f t="shared" si="48"/>
        <v>0.57987012987012987</v>
      </c>
      <c r="S1057">
        <f t="shared" si="49"/>
        <v>1</v>
      </c>
      <c r="T1057">
        <f>IF(AND(S1057&gt;1,COUNTIF($A$2:A1057,A1057)=1),1,0)</f>
        <v>0</v>
      </c>
      <c r="U1057">
        <f>COUNTIF(Customers!$A$2:$A$301,C1057)</f>
        <v>1</v>
      </c>
      <c r="V1057">
        <f t="shared" si="50"/>
        <v>0</v>
      </c>
    </row>
    <row r="1058" spans="1:22" ht="14.25" customHeight="1" x14ac:dyDescent="0.35">
      <c r="A1058" s="10" t="s">
        <v>1505</v>
      </c>
      <c r="B1058" s="11">
        <v>45404</v>
      </c>
      <c r="C1058" s="10" t="s">
        <v>743</v>
      </c>
      <c r="D1058" s="10" t="s">
        <v>146</v>
      </c>
      <c r="E1058" s="10" t="s">
        <v>80</v>
      </c>
      <c r="F1058" s="12">
        <v>4</v>
      </c>
      <c r="G1058" s="12">
        <v>1010</v>
      </c>
      <c r="H1058" s="12">
        <v>2.9</v>
      </c>
      <c r="I1058" s="12">
        <v>3922.84</v>
      </c>
      <c r="J1058" s="10" t="s">
        <v>57</v>
      </c>
      <c r="K1058" s="10" t="s">
        <v>81</v>
      </c>
      <c r="L1058" t="str">
        <f>IFERROR(VLOOKUP(D1058,Products!A:F,3,0),"")</f>
        <v>Sports</v>
      </c>
      <c r="M1058" t="str">
        <f>IFERROR(VLOOKUP(E1058,Sales_Reps!A:E,3,0),"")</f>
        <v>West</v>
      </c>
      <c r="N1058" t="str">
        <f>IFERROR(VLOOKUP(C1058,Customers!A:F,5,0),"")</f>
        <v>Retail</v>
      </c>
      <c r="O1058">
        <f>IFERROR(VLOOKUP(C1058,Customers!A:F,3,0),"")</f>
        <v>27</v>
      </c>
      <c r="P1058">
        <f>IFERROR(VLOOKUP(D1058,Products!A:F,4,0),"")</f>
        <v>516</v>
      </c>
      <c r="Q1058" t="b">
        <f>IFERROR(VLOOKUP(D1058,Products!A:F,6,0),"")</f>
        <v>1</v>
      </c>
      <c r="R1058">
        <f t="shared" si="48"/>
        <v>0.4891089108910891</v>
      </c>
      <c r="S1058">
        <f t="shared" si="49"/>
        <v>1</v>
      </c>
      <c r="T1058">
        <f>IF(AND(S1058&gt;1,COUNTIF($A$2:A1058,A1058)=1),1,0)</f>
        <v>0</v>
      </c>
      <c r="U1058">
        <f>COUNTIF(Customers!$A$2:$A$301,C1058)</f>
        <v>1</v>
      </c>
      <c r="V1058">
        <f t="shared" si="50"/>
        <v>0</v>
      </c>
    </row>
    <row r="1059" spans="1:22" ht="14.25" customHeight="1" x14ac:dyDescent="0.35">
      <c r="A1059" s="10" t="s">
        <v>1506</v>
      </c>
      <c r="B1059" s="11">
        <v>45586</v>
      </c>
      <c r="C1059" s="10" t="s">
        <v>497</v>
      </c>
      <c r="D1059" s="10" t="s">
        <v>344</v>
      </c>
      <c r="E1059" s="10" t="s">
        <v>165</v>
      </c>
      <c r="F1059" s="12">
        <v>5</v>
      </c>
      <c r="G1059" s="12">
        <v>960</v>
      </c>
      <c r="H1059" s="12">
        <v>11.4</v>
      </c>
      <c r="I1059" s="12">
        <v>4252.8</v>
      </c>
      <c r="J1059" s="10" t="s">
        <v>51</v>
      </c>
      <c r="K1059" s="10" t="s">
        <v>63</v>
      </c>
      <c r="L1059" t="str">
        <f>IFERROR(VLOOKUP(D1059,Products!A:F,3,0),"")</f>
        <v>Beauty</v>
      </c>
      <c r="M1059" t="str">
        <f>IFERROR(VLOOKUP(E1059,Sales_Reps!A:E,3,0),"")</f>
        <v>West</v>
      </c>
      <c r="N1059" t="str">
        <f>IFERROR(VLOOKUP(C1059,Customers!A:F,5,0),"")</f>
        <v>SMB</v>
      </c>
      <c r="O1059">
        <f>IFERROR(VLOOKUP(C1059,Customers!A:F,3,0),"")</f>
        <v>48</v>
      </c>
      <c r="P1059">
        <f>IFERROR(VLOOKUP(D1059,Products!A:F,4,0),"")</f>
        <v>675</v>
      </c>
      <c r="Q1059" t="b">
        <f>IFERROR(VLOOKUP(D1059,Products!A:F,6,0),"")</f>
        <v>1</v>
      </c>
      <c r="R1059">
        <f t="shared" si="48"/>
        <v>0.296875</v>
      </c>
      <c r="S1059">
        <f t="shared" si="49"/>
        <v>1</v>
      </c>
      <c r="T1059">
        <f>IF(AND(S1059&gt;1,COUNTIF($A$2:A1059,A1059)=1),1,0)</f>
        <v>0</v>
      </c>
      <c r="U1059">
        <f>COUNTIF(Customers!$A$2:$A$301,C1059)</f>
        <v>1</v>
      </c>
      <c r="V1059">
        <f t="shared" si="50"/>
        <v>0</v>
      </c>
    </row>
    <row r="1060" spans="1:22" ht="14.25" customHeight="1" x14ac:dyDescent="0.35">
      <c r="A1060" s="10" t="s">
        <v>1507</v>
      </c>
      <c r="B1060" s="11">
        <v>45524</v>
      </c>
      <c r="C1060" s="10" t="s">
        <v>195</v>
      </c>
      <c r="D1060" s="10" t="s">
        <v>223</v>
      </c>
      <c r="E1060" s="10" t="s">
        <v>96</v>
      </c>
      <c r="F1060" s="12">
        <v>1</v>
      </c>
      <c r="G1060" s="12">
        <v>1540</v>
      </c>
      <c r="H1060" s="12">
        <v>5.6</v>
      </c>
      <c r="I1060" s="12">
        <v>1453.76</v>
      </c>
      <c r="J1060" s="10" t="s">
        <v>51</v>
      </c>
      <c r="K1060" s="10" t="s">
        <v>81</v>
      </c>
      <c r="L1060" t="str">
        <f>IFERROR(VLOOKUP(D1060,Products!A:F,3,0),"")</f>
        <v>Beauty</v>
      </c>
      <c r="M1060" t="str">
        <f>IFERROR(VLOOKUP(E1060,Sales_Reps!A:E,3,0),"")</f>
        <v>South</v>
      </c>
      <c r="N1060" t="str">
        <f>IFERROR(VLOOKUP(C1060,Customers!A:F,5,0),"")</f>
        <v>SMB</v>
      </c>
      <c r="O1060">
        <f>IFERROR(VLOOKUP(C1060,Customers!A:F,3,0),"")</f>
        <v>64</v>
      </c>
      <c r="P1060">
        <f>IFERROR(VLOOKUP(D1060,Products!A:F,4,0),"")</f>
        <v>647</v>
      </c>
      <c r="Q1060" t="b">
        <f>IFERROR(VLOOKUP(D1060,Products!A:F,6,0),"")</f>
        <v>0</v>
      </c>
      <c r="R1060">
        <f t="shared" si="48"/>
        <v>0.57987012987012987</v>
      </c>
      <c r="S1060">
        <f t="shared" si="49"/>
        <v>1</v>
      </c>
      <c r="T1060">
        <f>IF(AND(S1060&gt;1,COUNTIF($A$2:A1060,A1060)=1),1,0)</f>
        <v>0</v>
      </c>
      <c r="U1060">
        <f>COUNTIF(Customers!$A$2:$A$301,C1060)</f>
        <v>1</v>
      </c>
      <c r="V1060">
        <f t="shared" si="50"/>
        <v>0</v>
      </c>
    </row>
    <row r="1061" spans="1:22" ht="14.25" customHeight="1" x14ac:dyDescent="0.35">
      <c r="A1061" s="10" t="s">
        <v>1508</v>
      </c>
      <c r="B1061" s="11">
        <v>45397</v>
      </c>
      <c r="C1061" s="10" t="s">
        <v>967</v>
      </c>
      <c r="D1061" s="10" t="s">
        <v>143</v>
      </c>
      <c r="E1061" s="10" t="s">
        <v>85</v>
      </c>
      <c r="F1061" s="12">
        <v>9</v>
      </c>
      <c r="G1061" s="12">
        <v>3350</v>
      </c>
      <c r="H1061" s="12">
        <v>2.1</v>
      </c>
      <c r="I1061" s="12">
        <v>29516.85</v>
      </c>
      <c r="J1061" s="10" t="s">
        <v>51</v>
      </c>
      <c r="K1061" s="10" t="s">
        <v>63</v>
      </c>
      <c r="L1061" t="str">
        <f>IFERROR(VLOOKUP(D1061,Products!A:F,3,0),"")</f>
        <v>Beauty</v>
      </c>
      <c r="M1061" t="str">
        <f>IFERROR(VLOOKUP(E1061,Sales_Reps!A:E,3,0),"")</f>
        <v>East</v>
      </c>
      <c r="N1061" t="str">
        <f>IFERROR(VLOOKUP(C1061,Customers!A:F,5,0),"")</f>
        <v>SMB</v>
      </c>
      <c r="O1061">
        <f>IFERROR(VLOOKUP(C1061,Customers!A:F,3,0),"")</f>
        <v>45</v>
      </c>
      <c r="P1061">
        <f>IFERROR(VLOOKUP(D1061,Products!A:F,4,0),"")</f>
        <v>1728</v>
      </c>
      <c r="Q1061" t="b">
        <f>IFERROR(VLOOKUP(D1061,Products!A:F,6,0),"")</f>
        <v>1</v>
      </c>
      <c r="R1061">
        <f t="shared" si="48"/>
        <v>0.48417910447761192</v>
      </c>
      <c r="S1061">
        <f t="shared" si="49"/>
        <v>1</v>
      </c>
      <c r="T1061">
        <f>IF(AND(S1061&gt;1,COUNTIF($A$2:A1061,A1061)=1),1,0)</f>
        <v>0</v>
      </c>
      <c r="U1061">
        <f>COUNTIF(Customers!$A$2:$A$301,C1061)</f>
        <v>1</v>
      </c>
      <c r="V1061">
        <f t="shared" si="50"/>
        <v>0</v>
      </c>
    </row>
    <row r="1062" spans="1:22" ht="14.25" customHeight="1" x14ac:dyDescent="0.35">
      <c r="A1062" s="10" t="s">
        <v>1509</v>
      </c>
      <c r="B1062" s="11">
        <v>45336</v>
      </c>
      <c r="C1062" s="10" t="s">
        <v>872</v>
      </c>
      <c r="D1062" s="10" t="s">
        <v>125</v>
      </c>
      <c r="E1062" s="10" t="s">
        <v>122</v>
      </c>
      <c r="F1062" s="12">
        <v>7</v>
      </c>
      <c r="G1062" s="12">
        <v>3450</v>
      </c>
      <c r="H1062" s="12">
        <v>4.7</v>
      </c>
      <c r="I1062" s="12">
        <v>23014.95</v>
      </c>
      <c r="J1062" s="10" t="s">
        <v>51</v>
      </c>
      <c r="K1062" s="10" t="s">
        <v>97</v>
      </c>
      <c r="L1062" t="str">
        <f>IFERROR(VLOOKUP(D1062,Products!A:F,3,0),"")</f>
        <v>Sports</v>
      </c>
      <c r="M1062" t="str">
        <f>IFERROR(VLOOKUP(E1062,Sales_Reps!A:E,3,0),"")</f>
        <v>East</v>
      </c>
      <c r="N1062" t="str">
        <f>IFERROR(VLOOKUP(C1062,Customers!A:F,5,0),"")</f>
        <v>Retail</v>
      </c>
      <c r="O1062">
        <f>IFERROR(VLOOKUP(C1062,Customers!A:F,3,0),"")</f>
        <v>31</v>
      </c>
      <c r="P1062">
        <f>IFERROR(VLOOKUP(D1062,Products!A:F,4,0),"")</f>
        <v>2467</v>
      </c>
      <c r="Q1062" t="b">
        <f>IFERROR(VLOOKUP(D1062,Products!A:F,6,0),"")</f>
        <v>1</v>
      </c>
      <c r="R1062">
        <f t="shared" si="48"/>
        <v>0.28492753623188405</v>
      </c>
      <c r="S1062">
        <f t="shared" si="49"/>
        <v>1</v>
      </c>
      <c r="T1062">
        <f>IF(AND(S1062&gt;1,COUNTIF($A$2:A1062,A1062)=1),1,0)</f>
        <v>0</v>
      </c>
      <c r="U1062">
        <f>COUNTIF(Customers!$A$2:$A$301,C1062)</f>
        <v>1</v>
      </c>
      <c r="V1062">
        <f t="shared" si="50"/>
        <v>0</v>
      </c>
    </row>
    <row r="1063" spans="1:22" ht="14.25" customHeight="1" x14ac:dyDescent="0.35">
      <c r="A1063" s="10" t="s">
        <v>1510</v>
      </c>
      <c r="B1063" s="11">
        <v>45594</v>
      </c>
      <c r="C1063" s="10" t="s">
        <v>258</v>
      </c>
      <c r="D1063" s="10" t="s">
        <v>79</v>
      </c>
      <c r="E1063" s="10" t="s">
        <v>85</v>
      </c>
      <c r="F1063" s="12">
        <v>10</v>
      </c>
      <c r="G1063" s="12">
        <v>960</v>
      </c>
      <c r="H1063" s="12">
        <v>17.899999999999999</v>
      </c>
      <c r="I1063" s="12">
        <v>7881.6</v>
      </c>
      <c r="J1063" s="10" t="s">
        <v>51</v>
      </c>
      <c r="K1063" s="10" t="s">
        <v>97</v>
      </c>
      <c r="L1063" t="str">
        <f>IFERROR(VLOOKUP(D1063,Products!A:F,3,0),"")</f>
        <v>Sports</v>
      </c>
      <c r="M1063" t="str">
        <f>IFERROR(VLOOKUP(E1063,Sales_Reps!A:E,3,0),"")</f>
        <v>East</v>
      </c>
      <c r="N1063" t="str">
        <f>IFERROR(VLOOKUP(C1063,Customers!A:F,5,0),"")</f>
        <v>SMB</v>
      </c>
      <c r="O1063">
        <f>IFERROR(VLOOKUP(C1063,Customers!A:F,3,0),"")</f>
        <v>43</v>
      </c>
      <c r="P1063">
        <f>IFERROR(VLOOKUP(D1063,Products!A:F,4,0),"")</f>
        <v>705</v>
      </c>
      <c r="Q1063" t="b">
        <f>IFERROR(VLOOKUP(D1063,Products!A:F,6,0),"")</f>
        <v>1</v>
      </c>
      <c r="R1063">
        <f t="shared" si="48"/>
        <v>0.265625</v>
      </c>
      <c r="S1063">
        <f t="shared" si="49"/>
        <v>1</v>
      </c>
      <c r="T1063">
        <f>IF(AND(S1063&gt;1,COUNTIF($A$2:A1063,A1063)=1),1,0)</f>
        <v>0</v>
      </c>
      <c r="U1063">
        <f>COUNTIF(Customers!$A$2:$A$301,C1063)</f>
        <v>1</v>
      </c>
      <c r="V1063">
        <f t="shared" si="50"/>
        <v>0</v>
      </c>
    </row>
    <row r="1064" spans="1:22" ht="14.25" customHeight="1" x14ac:dyDescent="0.35">
      <c r="A1064" s="10" t="s">
        <v>1511</v>
      </c>
      <c r="B1064" s="11">
        <v>45617</v>
      </c>
      <c r="C1064" s="10" t="s">
        <v>393</v>
      </c>
      <c r="D1064" s="10" t="s">
        <v>201</v>
      </c>
      <c r="E1064" s="10" t="s">
        <v>62</v>
      </c>
      <c r="F1064" s="12">
        <v>1</v>
      </c>
      <c r="G1064" s="12">
        <v>3640</v>
      </c>
      <c r="H1064" s="12">
        <v>8.8000000000000007</v>
      </c>
      <c r="I1064" s="12">
        <v>3319.68</v>
      </c>
      <c r="J1064" s="10" t="s">
        <v>51</v>
      </c>
      <c r="K1064" s="10" t="s">
        <v>81</v>
      </c>
      <c r="L1064" t="str">
        <f>IFERROR(VLOOKUP(D1064,Products!A:F,3,0),"")</f>
        <v>Apparel</v>
      </c>
      <c r="M1064" t="str">
        <f>IFERROR(VLOOKUP(E1064,Sales_Reps!A:E,3,0),"")</f>
        <v>South</v>
      </c>
      <c r="N1064" t="str">
        <f>IFERROR(VLOOKUP(C1064,Customers!A:F,5,0),"")</f>
        <v>Retail</v>
      </c>
      <c r="O1064">
        <f>IFERROR(VLOOKUP(C1064,Customers!A:F,3,0),"")</f>
        <v>55</v>
      </c>
      <c r="P1064">
        <f>IFERROR(VLOOKUP(D1064,Products!A:F,4,0),"")</f>
        <v>2611</v>
      </c>
      <c r="Q1064" t="b">
        <f>IFERROR(VLOOKUP(D1064,Products!A:F,6,0),"")</f>
        <v>1</v>
      </c>
      <c r="R1064">
        <f t="shared" si="48"/>
        <v>0.28269230769230769</v>
      </c>
      <c r="S1064">
        <f t="shared" si="49"/>
        <v>1</v>
      </c>
      <c r="T1064">
        <f>IF(AND(S1064&gt;1,COUNTIF($A$2:A1064,A1064)=1),1,0)</f>
        <v>0</v>
      </c>
      <c r="U1064">
        <f>COUNTIF(Customers!$A$2:$A$301,C1064)</f>
        <v>1</v>
      </c>
      <c r="V1064">
        <f t="shared" si="50"/>
        <v>0</v>
      </c>
    </row>
    <row r="1065" spans="1:22" ht="14.25" customHeight="1" x14ac:dyDescent="0.35">
      <c r="A1065" s="10" t="s">
        <v>1512</v>
      </c>
      <c r="B1065" s="11">
        <v>45378</v>
      </c>
      <c r="C1065" s="10" t="s">
        <v>743</v>
      </c>
      <c r="D1065" s="10" t="s">
        <v>302</v>
      </c>
      <c r="E1065" s="10" t="s">
        <v>202</v>
      </c>
      <c r="F1065" s="12">
        <v>1</v>
      </c>
      <c r="G1065" s="12">
        <v>2210</v>
      </c>
      <c r="H1065" s="12">
        <v>10.7</v>
      </c>
      <c r="I1065" s="12">
        <v>1973.53</v>
      </c>
      <c r="J1065" s="10" t="s">
        <v>51</v>
      </c>
      <c r="K1065" s="10" t="s">
        <v>81</v>
      </c>
      <c r="L1065" t="str">
        <f>IFERROR(VLOOKUP(D1065,Products!A:F,3,0),"")</f>
        <v>Grocery</v>
      </c>
      <c r="M1065" t="str">
        <f>IFERROR(VLOOKUP(E1065,Sales_Reps!A:E,3,0),"")</f>
        <v>East</v>
      </c>
      <c r="N1065" t="str">
        <f>IFERROR(VLOOKUP(C1065,Customers!A:F,5,0),"")</f>
        <v>Retail</v>
      </c>
      <c r="O1065">
        <f>IFERROR(VLOOKUP(C1065,Customers!A:F,3,0),"")</f>
        <v>27</v>
      </c>
      <c r="P1065">
        <f>IFERROR(VLOOKUP(D1065,Products!A:F,4,0),"")</f>
        <v>1010</v>
      </c>
      <c r="Q1065" t="b">
        <f>IFERROR(VLOOKUP(D1065,Products!A:F,6,0),"")</f>
        <v>1</v>
      </c>
      <c r="R1065">
        <f t="shared" si="48"/>
        <v>0.54298642533936647</v>
      </c>
      <c r="S1065">
        <f t="shared" si="49"/>
        <v>1</v>
      </c>
      <c r="T1065">
        <f>IF(AND(S1065&gt;1,COUNTIF($A$2:A1065,A1065)=1),1,0)</f>
        <v>0</v>
      </c>
      <c r="U1065">
        <f>COUNTIF(Customers!$A$2:$A$301,C1065)</f>
        <v>1</v>
      </c>
      <c r="V1065">
        <f t="shared" si="50"/>
        <v>1973.53</v>
      </c>
    </row>
    <row r="1066" spans="1:22" ht="14.25" customHeight="1" x14ac:dyDescent="0.35">
      <c r="A1066" s="10" t="s">
        <v>1513</v>
      </c>
      <c r="B1066" s="11">
        <v>45318</v>
      </c>
      <c r="C1066" s="10" t="s">
        <v>65</v>
      </c>
      <c r="D1066" s="10" t="s">
        <v>190</v>
      </c>
      <c r="E1066" s="10" t="s">
        <v>56</v>
      </c>
      <c r="F1066" s="12">
        <v>2</v>
      </c>
      <c r="G1066" s="12">
        <v>3730</v>
      </c>
      <c r="H1066" s="12">
        <v>13.9</v>
      </c>
      <c r="I1066" s="12">
        <v>6423.06</v>
      </c>
      <c r="J1066" s="10" t="s">
        <v>51</v>
      </c>
      <c r="K1066" s="10" t="s">
        <v>63</v>
      </c>
      <c r="L1066" t="str">
        <f>IFERROR(VLOOKUP(D1066,Products!A:F,3,0),"")</f>
        <v>Home</v>
      </c>
      <c r="M1066" t="str">
        <f>IFERROR(VLOOKUP(E1066,Sales_Reps!A:E,3,0),"")</f>
        <v>North</v>
      </c>
      <c r="N1066" t="str">
        <f>IFERROR(VLOOKUP(C1066,Customers!A:F,5,0),"")</f>
        <v>Corporate</v>
      </c>
      <c r="O1066">
        <f>IFERROR(VLOOKUP(C1066,Customers!A:F,3,0),"")</f>
        <v>46</v>
      </c>
      <c r="P1066">
        <f>IFERROR(VLOOKUP(D1066,Products!A:F,4,0),"")</f>
        <v>2135</v>
      </c>
      <c r="Q1066" t="b">
        <f>IFERROR(VLOOKUP(D1066,Products!A:F,6,0),"")</f>
        <v>1</v>
      </c>
      <c r="R1066">
        <f t="shared" si="48"/>
        <v>0.42761394101876676</v>
      </c>
      <c r="S1066">
        <f t="shared" si="49"/>
        <v>1</v>
      </c>
      <c r="T1066">
        <f>IF(AND(S1066&gt;1,COUNTIF($A$2:A1066,A1066)=1),1,0)</f>
        <v>0</v>
      </c>
      <c r="U1066">
        <f>COUNTIF(Customers!$A$2:$A$301,C1066)</f>
        <v>1</v>
      </c>
      <c r="V1066">
        <f t="shared" si="50"/>
        <v>0</v>
      </c>
    </row>
    <row r="1067" spans="1:22" ht="14.25" customHeight="1" x14ac:dyDescent="0.35">
      <c r="A1067" s="10" t="s">
        <v>1514</v>
      </c>
      <c r="B1067" s="11">
        <v>45542</v>
      </c>
      <c r="C1067" s="10" t="s">
        <v>391</v>
      </c>
      <c r="D1067" s="10" t="s">
        <v>324</v>
      </c>
      <c r="E1067" s="10" t="s">
        <v>96</v>
      </c>
      <c r="F1067" s="12">
        <v>7</v>
      </c>
      <c r="G1067" s="12">
        <v>5410</v>
      </c>
      <c r="H1067" s="12">
        <v>23.6</v>
      </c>
      <c r="I1067" s="12">
        <v>28932.68</v>
      </c>
      <c r="J1067" s="10" t="s">
        <v>51</v>
      </c>
      <c r="K1067" s="10" t="s">
        <v>52</v>
      </c>
      <c r="L1067" t="str">
        <f>IFERROR(VLOOKUP(D1067,Products!A:F,3,0),"")</f>
        <v>Sports</v>
      </c>
      <c r="M1067" t="str">
        <f>IFERROR(VLOOKUP(E1067,Sales_Reps!A:E,3,0),"")</f>
        <v>South</v>
      </c>
      <c r="N1067" t="str">
        <f>IFERROR(VLOOKUP(C1067,Customers!A:F,5,0),"")</f>
        <v>Corporate</v>
      </c>
      <c r="O1067">
        <f>IFERROR(VLOOKUP(C1067,Customers!A:F,3,0),"")</f>
        <v>48</v>
      </c>
      <c r="P1067">
        <f>IFERROR(VLOOKUP(D1067,Products!A:F,4,0),"")</f>
        <v>2265</v>
      </c>
      <c r="Q1067" t="b">
        <f>IFERROR(VLOOKUP(D1067,Products!A:F,6,0),"")</f>
        <v>1</v>
      </c>
      <c r="R1067">
        <f t="shared" si="48"/>
        <v>0.58133086876155271</v>
      </c>
      <c r="S1067">
        <f t="shared" si="49"/>
        <v>1</v>
      </c>
      <c r="T1067">
        <f>IF(AND(S1067&gt;1,COUNTIF($A$2:A1067,A1067)=1),1,0)</f>
        <v>0</v>
      </c>
      <c r="U1067">
        <f>COUNTIF(Customers!$A$2:$A$301,C1067)</f>
        <v>1</v>
      </c>
      <c r="V1067">
        <f t="shared" si="50"/>
        <v>0</v>
      </c>
    </row>
    <row r="1068" spans="1:22" ht="14.25" customHeight="1" x14ac:dyDescent="0.35">
      <c r="A1068" s="10" t="s">
        <v>1515</v>
      </c>
      <c r="B1068" s="11">
        <v>45618</v>
      </c>
      <c r="C1068" s="10" t="s">
        <v>836</v>
      </c>
      <c r="D1068" s="10" t="s">
        <v>198</v>
      </c>
      <c r="E1068" s="10" t="s">
        <v>267</v>
      </c>
      <c r="F1068" s="12">
        <v>7</v>
      </c>
      <c r="G1068" s="12">
        <v>3780</v>
      </c>
      <c r="H1068" s="12">
        <v>8.5</v>
      </c>
      <c r="I1068" s="12">
        <v>24210.9</v>
      </c>
      <c r="J1068" s="10" t="s">
        <v>104</v>
      </c>
      <c r="K1068" s="10" t="s">
        <v>76</v>
      </c>
      <c r="L1068" t="str">
        <f>IFERROR(VLOOKUP(D1068,Products!A:F,3,0),"")</f>
        <v>Grocery</v>
      </c>
      <c r="M1068" t="str">
        <f>IFERROR(VLOOKUP(E1068,Sales_Reps!A:E,3,0),"")</f>
        <v>East</v>
      </c>
      <c r="N1068" t="str">
        <f>IFERROR(VLOOKUP(C1068,Customers!A:F,5,0),"")</f>
        <v>Corporate</v>
      </c>
      <c r="O1068">
        <f>IFERROR(VLOOKUP(C1068,Customers!A:F,3,0),"")</f>
        <v>62</v>
      </c>
      <c r="P1068">
        <f>IFERROR(VLOOKUP(D1068,Products!A:F,4,0),"")</f>
        <v>2436</v>
      </c>
      <c r="Q1068" t="b">
        <f>IFERROR(VLOOKUP(D1068,Products!A:F,6,0),"")</f>
        <v>1</v>
      </c>
      <c r="R1068">
        <f t="shared" si="48"/>
        <v>0.35555555555555557</v>
      </c>
      <c r="S1068">
        <f t="shared" si="49"/>
        <v>1</v>
      </c>
      <c r="T1068">
        <f>IF(AND(S1068&gt;1,COUNTIF($A$2:A1068,A1068)=1),1,0)</f>
        <v>0</v>
      </c>
      <c r="U1068">
        <f>COUNTIF(Customers!$A$2:$A$301,C1068)</f>
        <v>1</v>
      </c>
      <c r="V1068">
        <f t="shared" si="50"/>
        <v>0</v>
      </c>
    </row>
    <row r="1069" spans="1:22" ht="14.25" customHeight="1" x14ac:dyDescent="0.35">
      <c r="A1069" s="10" t="s">
        <v>1516</v>
      </c>
      <c r="B1069" s="11">
        <v>45555</v>
      </c>
      <c r="C1069" s="10" t="s">
        <v>222</v>
      </c>
      <c r="D1069" s="10" t="s">
        <v>234</v>
      </c>
      <c r="E1069" s="10" t="s">
        <v>310</v>
      </c>
      <c r="F1069" s="12">
        <v>9</v>
      </c>
      <c r="G1069" s="12">
        <v>4610</v>
      </c>
      <c r="H1069" s="12">
        <v>26.6</v>
      </c>
      <c r="I1069" s="12">
        <v>30453.66</v>
      </c>
      <c r="J1069" s="10" t="s">
        <v>51</v>
      </c>
      <c r="K1069" s="10" t="s">
        <v>63</v>
      </c>
      <c r="L1069" t="str">
        <f>IFERROR(VLOOKUP(D1069,Products!A:F,3,0),"")</f>
        <v>Home</v>
      </c>
      <c r="M1069" t="str">
        <f>IFERROR(VLOOKUP(E1069,Sales_Reps!A:E,3,0),"")</f>
        <v>South</v>
      </c>
      <c r="N1069" t="str">
        <f>IFERROR(VLOOKUP(C1069,Customers!A:F,5,0),"")</f>
        <v>SMB</v>
      </c>
      <c r="O1069">
        <f>IFERROR(VLOOKUP(C1069,Customers!A:F,3,0),"")</f>
        <v>55</v>
      </c>
      <c r="P1069">
        <f>IFERROR(VLOOKUP(D1069,Products!A:F,4,0),"")</f>
        <v>1850</v>
      </c>
      <c r="Q1069" t="b">
        <f>IFERROR(VLOOKUP(D1069,Products!A:F,6,0),"")</f>
        <v>1</v>
      </c>
      <c r="R1069">
        <f t="shared" si="48"/>
        <v>0.59869848156182215</v>
      </c>
      <c r="S1069">
        <f t="shared" si="49"/>
        <v>1</v>
      </c>
      <c r="T1069">
        <f>IF(AND(S1069&gt;1,COUNTIF($A$2:A1069,A1069)=1),1,0)</f>
        <v>0</v>
      </c>
      <c r="U1069">
        <f>COUNTIF(Customers!$A$2:$A$301,C1069)</f>
        <v>1</v>
      </c>
      <c r="V1069">
        <f t="shared" si="50"/>
        <v>0</v>
      </c>
    </row>
    <row r="1070" spans="1:22" ht="14.25" customHeight="1" x14ac:dyDescent="0.35">
      <c r="A1070" s="10" t="s">
        <v>1517</v>
      </c>
      <c r="B1070" s="11">
        <v>45373</v>
      </c>
      <c r="C1070" s="10" t="s">
        <v>566</v>
      </c>
      <c r="D1070" s="10" t="s">
        <v>99</v>
      </c>
      <c r="E1070" s="10" t="s">
        <v>75</v>
      </c>
      <c r="F1070" s="12">
        <v>5</v>
      </c>
      <c r="G1070" s="12">
        <v>2640</v>
      </c>
      <c r="H1070" s="12">
        <v>1.5</v>
      </c>
      <c r="I1070" s="12">
        <v>13002</v>
      </c>
      <c r="J1070" s="10" t="s">
        <v>51</v>
      </c>
      <c r="K1070" s="10" t="s">
        <v>58</v>
      </c>
      <c r="L1070" t="str">
        <f>IFERROR(VLOOKUP(D1070,Products!A:F,3,0),"")</f>
        <v>Electronics</v>
      </c>
      <c r="M1070" t="str">
        <f>IFERROR(VLOOKUP(E1070,Sales_Reps!A:E,3,0),"")</f>
        <v>West</v>
      </c>
      <c r="N1070" t="str">
        <f>IFERROR(VLOOKUP(C1070,Customers!A:F,5,0),"")</f>
        <v>Retail</v>
      </c>
      <c r="O1070">
        <f>IFERROR(VLOOKUP(C1070,Customers!A:F,3,0),"")</f>
        <v>61</v>
      </c>
      <c r="P1070">
        <f>IFERROR(VLOOKUP(D1070,Products!A:F,4,0),"")</f>
        <v>1149</v>
      </c>
      <c r="Q1070" t="b">
        <f>IFERROR(VLOOKUP(D1070,Products!A:F,6,0),"")</f>
        <v>1</v>
      </c>
      <c r="R1070">
        <f t="shared" si="48"/>
        <v>0.56477272727272732</v>
      </c>
      <c r="S1070">
        <f t="shared" si="49"/>
        <v>1</v>
      </c>
      <c r="T1070">
        <f>IF(AND(S1070&gt;1,COUNTIF($A$2:A1070,A1070)=1),1,0)</f>
        <v>0</v>
      </c>
      <c r="U1070">
        <f>COUNTIF(Customers!$A$2:$A$301,C1070)</f>
        <v>1</v>
      </c>
      <c r="V1070">
        <f t="shared" si="50"/>
        <v>0</v>
      </c>
    </row>
    <row r="1071" spans="1:22" ht="14.25" customHeight="1" x14ac:dyDescent="0.35">
      <c r="A1071" s="10" t="s">
        <v>1518</v>
      </c>
      <c r="B1071" s="11">
        <v>45515</v>
      </c>
      <c r="C1071" s="10" t="s">
        <v>187</v>
      </c>
      <c r="D1071" s="10" t="s">
        <v>49</v>
      </c>
      <c r="E1071" s="10" t="s">
        <v>96</v>
      </c>
      <c r="F1071" s="12">
        <v>3</v>
      </c>
      <c r="G1071" s="12">
        <v>3620</v>
      </c>
      <c r="H1071" s="12">
        <v>3.1</v>
      </c>
      <c r="I1071" s="12">
        <v>10523.34</v>
      </c>
      <c r="J1071" s="10" t="s">
        <v>51</v>
      </c>
      <c r="K1071" s="10" t="s">
        <v>63</v>
      </c>
      <c r="L1071" t="str">
        <f>IFERROR(VLOOKUP(D1071,Products!A:F,3,0),"")</f>
        <v>Apparel</v>
      </c>
      <c r="M1071" t="str">
        <f>IFERROR(VLOOKUP(E1071,Sales_Reps!A:E,3,0),"")</f>
        <v>South</v>
      </c>
      <c r="N1071" t="str">
        <f>IFERROR(VLOOKUP(C1071,Customers!A:F,5,0),"")</f>
        <v>Retail</v>
      </c>
      <c r="O1071">
        <f>IFERROR(VLOOKUP(C1071,Customers!A:F,3,0),"")</f>
        <v>53</v>
      </c>
      <c r="P1071">
        <f>IFERROR(VLOOKUP(D1071,Products!A:F,4,0),"")</f>
        <v>2509</v>
      </c>
      <c r="Q1071" t="b">
        <f>IFERROR(VLOOKUP(D1071,Products!A:F,6,0),"")</f>
        <v>1</v>
      </c>
      <c r="R1071">
        <f t="shared" si="48"/>
        <v>0.3069060773480663</v>
      </c>
      <c r="S1071">
        <f t="shared" si="49"/>
        <v>1</v>
      </c>
      <c r="T1071">
        <f>IF(AND(S1071&gt;1,COUNTIF($A$2:A1071,A1071)=1),1,0)</f>
        <v>0</v>
      </c>
      <c r="U1071">
        <f>COUNTIF(Customers!$A$2:$A$301,C1071)</f>
        <v>1</v>
      </c>
      <c r="V1071">
        <f t="shared" si="50"/>
        <v>0</v>
      </c>
    </row>
    <row r="1072" spans="1:22" ht="14.25" customHeight="1" x14ac:dyDescent="0.35">
      <c r="A1072" s="10" t="s">
        <v>1519</v>
      </c>
      <c r="B1072" s="11">
        <v>45530</v>
      </c>
      <c r="C1072" s="10" t="s">
        <v>761</v>
      </c>
      <c r="D1072" s="10" t="s">
        <v>61</v>
      </c>
      <c r="E1072" s="10" t="s">
        <v>267</v>
      </c>
      <c r="F1072" s="12">
        <v>5</v>
      </c>
      <c r="G1072" s="12">
        <v>470</v>
      </c>
      <c r="H1072" s="12">
        <v>10.6</v>
      </c>
      <c r="I1072" s="12">
        <v>2100.9</v>
      </c>
      <c r="J1072" s="10" t="s">
        <v>104</v>
      </c>
      <c r="K1072" s="10" t="s">
        <v>63</v>
      </c>
      <c r="L1072" t="str">
        <f>IFERROR(VLOOKUP(D1072,Products!A:F,3,0),"")</f>
        <v>Sports</v>
      </c>
      <c r="M1072" t="str">
        <f>IFERROR(VLOOKUP(E1072,Sales_Reps!A:E,3,0),"")</f>
        <v>East</v>
      </c>
      <c r="N1072" t="str">
        <f>IFERROR(VLOOKUP(C1072,Customers!A:F,5,0),"")</f>
        <v>Retail</v>
      </c>
      <c r="O1072">
        <f>IFERROR(VLOOKUP(C1072,Customers!A:F,3,0),"")</f>
        <v>63</v>
      </c>
      <c r="P1072">
        <f>IFERROR(VLOOKUP(D1072,Products!A:F,4,0),"")</f>
        <v>302</v>
      </c>
      <c r="Q1072" t="b">
        <f>IFERROR(VLOOKUP(D1072,Products!A:F,6,0),"")</f>
        <v>0</v>
      </c>
      <c r="R1072">
        <f t="shared" si="48"/>
        <v>0.35744680851063831</v>
      </c>
      <c r="S1072">
        <f t="shared" si="49"/>
        <v>1</v>
      </c>
      <c r="T1072">
        <f>IF(AND(S1072&gt;1,COUNTIF($A$2:A1072,A1072)=1),1,0)</f>
        <v>0</v>
      </c>
      <c r="U1072">
        <f>COUNTIF(Customers!$A$2:$A$301,C1072)</f>
        <v>1</v>
      </c>
      <c r="V1072">
        <f t="shared" si="50"/>
        <v>0</v>
      </c>
    </row>
    <row r="1073" spans="1:22" ht="14.25" customHeight="1" x14ac:dyDescent="0.35">
      <c r="A1073" s="10" t="s">
        <v>1520</v>
      </c>
      <c r="B1073" s="11">
        <v>45463</v>
      </c>
      <c r="C1073" s="10" t="s">
        <v>225</v>
      </c>
      <c r="D1073" s="10" t="s">
        <v>328</v>
      </c>
      <c r="E1073" s="10" t="s">
        <v>168</v>
      </c>
      <c r="F1073" s="12">
        <v>7</v>
      </c>
      <c r="G1073" s="12">
        <v>5330</v>
      </c>
      <c r="H1073" s="12">
        <v>25</v>
      </c>
      <c r="I1073" s="12">
        <v>27982.5</v>
      </c>
      <c r="J1073" s="10" t="s">
        <v>104</v>
      </c>
      <c r="K1073" s="10" t="s">
        <v>63</v>
      </c>
      <c r="L1073" t="str">
        <f>IFERROR(VLOOKUP(D1073,Products!A:F,3,0),"")</f>
        <v>Electronics</v>
      </c>
      <c r="M1073" t="str">
        <f>IFERROR(VLOOKUP(E1073,Sales_Reps!A:E,3,0),"")</f>
        <v>South</v>
      </c>
      <c r="N1073" t="str">
        <f>IFERROR(VLOOKUP(C1073,Customers!A:F,5,0),"")</f>
        <v>Retail</v>
      </c>
      <c r="O1073">
        <f>IFERROR(VLOOKUP(C1073,Customers!A:F,3,0),"")</f>
        <v>54</v>
      </c>
      <c r="P1073">
        <f>IFERROR(VLOOKUP(D1073,Products!A:F,4,0),"")</f>
        <v>2405</v>
      </c>
      <c r="Q1073" t="b">
        <f>IFERROR(VLOOKUP(D1073,Products!A:F,6,0),"")</f>
        <v>1</v>
      </c>
      <c r="R1073">
        <f t="shared" si="48"/>
        <v>0.54878048780487809</v>
      </c>
      <c r="S1073">
        <f t="shared" si="49"/>
        <v>1</v>
      </c>
      <c r="T1073">
        <f>IF(AND(S1073&gt;1,COUNTIF($A$2:A1073,A1073)=1),1,0)</f>
        <v>0</v>
      </c>
      <c r="U1073">
        <f>COUNTIF(Customers!$A$2:$A$301,C1073)</f>
        <v>1</v>
      </c>
      <c r="V1073">
        <f t="shared" si="50"/>
        <v>0</v>
      </c>
    </row>
    <row r="1074" spans="1:22" ht="14.25" customHeight="1" x14ac:dyDescent="0.35">
      <c r="A1074" s="10" t="s">
        <v>1521</v>
      </c>
      <c r="B1074" s="11">
        <v>45292</v>
      </c>
      <c r="C1074" s="10" t="s">
        <v>766</v>
      </c>
      <c r="D1074" s="10" t="s">
        <v>205</v>
      </c>
      <c r="E1074" s="10" t="s">
        <v>62</v>
      </c>
      <c r="F1074" s="12">
        <v>1</v>
      </c>
      <c r="G1074" s="12">
        <v>6080</v>
      </c>
      <c r="H1074" s="12">
        <v>27.8</v>
      </c>
      <c r="I1074" s="12">
        <v>4389.76</v>
      </c>
      <c r="J1074" s="10" t="s">
        <v>51</v>
      </c>
      <c r="K1074" s="10" t="s">
        <v>58</v>
      </c>
      <c r="L1074" t="str">
        <f>IFERROR(VLOOKUP(D1074,Products!A:F,3,0),"")</f>
        <v>Beauty</v>
      </c>
      <c r="M1074" t="str">
        <f>IFERROR(VLOOKUP(E1074,Sales_Reps!A:E,3,0),"")</f>
        <v>South</v>
      </c>
      <c r="N1074" t="str">
        <f>IFERROR(VLOOKUP(C1074,Customers!A:F,5,0),"")</f>
        <v>SMB</v>
      </c>
      <c r="O1074">
        <f>IFERROR(VLOOKUP(C1074,Customers!A:F,3,0),"")</f>
        <v>39</v>
      </c>
      <c r="P1074">
        <f>IFERROR(VLOOKUP(D1074,Products!A:F,4,0),"")</f>
        <v>2617</v>
      </c>
      <c r="Q1074" t="b">
        <f>IFERROR(VLOOKUP(D1074,Products!A:F,6,0),"")</f>
        <v>1</v>
      </c>
      <c r="R1074">
        <f t="shared" si="48"/>
        <v>0.56957236842105263</v>
      </c>
      <c r="S1074">
        <f t="shared" si="49"/>
        <v>1</v>
      </c>
      <c r="T1074">
        <f>IF(AND(S1074&gt;1,COUNTIF($A$2:A1074,A1074)=1),1,0)</f>
        <v>0</v>
      </c>
      <c r="U1074">
        <f>COUNTIF(Customers!$A$2:$A$301,C1074)</f>
        <v>1</v>
      </c>
      <c r="V1074">
        <f t="shared" si="50"/>
        <v>0</v>
      </c>
    </row>
    <row r="1075" spans="1:22" ht="14.25" customHeight="1" x14ac:dyDescent="0.35">
      <c r="A1075" s="10" t="s">
        <v>1522</v>
      </c>
      <c r="B1075" s="11">
        <v>45347</v>
      </c>
      <c r="C1075" s="10" t="s">
        <v>170</v>
      </c>
      <c r="D1075" s="10" t="s">
        <v>143</v>
      </c>
      <c r="E1075" s="10" t="s">
        <v>80</v>
      </c>
      <c r="F1075" s="12">
        <v>6</v>
      </c>
      <c r="G1075" s="12">
        <v>3350</v>
      </c>
      <c r="H1075" s="12">
        <v>12</v>
      </c>
      <c r="I1075" s="12">
        <v>17688</v>
      </c>
      <c r="J1075" s="10" t="s">
        <v>51</v>
      </c>
      <c r="K1075" s="10" t="s">
        <v>97</v>
      </c>
      <c r="L1075" t="str">
        <f>IFERROR(VLOOKUP(D1075,Products!A:F,3,0),"")</f>
        <v>Beauty</v>
      </c>
      <c r="M1075" t="str">
        <f>IFERROR(VLOOKUP(E1075,Sales_Reps!A:E,3,0),"")</f>
        <v>West</v>
      </c>
      <c r="N1075" t="str">
        <f>IFERROR(VLOOKUP(C1075,Customers!A:F,5,0),"")</f>
        <v>SMB</v>
      </c>
      <c r="O1075">
        <f>IFERROR(VLOOKUP(C1075,Customers!A:F,3,0),"")</f>
        <v>40</v>
      </c>
      <c r="P1075">
        <f>IFERROR(VLOOKUP(D1075,Products!A:F,4,0),"")</f>
        <v>1728</v>
      </c>
      <c r="Q1075" t="b">
        <f>IFERROR(VLOOKUP(D1075,Products!A:F,6,0),"")</f>
        <v>1</v>
      </c>
      <c r="R1075">
        <f t="shared" si="48"/>
        <v>0.48417910447761192</v>
      </c>
      <c r="S1075">
        <f t="shared" si="49"/>
        <v>1</v>
      </c>
      <c r="T1075">
        <f>IF(AND(S1075&gt;1,COUNTIF($A$2:A1075,A1075)=1),1,0)</f>
        <v>0</v>
      </c>
      <c r="U1075">
        <f>COUNTIF(Customers!$A$2:$A$301,C1075)</f>
        <v>1</v>
      </c>
      <c r="V1075">
        <f t="shared" si="50"/>
        <v>0</v>
      </c>
    </row>
    <row r="1076" spans="1:22" ht="14.25" customHeight="1" x14ac:dyDescent="0.35">
      <c r="A1076" s="10" t="s">
        <v>1523</v>
      </c>
      <c r="B1076" s="11">
        <v>45592</v>
      </c>
      <c r="C1076" s="10" t="s">
        <v>1524</v>
      </c>
      <c r="D1076" s="10" t="s">
        <v>479</v>
      </c>
      <c r="E1076" s="10" t="s">
        <v>307</v>
      </c>
      <c r="F1076" s="12">
        <v>6</v>
      </c>
      <c r="G1076" s="12">
        <v>6940</v>
      </c>
      <c r="H1076" s="12">
        <v>20</v>
      </c>
      <c r="I1076" s="12">
        <v>33312</v>
      </c>
      <c r="J1076" s="10" t="s">
        <v>51</v>
      </c>
      <c r="K1076" s="10" t="s">
        <v>58</v>
      </c>
      <c r="L1076" t="str">
        <f>IFERROR(VLOOKUP(D1076,Products!A:F,3,0),"")</f>
        <v>Sports</v>
      </c>
      <c r="M1076" t="str">
        <f>IFERROR(VLOOKUP(E1076,Sales_Reps!A:E,3,0),"")</f>
        <v>West</v>
      </c>
      <c r="N1076" t="str">
        <f>IFERROR(VLOOKUP(C1076,Customers!A:F,5,0),"")</f>
        <v/>
      </c>
      <c r="O1076" t="str">
        <f>IFERROR(VLOOKUP(C1076,Customers!A:F,3,0),"")</f>
        <v/>
      </c>
      <c r="P1076">
        <f>IFERROR(VLOOKUP(D1076,Products!A:F,4,0),"")</f>
        <v>2827</v>
      </c>
      <c r="Q1076" t="b">
        <f>IFERROR(VLOOKUP(D1076,Products!A:F,6,0),"")</f>
        <v>1</v>
      </c>
      <c r="R1076">
        <f t="shared" si="48"/>
        <v>0.5926512968299712</v>
      </c>
      <c r="S1076">
        <f t="shared" si="49"/>
        <v>1</v>
      </c>
      <c r="T1076">
        <f>IF(AND(S1076&gt;1,COUNTIF($A$2:A1076,A1076)=1),1,0)</f>
        <v>0</v>
      </c>
      <c r="U1076">
        <f>COUNTIF(Customers!$A$2:$A$301,C1076)</f>
        <v>0</v>
      </c>
      <c r="V1076">
        <f t="shared" si="50"/>
        <v>0</v>
      </c>
    </row>
    <row r="1077" spans="1:22" ht="14.25" customHeight="1" x14ac:dyDescent="0.35">
      <c r="A1077" s="10" t="s">
        <v>1525</v>
      </c>
      <c r="B1077" s="11">
        <v>45636</v>
      </c>
      <c r="C1077" s="10" t="s">
        <v>269</v>
      </c>
      <c r="D1077" s="10" t="s">
        <v>74</v>
      </c>
      <c r="E1077" s="10" t="s">
        <v>50</v>
      </c>
      <c r="F1077" s="12">
        <v>1</v>
      </c>
      <c r="G1077" s="12">
        <v>370</v>
      </c>
      <c r="H1077" s="12">
        <v>10</v>
      </c>
      <c r="I1077" s="12">
        <v>333</v>
      </c>
      <c r="J1077" s="10" t="s">
        <v>51</v>
      </c>
      <c r="K1077" s="10" t="s">
        <v>97</v>
      </c>
      <c r="L1077" t="str">
        <f>IFERROR(VLOOKUP(D1077,Products!A:F,3,0),"")</f>
        <v>Home</v>
      </c>
      <c r="M1077" t="str">
        <f>IFERROR(VLOOKUP(E1077,Sales_Reps!A:E,3,0),"")</f>
        <v>North</v>
      </c>
      <c r="N1077" t="str">
        <f>IFERROR(VLOOKUP(C1077,Customers!A:F,5,0),"")</f>
        <v>Corporate</v>
      </c>
      <c r="O1077">
        <f>IFERROR(VLOOKUP(C1077,Customers!A:F,3,0),"")</f>
        <v>46</v>
      </c>
      <c r="P1077">
        <f>IFERROR(VLOOKUP(D1077,Products!A:F,4,0),"")</f>
        <v>288</v>
      </c>
      <c r="Q1077" t="b">
        <f>IFERROR(VLOOKUP(D1077,Products!A:F,6,0),"")</f>
        <v>1</v>
      </c>
      <c r="R1077">
        <f t="shared" si="48"/>
        <v>0.22162162162162163</v>
      </c>
      <c r="S1077">
        <f t="shared" si="49"/>
        <v>1</v>
      </c>
      <c r="T1077">
        <f>IF(AND(S1077&gt;1,COUNTIF($A$2:A1077,A1077)=1),1,0)</f>
        <v>0</v>
      </c>
      <c r="U1077">
        <f>COUNTIF(Customers!$A$2:$A$301,C1077)</f>
        <v>1</v>
      </c>
      <c r="V1077">
        <f t="shared" si="50"/>
        <v>0</v>
      </c>
    </row>
    <row r="1078" spans="1:22" ht="14.25" customHeight="1" x14ac:dyDescent="0.35">
      <c r="A1078" s="10" t="s">
        <v>1526</v>
      </c>
      <c r="B1078" s="11">
        <v>45432</v>
      </c>
      <c r="C1078" s="10" t="s">
        <v>980</v>
      </c>
      <c r="D1078" s="10" t="s">
        <v>88</v>
      </c>
      <c r="E1078" s="10" t="s">
        <v>156</v>
      </c>
      <c r="F1078" s="12">
        <v>2</v>
      </c>
      <c r="G1078" s="12">
        <v>5490</v>
      </c>
      <c r="H1078" s="12">
        <v>27.9</v>
      </c>
      <c r="I1078" s="12">
        <v>7916.58</v>
      </c>
      <c r="J1078" s="10" t="s">
        <v>51</v>
      </c>
      <c r="K1078" s="10" t="s">
        <v>81</v>
      </c>
      <c r="L1078" t="str">
        <f>IFERROR(VLOOKUP(D1078,Products!A:F,3,0),"")</f>
        <v>Home</v>
      </c>
      <c r="M1078" t="str">
        <f>IFERROR(VLOOKUP(E1078,Sales_Reps!A:E,3,0),"")</f>
        <v>East</v>
      </c>
      <c r="N1078" t="str">
        <f>IFERROR(VLOOKUP(C1078,Customers!A:F,5,0),"")</f>
        <v>SMB</v>
      </c>
      <c r="O1078">
        <f>IFERROR(VLOOKUP(C1078,Customers!A:F,3,0),"")</f>
        <v>49</v>
      </c>
      <c r="P1078">
        <f>IFERROR(VLOOKUP(D1078,Products!A:F,4,0),"")</f>
        <v>2549</v>
      </c>
      <c r="Q1078" t="b">
        <f>IFERROR(VLOOKUP(D1078,Products!A:F,6,0),"")</f>
        <v>1</v>
      </c>
      <c r="R1078">
        <f t="shared" si="48"/>
        <v>0.53570127504553733</v>
      </c>
      <c r="S1078">
        <f t="shared" si="49"/>
        <v>1</v>
      </c>
      <c r="T1078">
        <f>IF(AND(S1078&gt;1,COUNTIF($A$2:A1078,A1078)=1),1,0)</f>
        <v>0</v>
      </c>
      <c r="U1078">
        <f>COUNTIF(Customers!$A$2:$A$301,C1078)</f>
        <v>1</v>
      </c>
      <c r="V1078">
        <f t="shared" si="50"/>
        <v>0</v>
      </c>
    </row>
    <row r="1079" spans="1:22" ht="14.25" customHeight="1" x14ac:dyDescent="0.35">
      <c r="A1079" s="10" t="s">
        <v>1527</v>
      </c>
      <c r="B1079" s="11">
        <v>45479</v>
      </c>
      <c r="C1079" s="10" t="s">
        <v>1000</v>
      </c>
      <c r="D1079" s="10" t="s">
        <v>66</v>
      </c>
      <c r="E1079" s="10" t="s">
        <v>168</v>
      </c>
      <c r="F1079" s="12">
        <v>5</v>
      </c>
      <c r="G1079" s="12">
        <v>3660</v>
      </c>
      <c r="H1079" s="12">
        <v>4.5999999999999996</v>
      </c>
      <c r="I1079" s="12">
        <v>17458.2</v>
      </c>
      <c r="J1079" s="10" t="s">
        <v>51</v>
      </c>
      <c r="K1079" s="10" t="s">
        <v>76</v>
      </c>
      <c r="L1079" t="str">
        <f>IFERROR(VLOOKUP(D1079,Products!A:F,3,0),"")</f>
        <v>Grocery</v>
      </c>
      <c r="M1079" t="str">
        <f>IFERROR(VLOOKUP(E1079,Sales_Reps!A:E,3,0),"")</f>
        <v>South</v>
      </c>
      <c r="N1079" t="str">
        <f>IFERROR(VLOOKUP(C1079,Customers!A:F,5,0),"")</f>
        <v>Retail</v>
      </c>
      <c r="O1079">
        <f>IFERROR(VLOOKUP(C1079,Customers!A:F,3,0),"")</f>
        <v>33</v>
      </c>
      <c r="P1079">
        <f>IFERROR(VLOOKUP(D1079,Products!A:F,4,0),"")</f>
        <v>2214</v>
      </c>
      <c r="Q1079" t="b">
        <f>IFERROR(VLOOKUP(D1079,Products!A:F,6,0),"")</f>
        <v>0</v>
      </c>
      <c r="R1079">
        <f t="shared" si="48"/>
        <v>0.39508196721311473</v>
      </c>
      <c r="S1079">
        <f t="shared" si="49"/>
        <v>1</v>
      </c>
      <c r="T1079">
        <f>IF(AND(S1079&gt;1,COUNTIF($A$2:A1079,A1079)=1),1,0)</f>
        <v>0</v>
      </c>
      <c r="U1079">
        <f>COUNTIF(Customers!$A$2:$A$301,C1079)</f>
        <v>1</v>
      </c>
      <c r="V1079">
        <f t="shared" si="50"/>
        <v>0</v>
      </c>
    </row>
    <row r="1080" spans="1:22" ht="14.25" customHeight="1" x14ac:dyDescent="0.35">
      <c r="A1080" s="10" t="s">
        <v>1528</v>
      </c>
      <c r="B1080" s="11">
        <v>45563</v>
      </c>
      <c r="C1080" s="10" t="s">
        <v>136</v>
      </c>
      <c r="D1080" s="10" t="s">
        <v>246</v>
      </c>
      <c r="E1080" s="10" t="s">
        <v>193</v>
      </c>
      <c r="F1080" s="12">
        <v>6</v>
      </c>
      <c r="G1080" s="12">
        <v>300</v>
      </c>
      <c r="H1080" s="12">
        <v>9</v>
      </c>
      <c r="I1080" s="12">
        <v>1638</v>
      </c>
      <c r="J1080" s="10" t="s">
        <v>51</v>
      </c>
      <c r="K1080" s="10" t="s">
        <v>52</v>
      </c>
      <c r="L1080" t="str">
        <f>IFERROR(VLOOKUP(D1080,Products!A:F,3,0),"")</f>
        <v>Electronics</v>
      </c>
      <c r="M1080" t="str">
        <f>IFERROR(VLOOKUP(E1080,Sales_Reps!A:E,3,0),"")</f>
        <v>West</v>
      </c>
      <c r="N1080" t="str">
        <f>IFERROR(VLOOKUP(C1080,Customers!A:F,5,0),"")</f>
        <v>Retail</v>
      </c>
      <c r="O1080">
        <f>IFERROR(VLOOKUP(C1080,Customers!A:F,3,0),"")</f>
        <v>50</v>
      </c>
      <c r="P1080">
        <f>IFERROR(VLOOKUP(D1080,Products!A:F,4,0),"")</f>
        <v>128</v>
      </c>
      <c r="Q1080" t="b">
        <f>IFERROR(VLOOKUP(D1080,Products!A:F,6,0),"")</f>
        <v>1</v>
      </c>
      <c r="R1080">
        <f t="shared" si="48"/>
        <v>0.57333333333333336</v>
      </c>
      <c r="S1080">
        <f t="shared" si="49"/>
        <v>1</v>
      </c>
      <c r="T1080">
        <f>IF(AND(S1080&gt;1,COUNTIF($A$2:A1080,A1080)=1),1,0)</f>
        <v>0</v>
      </c>
      <c r="U1080">
        <f>COUNTIF(Customers!$A$2:$A$301,C1080)</f>
        <v>1</v>
      </c>
      <c r="V1080">
        <f t="shared" si="50"/>
        <v>0</v>
      </c>
    </row>
    <row r="1081" spans="1:22" ht="14.25" customHeight="1" x14ac:dyDescent="0.35">
      <c r="A1081" s="10" t="s">
        <v>1529</v>
      </c>
      <c r="B1081" s="11">
        <v>45523</v>
      </c>
      <c r="C1081" s="10" t="s">
        <v>114</v>
      </c>
      <c r="D1081" s="10" t="s">
        <v>246</v>
      </c>
      <c r="E1081" s="10" t="s">
        <v>289</v>
      </c>
      <c r="F1081" s="12">
        <v>3</v>
      </c>
      <c r="G1081" s="12">
        <v>300</v>
      </c>
      <c r="H1081" s="12">
        <v>19.2</v>
      </c>
      <c r="I1081" s="12">
        <v>727.2</v>
      </c>
      <c r="J1081" s="10" t="s">
        <v>51</v>
      </c>
      <c r="K1081" s="10" t="s">
        <v>52</v>
      </c>
      <c r="L1081" t="str">
        <f>IFERROR(VLOOKUP(D1081,Products!A:F,3,0),"")</f>
        <v>Electronics</v>
      </c>
      <c r="M1081" t="str">
        <f>IFERROR(VLOOKUP(E1081,Sales_Reps!A:E,3,0),"")</f>
        <v>South</v>
      </c>
      <c r="N1081" t="str">
        <f>IFERROR(VLOOKUP(C1081,Customers!A:F,5,0),"")</f>
        <v>Retail</v>
      </c>
      <c r="O1081">
        <f>IFERROR(VLOOKUP(C1081,Customers!A:F,3,0),"")</f>
        <v>63</v>
      </c>
      <c r="P1081">
        <f>IFERROR(VLOOKUP(D1081,Products!A:F,4,0),"")</f>
        <v>128</v>
      </c>
      <c r="Q1081" t="b">
        <f>IFERROR(VLOOKUP(D1081,Products!A:F,6,0),"")</f>
        <v>1</v>
      </c>
      <c r="R1081">
        <f t="shared" si="48"/>
        <v>0.57333333333333336</v>
      </c>
      <c r="S1081">
        <f t="shared" si="49"/>
        <v>1</v>
      </c>
      <c r="T1081">
        <f>IF(AND(S1081&gt;1,COUNTIF($A$2:A1081,A1081)=1),1,0)</f>
        <v>0</v>
      </c>
      <c r="U1081">
        <f>COUNTIF(Customers!$A$2:$A$301,C1081)</f>
        <v>1</v>
      </c>
      <c r="V1081">
        <f t="shared" si="50"/>
        <v>0</v>
      </c>
    </row>
    <row r="1082" spans="1:22" ht="14.25" customHeight="1" x14ac:dyDescent="0.35">
      <c r="A1082" s="10" t="s">
        <v>1530</v>
      </c>
      <c r="B1082" s="11">
        <v>45537</v>
      </c>
      <c r="C1082" s="10" t="s">
        <v>54</v>
      </c>
      <c r="D1082" s="10" t="s">
        <v>344</v>
      </c>
      <c r="E1082" s="10" t="s">
        <v>62</v>
      </c>
      <c r="F1082" s="12">
        <v>6</v>
      </c>
      <c r="G1082" s="12">
        <v>960</v>
      </c>
      <c r="H1082" s="12">
        <v>29.3</v>
      </c>
      <c r="I1082" s="12">
        <v>4072.32</v>
      </c>
      <c r="J1082" s="10" t="s">
        <v>104</v>
      </c>
      <c r="K1082" s="10" t="s">
        <v>58</v>
      </c>
      <c r="L1082" t="str">
        <f>IFERROR(VLOOKUP(D1082,Products!A:F,3,0),"")</f>
        <v>Beauty</v>
      </c>
      <c r="M1082" t="str">
        <f>IFERROR(VLOOKUP(E1082,Sales_Reps!A:E,3,0),"")</f>
        <v>South</v>
      </c>
      <c r="N1082" t="str">
        <f>IFERROR(VLOOKUP(C1082,Customers!A:F,5,0),"")</f>
        <v>Retail</v>
      </c>
      <c r="O1082">
        <f>IFERROR(VLOOKUP(C1082,Customers!A:F,3,0),"")</f>
        <v>39</v>
      </c>
      <c r="P1082">
        <f>IFERROR(VLOOKUP(D1082,Products!A:F,4,0),"")</f>
        <v>675</v>
      </c>
      <c r="Q1082" t="b">
        <f>IFERROR(VLOOKUP(D1082,Products!A:F,6,0),"")</f>
        <v>1</v>
      </c>
      <c r="R1082">
        <f t="shared" si="48"/>
        <v>0.296875</v>
      </c>
      <c r="S1082">
        <f t="shared" si="49"/>
        <v>1</v>
      </c>
      <c r="T1082">
        <f>IF(AND(S1082&gt;1,COUNTIF($A$2:A1082,A1082)=1),1,0)</f>
        <v>0</v>
      </c>
      <c r="U1082">
        <f>COUNTIF(Customers!$A$2:$A$301,C1082)</f>
        <v>1</v>
      </c>
      <c r="V1082">
        <f t="shared" si="50"/>
        <v>0</v>
      </c>
    </row>
    <row r="1083" spans="1:22" ht="14.25" customHeight="1" x14ac:dyDescent="0.35">
      <c r="A1083" s="10" t="s">
        <v>1531</v>
      </c>
      <c r="B1083" s="11">
        <v>45383</v>
      </c>
      <c r="C1083" s="10" t="s">
        <v>411</v>
      </c>
      <c r="D1083" s="10" t="s">
        <v>209</v>
      </c>
      <c r="E1083" s="10" t="s">
        <v>75</v>
      </c>
      <c r="F1083" s="12">
        <v>1</v>
      </c>
      <c r="G1083" s="12">
        <v>2270</v>
      </c>
      <c r="H1083" s="12">
        <v>12.4</v>
      </c>
      <c r="I1083" s="12">
        <v>1988.52</v>
      </c>
      <c r="J1083" s="10" t="s">
        <v>51</v>
      </c>
      <c r="K1083" s="10" t="s">
        <v>76</v>
      </c>
      <c r="L1083" t="str">
        <f>IFERROR(VLOOKUP(D1083,Products!A:F,3,0),"")</f>
        <v>Grocery</v>
      </c>
      <c r="M1083" t="str">
        <f>IFERROR(VLOOKUP(E1083,Sales_Reps!A:E,3,0),"")</f>
        <v>West</v>
      </c>
      <c r="N1083" t="str">
        <f>IFERROR(VLOOKUP(C1083,Customers!A:F,5,0),"")</f>
        <v>Retail</v>
      </c>
      <c r="O1083">
        <f>IFERROR(VLOOKUP(C1083,Customers!A:F,3,0),"")</f>
        <v>41</v>
      </c>
      <c r="P1083">
        <f>IFERROR(VLOOKUP(D1083,Products!A:F,4,0),"")</f>
        <v>1412</v>
      </c>
      <c r="Q1083" t="b">
        <f>IFERROR(VLOOKUP(D1083,Products!A:F,6,0),"")</f>
        <v>1</v>
      </c>
      <c r="R1083">
        <f t="shared" si="48"/>
        <v>0.37797356828193834</v>
      </c>
      <c r="S1083">
        <f t="shared" si="49"/>
        <v>1</v>
      </c>
      <c r="T1083">
        <f>IF(AND(S1083&gt;1,COUNTIF($A$2:A1083,A1083)=1),1,0)</f>
        <v>0</v>
      </c>
      <c r="U1083">
        <f>COUNTIF(Customers!$A$2:$A$301,C1083)</f>
        <v>1</v>
      </c>
      <c r="V1083">
        <f t="shared" si="50"/>
        <v>0</v>
      </c>
    </row>
    <row r="1084" spans="1:22" ht="14.25" customHeight="1" x14ac:dyDescent="0.35">
      <c r="A1084" s="10" t="s">
        <v>1532</v>
      </c>
      <c r="B1084" s="11">
        <v>45541</v>
      </c>
      <c r="C1084" s="10" t="s">
        <v>295</v>
      </c>
      <c r="D1084" s="10" t="s">
        <v>259</v>
      </c>
      <c r="E1084" s="10" t="s">
        <v>307</v>
      </c>
      <c r="F1084" s="12">
        <v>10</v>
      </c>
      <c r="G1084" s="12">
        <v>2030</v>
      </c>
      <c r="H1084" s="12">
        <v>4</v>
      </c>
      <c r="I1084" s="12">
        <v>19488</v>
      </c>
      <c r="J1084" s="10" t="s">
        <v>51</v>
      </c>
      <c r="K1084" s="10" t="s">
        <v>81</v>
      </c>
      <c r="L1084" t="str">
        <f>IFERROR(VLOOKUP(D1084,Products!A:F,3,0),"")</f>
        <v>Home</v>
      </c>
      <c r="M1084" t="str">
        <f>IFERROR(VLOOKUP(E1084,Sales_Reps!A:E,3,0),"")</f>
        <v>West</v>
      </c>
      <c r="N1084" t="str">
        <f>IFERROR(VLOOKUP(C1084,Customers!A:F,5,0),"")</f>
        <v>Corporate</v>
      </c>
      <c r="O1084">
        <f>IFERROR(VLOOKUP(C1084,Customers!A:F,3,0),"")</f>
        <v>59</v>
      </c>
      <c r="P1084">
        <f>IFERROR(VLOOKUP(D1084,Products!A:F,4,0),"")</f>
        <v>1143</v>
      </c>
      <c r="Q1084" t="b">
        <f>IFERROR(VLOOKUP(D1084,Products!A:F,6,0),"")</f>
        <v>1</v>
      </c>
      <c r="R1084">
        <f t="shared" si="48"/>
        <v>0.43694581280788175</v>
      </c>
      <c r="S1084">
        <f t="shared" si="49"/>
        <v>1</v>
      </c>
      <c r="T1084">
        <f>IF(AND(S1084&gt;1,COUNTIF($A$2:A1084,A1084)=1),1,0)</f>
        <v>0</v>
      </c>
      <c r="U1084">
        <f>COUNTIF(Customers!$A$2:$A$301,C1084)</f>
        <v>1</v>
      </c>
      <c r="V1084">
        <f t="shared" si="50"/>
        <v>0</v>
      </c>
    </row>
    <row r="1085" spans="1:22" ht="14.25" customHeight="1" x14ac:dyDescent="0.35">
      <c r="A1085" s="10" t="s">
        <v>1533</v>
      </c>
      <c r="B1085" s="11">
        <v>45609</v>
      </c>
      <c r="C1085" s="10" t="s">
        <v>866</v>
      </c>
      <c r="D1085" s="10" t="s">
        <v>128</v>
      </c>
      <c r="E1085" s="10" t="s">
        <v>122</v>
      </c>
      <c r="F1085" s="12">
        <v>9</v>
      </c>
      <c r="G1085" s="12">
        <v>1080</v>
      </c>
      <c r="H1085" s="12">
        <v>19.2</v>
      </c>
      <c r="I1085" s="12">
        <v>7853.76</v>
      </c>
      <c r="J1085" s="10" t="s">
        <v>57</v>
      </c>
      <c r="K1085" s="10" t="s">
        <v>76</v>
      </c>
      <c r="L1085" t="str">
        <f>IFERROR(VLOOKUP(D1085,Products!A:F,3,0),"")</f>
        <v>Home</v>
      </c>
      <c r="M1085" t="str">
        <f>IFERROR(VLOOKUP(E1085,Sales_Reps!A:E,3,0),"")</f>
        <v>East</v>
      </c>
      <c r="N1085" t="str">
        <f>IFERROR(VLOOKUP(C1085,Customers!A:F,5,0),"")</f>
        <v>Retail</v>
      </c>
      <c r="O1085">
        <f>IFERROR(VLOOKUP(C1085,Customers!A:F,3,0),"")</f>
        <v>37</v>
      </c>
      <c r="P1085">
        <f>IFERROR(VLOOKUP(D1085,Products!A:F,4,0),"")</f>
        <v>519</v>
      </c>
      <c r="Q1085" t="b">
        <f>IFERROR(VLOOKUP(D1085,Products!A:F,6,0),"")</f>
        <v>1</v>
      </c>
      <c r="R1085">
        <f t="shared" si="48"/>
        <v>0.51944444444444449</v>
      </c>
      <c r="S1085">
        <f t="shared" si="49"/>
        <v>1</v>
      </c>
      <c r="T1085">
        <f>IF(AND(S1085&gt;1,COUNTIF($A$2:A1085,A1085)=1),1,0)</f>
        <v>0</v>
      </c>
      <c r="U1085">
        <f>COUNTIF(Customers!$A$2:$A$301,C1085)</f>
        <v>1</v>
      </c>
      <c r="V1085">
        <f t="shared" si="50"/>
        <v>0</v>
      </c>
    </row>
    <row r="1086" spans="1:22" ht="14.25" customHeight="1" x14ac:dyDescent="0.35">
      <c r="A1086" s="10" t="s">
        <v>1534</v>
      </c>
      <c r="B1086" s="11">
        <v>45463</v>
      </c>
      <c r="C1086" s="10" t="s">
        <v>136</v>
      </c>
      <c r="D1086" s="10" t="s">
        <v>159</v>
      </c>
      <c r="E1086" s="10" t="s">
        <v>75</v>
      </c>
      <c r="F1086" s="12">
        <v>5</v>
      </c>
      <c r="G1086" s="12">
        <v>2860</v>
      </c>
      <c r="H1086" s="12">
        <v>25</v>
      </c>
      <c r="I1086" s="12">
        <v>10725</v>
      </c>
      <c r="J1086" s="10" t="s">
        <v>57</v>
      </c>
      <c r="K1086" s="10" t="s">
        <v>52</v>
      </c>
      <c r="L1086" t="str">
        <f>IFERROR(VLOOKUP(D1086,Products!A:F,3,0),"")</f>
        <v>Sports</v>
      </c>
      <c r="M1086" t="str">
        <f>IFERROR(VLOOKUP(E1086,Sales_Reps!A:E,3,0),"")</f>
        <v>West</v>
      </c>
      <c r="N1086" t="str">
        <f>IFERROR(VLOOKUP(C1086,Customers!A:F,5,0),"")</f>
        <v>Retail</v>
      </c>
      <c r="O1086">
        <f>IFERROR(VLOOKUP(C1086,Customers!A:F,3,0),"")</f>
        <v>50</v>
      </c>
      <c r="P1086">
        <f>IFERROR(VLOOKUP(D1086,Products!A:F,4,0),"")</f>
        <v>2028</v>
      </c>
      <c r="Q1086" t="b">
        <f>IFERROR(VLOOKUP(D1086,Products!A:F,6,0),"")</f>
        <v>1</v>
      </c>
      <c r="R1086">
        <f t="shared" si="48"/>
        <v>0.29090909090909089</v>
      </c>
      <c r="S1086">
        <f t="shared" si="49"/>
        <v>1</v>
      </c>
      <c r="T1086">
        <f>IF(AND(S1086&gt;1,COUNTIF($A$2:A1086,A1086)=1),1,0)</f>
        <v>0</v>
      </c>
      <c r="U1086">
        <f>COUNTIF(Customers!$A$2:$A$301,C1086)</f>
        <v>1</v>
      </c>
      <c r="V1086">
        <f t="shared" si="50"/>
        <v>0</v>
      </c>
    </row>
    <row r="1087" spans="1:22" ht="14.25" customHeight="1" x14ac:dyDescent="0.35">
      <c r="A1087" s="10" t="s">
        <v>1535</v>
      </c>
      <c r="B1087" s="11">
        <v>45588</v>
      </c>
      <c r="C1087" s="10" t="s">
        <v>65</v>
      </c>
      <c r="D1087" s="10" t="s">
        <v>95</v>
      </c>
      <c r="E1087" s="10" t="s">
        <v>289</v>
      </c>
      <c r="F1087" s="12">
        <v>6</v>
      </c>
      <c r="G1087" s="12">
        <v>2270</v>
      </c>
      <c r="H1087" s="12">
        <v>9.3000000000000007</v>
      </c>
      <c r="I1087" s="12">
        <v>12353.34</v>
      </c>
      <c r="J1087" s="10" t="s">
        <v>51</v>
      </c>
      <c r="K1087" s="10" t="s">
        <v>63</v>
      </c>
      <c r="L1087" t="str">
        <f>IFERROR(VLOOKUP(D1087,Products!A:F,3,0),"")</f>
        <v>Grocery</v>
      </c>
      <c r="M1087" t="str">
        <f>IFERROR(VLOOKUP(E1087,Sales_Reps!A:E,3,0),"")</f>
        <v>South</v>
      </c>
      <c r="N1087" t="str">
        <f>IFERROR(VLOOKUP(C1087,Customers!A:F,5,0),"")</f>
        <v>Corporate</v>
      </c>
      <c r="O1087">
        <f>IFERROR(VLOOKUP(C1087,Customers!A:F,3,0),"")</f>
        <v>46</v>
      </c>
      <c r="P1087">
        <f>IFERROR(VLOOKUP(D1087,Products!A:F,4,0),"")</f>
        <v>1203</v>
      </c>
      <c r="Q1087" t="b">
        <f>IFERROR(VLOOKUP(D1087,Products!A:F,6,0),"")</f>
        <v>1</v>
      </c>
      <c r="R1087">
        <f t="shared" si="48"/>
        <v>0.47004405286343615</v>
      </c>
      <c r="S1087">
        <f t="shared" si="49"/>
        <v>1</v>
      </c>
      <c r="T1087">
        <f>IF(AND(S1087&gt;1,COUNTIF($A$2:A1087,A1087)=1),1,0)</f>
        <v>0</v>
      </c>
      <c r="U1087">
        <f>COUNTIF(Customers!$A$2:$A$301,C1087)</f>
        <v>1</v>
      </c>
      <c r="V1087">
        <f t="shared" si="50"/>
        <v>0</v>
      </c>
    </row>
    <row r="1088" spans="1:22" ht="14.25" customHeight="1" x14ac:dyDescent="0.35">
      <c r="A1088" s="10" t="s">
        <v>1536</v>
      </c>
      <c r="B1088" s="11">
        <v>45328</v>
      </c>
      <c r="C1088" s="10" t="s">
        <v>599</v>
      </c>
      <c r="D1088" s="10" t="s">
        <v>137</v>
      </c>
      <c r="E1088" s="10" t="s">
        <v>80</v>
      </c>
      <c r="F1088" s="12">
        <v>1</v>
      </c>
      <c r="G1088" s="12">
        <v>2720</v>
      </c>
      <c r="H1088" s="12">
        <v>15.2</v>
      </c>
      <c r="I1088" s="12">
        <v>2306.56</v>
      </c>
      <c r="J1088" s="10" t="s">
        <v>51</v>
      </c>
      <c r="K1088" s="10" t="s">
        <v>63</v>
      </c>
      <c r="L1088" t="str">
        <f>IFERROR(VLOOKUP(D1088,Products!A:F,3,0),"")</f>
        <v>Apparel</v>
      </c>
      <c r="M1088" t="str">
        <f>IFERROR(VLOOKUP(E1088,Sales_Reps!A:E,3,0),"")</f>
        <v>West</v>
      </c>
      <c r="N1088" t="str">
        <f>IFERROR(VLOOKUP(C1088,Customers!A:F,5,0),"")</f>
        <v>Retail</v>
      </c>
      <c r="O1088">
        <f>IFERROR(VLOOKUP(C1088,Customers!A:F,3,0),"")</f>
        <v>49</v>
      </c>
      <c r="P1088">
        <f>IFERROR(VLOOKUP(D1088,Products!A:F,4,0),"")</f>
        <v>1962</v>
      </c>
      <c r="Q1088" t="b">
        <f>IFERROR(VLOOKUP(D1088,Products!A:F,6,0),"")</f>
        <v>1</v>
      </c>
      <c r="R1088">
        <f t="shared" si="48"/>
        <v>0.2786764705882353</v>
      </c>
      <c r="S1088">
        <f t="shared" si="49"/>
        <v>1</v>
      </c>
      <c r="T1088">
        <f>IF(AND(S1088&gt;1,COUNTIF($A$2:A1088,A1088)=1),1,0)</f>
        <v>0</v>
      </c>
      <c r="U1088">
        <f>COUNTIF(Customers!$A$2:$A$301,C1088)</f>
        <v>1</v>
      </c>
      <c r="V1088">
        <f t="shared" si="50"/>
        <v>0</v>
      </c>
    </row>
    <row r="1089" spans="1:22" ht="14.25" customHeight="1" x14ac:dyDescent="0.35">
      <c r="A1089" s="10" t="s">
        <v>1537</v>
      </c>
      <c r="B1089" s="11">
        <v>45638</v>
      </c>
      <c r="C1089" s="10" t="s">
        <v>1002</v>
      </c>
      <c r="D1089" s="10" t="s">
        <v>212</v>
      </c>
      <c r="E1089" s="10" t="s">
        <v>56</v>
      </c>
      <c r="F1089" s="12">
        <v>10</v>
      </c>
      <c r="G1089" s="12">
        <v>3870</v>
      </c>
      <c r="H1089" s="12">
        <v>4.9000000000000004</v>
      </c>
      <c r="I1089" s="12">
        <v>36803.699999999997</v>
      </c>
      <c r="J1089" s="10" t="s">
        <v>104</v>
      </c>
      <c r="K1089" s="10" t="s">
        <v>81</v>
      </c>
      <c r="L1089" t="str">
        <f>IFERROR(VLOOKUP(D1089,Products!A:F,3,0),"")</f>
        <v>Electronics</v>
      </c>
      <c r="M1089" t="str">
        <f>IFERROR(VLOOKUP(E1089,Sales_Reps!A:E,3,0),"")</f>
        <v>North</v>
      </c>
      <c r="N1089" t="str">
        <f>IFERROR(VLOOKUP(C1089,Customers!A:F,5,0),"")</f>
        <v>Corporate</v>
      </c>
      <c r="O1089">
        <f>IFERROR(VLOOKUP(C1089,Customers!A:F,3,0),"")</f>
        <v>55</v>
      </c>
      <c r="P1089">
        <f>IFERROR(VLOOKUP(D1089,Products!A:F,4,0),"")</f>
        <v>1559</v>
      </c>
      <c r="Q1089" t="b">
        <f>IFERROR(VLOOKUP(D1089,Products!A:F,6,0),"")</f>
        <v>1</v>
      </c>
      <c r="R1089">
        <f t="shared" si="48"/>
        <v>0.59715762273901807</v>
      </c>
      <c r="S1089">
        <f t="shared" si="49"/>
        <v>1</v>
      </c>
      <c r="T1089">
        <f>IF(AND(S1089&gt;1,COUNTIF($A$2:A1089,A1089)=1),1,0)</f>
        <v>0</v>
      </c>
      <c r="U1089">
        <f>COUNTIF(Customers!$A$2:$A$301,C1089)</f>
        <v>1</v>
      </c>
      <c r="V1089">
        <f t="shared" si="50"/>
        <v>0</v>
      </c>
    </row>
    <row r="1090" spans="1:22" ht="14.25" customHeight="1" x14ac:dyDescent="0.35">
      <c r="A1090" s="10" t="s">
        <v>1538</v>
      </c>
      <c r="B1090" s="11">
        <v>45332</v>
      </c>
      <c r="C1090" s="10" t="s">
        <v>1539</v>
      </c>
      <c r="D1090" s="10" t="s">
        <v>416</v>
      </c>
      <c r="E1090" s="10" t="s">
        <v>85</v>
      </c>
      <c r="F1090" s="12">
        <v>8</v>
      </c>
      <c r="G1090" s="12">
        <v>3450</v>
      </c>
      <c r="H1090" s="12">
        <v>20.6</v>
      </c>
      <c r="I1090" s="12">
        <v>21914.400000000001</v>
      </c>
      <c r="J1090" s="10" t="s">
        <v>51</v>
      </c>
      <c r="K1090" s="10" t="s">
        <v>97</v>
      </c>
      <c r="L1090" t="str">
        <f>IFERROR(VLOOKUP(D1090,Products!A:F,3,0),"")</f>
        <v>Apparel</v>
      </c>
      <c r="M1090" t="str">
        <f>IFERROR(VLOOKUP(E1090,Sales_Reps!A:E,3,0),"")</f>
        <v>East</v>
      </c>
      <c r="N1090" t="str">
        <f>IFERROR(VLOOKUP(C1090,Customers!A:F,5,0),"")</f>
        <v>Corporate</v>
      </c>
      <c r="O1090">
        <f>IFERROR(VLOOKUP(C1090,Customers!A:F,3,0),"")</f>
        <v>60</v>
      </c>
      <c r="P1090">
        <f>IFERROR(VLOOKUP(D1090,Products!A:F,4,0),"")</f>
        <v>1748</v>
      </c>
      <c r="Q1090" t="b">
        <f>IFERROR(VLOOKUP(D1090,Products!A:F,6,0),"")</f>
        <v>1</v>
      </c>
      <c r="R1090">
        <f t="shared" ref="R1090:R1153" si="51">IFERROR((G1090-P1090)/G1090,"")</f>
        <v>0.49333333333333335</v>
      </c>
      <c r="S1090">
        <f t="shared" ref="S1090:S1153" si="52">COUNTIF($A$2:$A$2001,A1090)</f>
        <v>1</v>
      </c>
      <c r="T1090">
        <f>IF(AND(S1090&gt;1,COUNTIF($A$2:A1090,A1090)=1),1,0)</f>
        <v>0</v>
      </c>
      <c r="U1090">
        <f>COUNTIF(Customers!$A$2:$A$301,C1090)</f>
        <v>1</v>
      </c>
      <c r="V1090">
        <f t="shared" ref="V1090:V1153" si="53">IF(AND(K1090="Bengaluru",L1090="Grocery"),I1090,0)</f>
        <v>0</v>
      </c>
    </row>
    <row r="1091" spans="1:22" ht="14.25" customHeight="1" x14ac:dyDescent="0.35">
      <c r="A1091" s="10" t="s">
        <v>1540</v>
      </c>
      <c r="B1091" s="11">
        <v>45406</v>
      </c>
      <c r="C1091" s="10" t="s">
        <v>233</v>
      </c>
      <c r="D1091" s="10" t="s">
        <v>61</v>
      </c>
      <c r="E1091" s="10" t="s">
        <v>261</v>
      </c>
      <c r="F1091" s="12">
        <v>1</v>
      </c>
      <c r="G1091" s="12">
        <v>470</v>
      </c>
      <c r="H1091" s="12">
        <v>5.4</v>
      </c>
      <c r="I1091" s="12">
        <v>444.62</v>
      </c>
      <c r="J1091" s="10" t="s">
        <v>108</v>
      </c>
      <c r="K1091" s="10" t="s">
        <v>76</v>
      </c>
      <c r="L1091" t="str">
        <f>IFERROR(VLOOKUP(D1091,Products!A:F,3,0),"")</f>
        <v>Sports</v>
      </c>
      <c r="M1091" t="str">
        <f>IFERROR(VLOOKUP(E1091,Sales_Reps!A:E,3,0),"")</f>
        <v>North</v>
      </c>
      <c r="N1091" t="str">
        <f>IFERROR(VLOOKUP(C1091,Customers!A:F,5,0),"")</f>
        <v>Retail</v>
      </c>
      <c r="O1091">
        <f>IFERROR(VLOOKUP(C1091,Customers!A:F,3,0),"")</f>
        <v>40</v>
      </c>
      <c r="P1091">
        <f>IFERROR(VLOOKUP(D1091,Products!A:F,4,0),"")</f>
        <v>302</v>
      </c>
      <c r="Q1091" t="b">
        <f>IFERROR(VLOOKUP(D1091,Products!A:F,6,0),"")</f>
        <v>0</v>
      </c>
      <c r="R1091">
        <f t="shared" si="51"/>
        <v>0.35744680851063831</v>
      </c>
      <c r="S1091">
        <f t="shared" si="52"/>
        <v>1</v>
      </c>
      <c r="T1091">
        <f>IF(AND(S1091&gt;1,COUNTIF($A$2:A1091,A1091)=1),1,0)</f>
        <v>0</v>
      </c>
      <c r="U1091">
        <f>COUNTIF(Customers!$A$2:$A$301,C1091)</f>
        <v>1</v>
      </c>
      <c r="V1091">
        <f t="shared" si="53"/>
        <v>0</v>
      </c>
    </row>
    <row r="1092" spans="1:22" ht="14.25" customHeight="1" x14ac:dyDescent="0.35">
      <c r="A1092" s="10" t="s">
        <v>1541</v>
      </c>
      <c r="B1092" s="11">
        <v>45405</v>
      </c>
      <c r="C1092" s="10" t="s">
        <v>288</v>
      </c>
      <c r="D1092" s="10" t="s">
        <v>372</v>
      </c>
      <c r="E1092" s="10" t="s">
        <v>168</v>
      </c>
      <c r="F1092" s="12">
        <v>5</v>
      </c>
      <c r="G1092" s="12">
        <v>3970</v>
      </c>
      <c r="H1092" s="12">
        <v>5.8</v>
      </c>
      <c r="I1092" s="12">
        <v>18698.7</v>
      </c>
      <c r="J1092" s="10" t="s">
        <v>51</v>
      </c>
      <c r="K1092" s="10" t="s">
        <v>97</v>
      </c>
      <c r="L1092" t="str">
        <f>IFERROR(VLOOKUP(D1092,Products!A:F,3,0),"")</f>
        <v>Electronics</v>
      </c>
      <c r="M1092" t="str">
        <f>IFERROR(VLOOKUP(E1092,Sales_Reps!A:E,3,0),"")</f>
        <v>South</v>
      </c>
      <c r="N1092" t="str">
        <f>IFERROR(VLOOKUP(C1092,Customers!A:F,5,0),"")</f>
        <v>Retail</v>
      </c>
      <c r="O1092">
        <f>IFERROR(VLOOKUP(C1092,Customers!A:F,3,0),"")</f>
        <v>28</v>
      </c>
      <c r="P1092">
        <f>IFERROR(VLOOKUP(D1092,Products!A:F,4,0),"")</f>
        <v>2865</v>
      </c>
      <c r="Q1092" t="b">
        <f>IFERROR(VLOOKUP(D1092,Products!A:F,6,0),"")</f>
        <v>1</v>
      </c>
      <c r="R1092">
        <f t="shared" si="51"/>
        <v>0.27833753148614609</v>
      </c>
      <c r="S1092">
        <f t="shared" si="52"/>
        <v>1</v>
      </c>
      <c r="T1092">
        <f>IF(AND(S1092&gt;1,COUNTIF($A$2:A1092,A1092)=1),1,0)</f>
        <v>0</v>
      </c>
      <c r="U1092">
        <f>COUNTIF(Customers!$A$2:$A$301,C1092)</f>
        <v>1</v>
      </c>
      <c r="V1092">
        <f t="shared" si="53"/>
        <v>0</v>
      </c>
    </row>
    <row r="1093" spans="1:22" ht="14.25" customHeight="1" x14ac:dyDescent="0.35">
      <c r="A1093" s="10" t="s">
        <v>1542</v>
      </c>
      <c r="B1093" s="11">
        <v>45469</v>
      </c>
      <c r="C1093" s="10" t="s">
        <v>970</v>
      </c>
      <c r="D1093" s="10" t="s">
        <v>155</v>
      </c>
      <c r="E1093" s="10" t="s">
        <v>289</v>
      </c>
      <c r="F1093" s="12">
        <v>2</v>
      </c>
      <c r="G1093" s="12">
        <v>5100</v>
      </c>
      <c r="H1093" s="12">
        <v>19.899999999999999</v>
      </c>
      <c r="I1093" s="12">
        <v>8170.2</v>
      </c>
      <c r="J1093" s="10" t="s">
        <v>51</v>
      </c>
      <c r="K1093" s="10" t="s">
        <v>81</v>
      </c>
      <c r="L1093" t="str">
        <f>IFERROR(VLOOKUP(D1093,Products!A:F,3,0),"")</f>
        <v>Beauty</v>
      </c>
      <c r="M1093" t="str">
        <f>IFERROR(VLOOKUP(E1093,Sales_Reps!A:E,3,0),"")</f>
        <v>South</v>
      </c>
      <c r="N1093" t="str">
        <f>IFERROR(VLOOKUP(C1093,Customers!A:F,5,0),"")</f>
        <v>SMB</v>
      </c>
      <c r="O1093">
        <f>IFERROR(VLOOKUP(C1093,Customers!A:F,3,0),"")</f>
        <v>44</v>
      </c>
      <c r="P1093">
        <f>IFERROR(VLOOKUP(D1093,Products!A:F,4,0),"")</f>
        <v>2237</v>
      </c>
      <c r="Q1093" t="b">
        <f>IFERROR(VLOOKUP(D1093,Products!A:F,6,0),"")</f>
        <v>1</v>
      </c>
      <c r="R1093">
        <f t="shared" si="51"/>
        <v>0.56137254901960787</v>
      </c>
      <c r="S1093">
        <f t="shared" si="52"/>
        <v>1</v>
      </c>
      <c r="T1093">
        <f>IF(AND(S1093&gt;1,COUNTIF($A$2:A1093,A1093)=1),1,0)</f>
        <v>0</v>
      </c>
      <c r="U1093">
        <f>COUNTIF(Customers!$A$2:$A$301,C1093)</f>
        <v>1</v>
      </c>
      <c r="V1093">
        <f t="shared" si="53"/>
        <v>0</v>
      </c>
    </row>
    <row r="1094" spans="1:22" ht="14.25" customHeight="1" x14ac:dyDescent="0.35">
      <c r="A1094" s="10" t="s">
        <v>1543</v>
      </c>
      <c r="B1094" s="11">
        <v>45656</v>
      </c>
      <c r="C1094" s="10" t="s">
        <v>457</v>
      </c>
      <c r="D1094" s="10" t="s">
        <v>121</v>
      </c>
      <c r="E1094" s="10" t="s">
        <v>179</v>
      </c>
      <c r="F1094" s="12">
        <v>6</v>
      </c>
      <c r="G1094" s="12">
        <v>3450</v>
      </c>
      <c r="H1094" s="12">
        <v>13</v>
      </c>
      <c r="I1094" s="12">
        <v>18009</v>
      </c>
      <c r="J1094" s="10" t="s">
        <v>51</v>
      </c>
      <c r="K1094" s="10" t="s">
        <v>52</v>
      </c>
      <c r="L1094" t="str">
        <f>IFERROR(VLOOKUP(D1094,Products!A:F,3,0),"")</f>
        <v>Beauty</v>
      </c>
      <c r="M1094" t="str">
        <f>IFERROR(VLOOKUP(E1094,Sales_Reps!A:E,3,0),"")</f>
        <v>North</v>
      </c>
      <c r="N1094" t="str">
        <f>IFERROR(VLOOKUP(C1094,Customers!A:F,5,0),"")</f>
        <v>Retail</v>
      </c>
      <c r="O1094">
        <f>IFERROR(VLOOKUP(C1094,Customers!A:F,3,0),"")</f>
        <v>57</v>
      </c>
      <c r="P1094">
        <f>IFERROR(VLOOKUP(D1094,Products!A:F,4,0),"")</f>
        <v>2420</v>
      </c>
      <c r="Q1094" t="b">
        <f>IFERROR(VLOOKUP(D1094,Products!A:F,6,0),"")</f>
        <v>1</v>
      </c>
      <c r="R1094">
        <f t="shared" si="51"/>
        <v>0.29855072463768118</v>
      </c>
      <c r="S1094">
        <f t="shared" si="52"/>
        <v>1</v>
      </c>
      <c r="T1094">
        <f>IF(AND(S1094&gt;1,COUNTIF($A$2:A1094,A1094)=1),1,0)</f>
        <v>0</v>
      </c>
      <c r="U1094">
        <f>COUNTIF(Customers!$A$2:$A$301,C1094)</f>
        <v>1</v>
      </c>
      <c r="V1094">
        <f t="shared" si="53"/>
        <v>0</v>
      </c>
    </row>
    <row r="1095" spans="1:22" ht="14.25" customHeight="1" x14ac:dyDescent="0.35">
      <c r="A1095" s="10" t="s">
        <v>1544</v>
      </c>
      <c r="B1095" s="11">
        <v>45653</v>
      </c>
      <c r="C1095" s="10" t="s">
        <v>1463</v>
      </c>
      <c r="D1095" s="10" t="s">
        <v>190</v>
      </c>
      <c r="E1095" s="10" t="s">
        <v>289</v>
      </c>
      <c r="F1095" s="12">
        <v>9</v>
      </c>
      <c r="G1095" s="12">
        <v>3730</v>
      </c>
      <c r="H1095" s="12">
        <v>15.5</v>
      </c>
      <c r="I1095" s="12">
        <v>28366.65</v>
      </c>
      <c r="J1095" s="10" t="s">
        <v>51</v>
      </c>
      <c r="K1095" s="10" t="s">
        <v>58</v>
      </c>
      <c r="L1095" t="str">
        <f>IFERROR(VLOOKUP(D1095,Products!A:F,3,0),"")</f>
        <v>Home</v>
      </c>
      <c r="M1095" t="str">
        <f>IFERROR(VLOOKUP(E1095,Sales_Reps!A:E,3,0),"")</f>
        <v>South</v>
      </c>
      <c r="N1095" t="str">
        <f>IFERROR(VLOOKUP(C1095,Customers!A:F,5,0),"")</f>
        <v>Retail</v>
      </c>
      <c r="O1095">
        <f>IFERROR(VLOOKUP(C1095,Customers!A:F,3,0),"")</f>
        <v>26</v>
      </c>
      <c r="P1095">
        <f>IFERROR(VLOOKUP(D1095,Products!A:F,4,0),"")</f>
        <v>2135</v>
      </c>
      <c r="Q1095" t="b">
        <f>IFERROR(VLOOKUP(D1095,Products!A:F,6,0),"")</f>
        <v>1</v>
      </c>
      <c r="R1095">
        <f t="shared" si="51"/>
        <v>0.42761394101876676</v>
      </c>
      <c r="S1095">
        <f t="shared" si="52"/>
        <v>1</v>
      </c>
      <c r="T1095">
        <f>IF(AND(S1095&gt;1,COUNTIF($A$2:A1095,A1095)=1),1,0)</f>
        <v>0</v>
      </c>
      <c r="U1095">
        <f>COUNTIF(Customers!$A$2:$A$301,C1095)</f>
        <v>1</v>
      </c>
      <c r="V1095">
        <f t="shared" si="53"/>
        <v>0</v>
      </c>
    </row>
    <row r="1096" spans="1:22" ht="14.25" customHeight="1" x14ac:dyDescent="0.35">
      <c r="A1096" s="10" t="s">
        <v>1545</v>
      </c>
      <c r="B1096" s="11">
        <v>45440</v>
      </c>
      <c r="C1096" s="10" t="s">
        <v>1539</v>
      </c>
      <c r="D1096" s="10" t="s">
        <v>344</v>
      </c>
      <c r="E1096" s="10" t="s">
        <v>156</v>
      </c>
      <c r="F1096" s="12">
        <v>5</v>
      </c>
      <c r="G1096" s="12">
        <v>960</v>
      </c>
      <c r="H1096" s="12">
        <v>9.3000000000000007</v>
      </c>
      <c r="I1096" s="12">
        <v>4353.6000000000004</v>
      </c>
      <c r="J1096" s="10" t="s">
        <v>51</v>
      </c>
      <c r="K1096" s="10" t="s">
        <v>97</v>
      </c>
      <c r="L1096" t="str">
        <f>IFERROR(VLOOKUP(D1096,Products!A:F,3,0),"")</f>
        <v>Beauty</v>
      </c>
      <c r="M1096" t="str">
        <f>IFERROR(VLOOKUP(E1096,Sales_Reps!A:E,3,0),"")</f>
        <v>East</v>
      </c>
      <c r="N1096" t="str">
        <f>IFERROR(VLOOKUP(C1096,Customers!A:F,5,0),"")</f>
        <v>Corporate</v>
      </c>
      <c r="O1096">
        <f>IFERROR(VLOOKUP(C1096,Customers!A:F,3,0),"")</f>
        <v>60</v>
      </c>
      <c r="P1096">
        <f>IFERROR(VLOOKUP(D1096,Products!A:F,4,0),"")</f>
        <v>675</v>
      </c>
      <c r="Q1096" t="b">
        <f>IFERROR(VLOOKUP(D1096,Products!A:F,6,0),"")</f>
        <v>1</v>
      </c>
      <c r="R1096">
        <f t="shared" si="51"/>
        <v>0.296875</v>
      </c>
      <c r="S1096">
        <f t="shared" si="52"/>
        <v>1</v>
      </c>
      <c r="T1096">
        <f>IF(AND(S1096&gt;1,COUNTIF($A$2:A1096,A1096)=1),1,0)</f>
        <v>0</v>
      </c>
      <c r="U1096">
        <f>COUNTIF(Customers!$A$2:$A$301,C1096)</f>
        <v>1</v>
      </c>
      <c r="V1096">
        <f t="shared" si="53"/>
        <v>0</v>
      </c>
    </row>
    <row r="1097" spans="1:22" ht="14.25" customHeight="1" x14ac:dyDescent="0.35">
      <c r="A1097" s="10" t="s">
        <v>1546</v>
      </c>
      <c r="B1097" s="11">
        <v>45511</v>
      </c>
      <c r="C1097" s="10" t="s">
        <v>745</v>
      </c>
      <c r="D1097" s="10" t="s">
        <v>407</v>
      </c>
      <c r="E1097" s="10" t="s">
        <v>71</v>
      </c>
      <c r="F1097" s="12">
        <v>3</v>
      </c>
      <c r="G1097" s="12">
        <v>5080</v>
      </c>
      <c r="H1097" s="12">
        <v>17.399999999999999</v>
      </c>
      <c r="I1097" s="12">
        <v>12588.24</v>
      </c>
      <c r="J1097" s="10" t="s">
        <v>104</v>
      </c>
      <c r="K1097" s="10" t="s">
        <v>63</v>
      </c>
      <c r="L1097" t="str">
        <f>IFERROR(VLOOKUP(D1097,Products!A:F,3,0),"")</f>
        <v>Home</v>
      </c>
      <c r="M1097" t="str">
        <f>IFERROR(VLOOKUP(E1097,Sales_Reps!A:E,3,0),"")</f>
        <v>North</v>
      </c>
      <c r="N1097" t="str">
        <f>IFERROR(VLOOKUP(C1097,Customers!A:F,5,0),"")</f>
        <v>SMB</v>
      </c>
      <c r="O1097">
        <f>IFERROR(VLOOKUP(C1097,Customers!A:F,3,0),"")</f>
        <v>29</v>
      </c>
      <c r="P1097">
        <f>IFERROR(VLOOKUP(D1097,Products!A:F,4,0),"")</f>
        <v>2459</v>
      </c>
      <c r="Q1097" t="b">
        <f>IFERROR(VLOOKUP(D1097,Products!A:F,6,0),"")</f>
        <v>1</v>
      </c>
      <c r="R1097">
        <f t="shared" si="51"/>
        <v>0.51594488188976373</v>
      </c>
      <c r="S1097">
        <f t="shared" si="52"/>
        <v>1</v>
      </c>
      <c r="T1097">
        <f>IF(AND(S1097&gt;1,COUNTIF($A$2:A1097,A1097)=1),1,0)</f>
        <v>0</v>
      </c>
      <c r="U1097">
        <f>COUNTIF(Customers!$A$2:$A$301,C1097)</f>
        <v>1</v>
      </c>
      <c r="V1097">
        <f t="shared" si="53"/>
        <v>0</v>
      </c>
    </row>
    <row r="1098" spans="1:22" ht="14.25" customHeight="1" x14ac:dyDescent="0.35">
      <c r="A1098" s="10" t="s">
        <v>1547</v>
      </c>
      <c r="B1098" s="11">
        <v>45300</v>
      </c>
      <c r="C1098" s="10" t="s">
        <v>912</v>
      </c>
      <c r="D1098" s="10" t="s">
        <v>212</v>
      </c>
      <c r="E1098" s="10" t="s">
        <v>112</v>
      </c>
      <c r="F1098" s="12">
        <v>4</v>
      </c>
      <c r="G1098" s="12">
        <v>3870</v>
      </c>
      <c r="H1098" s="12">
        <v>20.5</v>
      </c>
      <c r="I1098" s="12">
        <v>12306.6</v>
      </c>
      <c r="J1098" s="10" t="s">
        <v>57</v>
      </c>
      <c r="K1098" s="10" t="s">
        <v>685</v>
      </c>
      <c r="L1098" t="str">
        <f>IFERROR(VLOOKUP(D1098,Products!A:F,3,0),"")</f>
        <v>Electronics</v>
      </c>
      <c r="M1098" t="str">
        <f>IFERROR(VLOOKUP(E1098,Sales_Reps!A:E,3,0),"")</f>
        <v>North</v>
      </c>
      <c r="N1098" t="str">
        <f>IFERROR(VLOOKUP(C1098,Customers!A:F,5,0),"")</f>
        <v>Retail</v>
      </c>
      <c r="O1098">
        <f>IFERROR(VLOOKUP(C1098,Customers!A:F,3,0),"")</f>
        <v>65</v>
      </c>
      <c r="P1098">
        <f>IFERROR(VLOOKUP(D1098,Products!A:F,4,0),"")</f>
        <v>1559</v>
      </c>
      <c r="Q1098" t="b">
        <f>IFERROR(VLOOKUP(D1098,Products!A:F,6,0),"")</f>
        <v>1</v>
      </c>
      <c r="R1098">
        <f t="shared" si="51"/>
        <v>0.59715762273901807</v>
      </c>
      <c r="S1098">
        <f t="shared" si="52"/>
        <v>1</v>
      </c>
      <c r="T1098">
        <f>IF(AND(S1098&gt;1,COUNTIF($A$2:A1098,A1098)=1),1,0)</f>
        <v>0</v>
      </c>
      <c r="U1098">
        <f>COUNTIF(Customers!$A$2:$A$301,C1098)</f>
        <v>1</v>
      </c>
      <c r="V1098">
        <f t="shared" si="53"/>
        <v>0</v>
      </c>
    </row>
    <row r="1099" spans="1:22" ht="14.25" customHeight="1" x14ac:dyDescent="0.35">
      <c r="A1099" s="10" t="s">
        <v>1548</v>
      </c>
      <c r="B1099" s="11">
        <v>45528</v>
      </c>
      <c r="C1099" s="10" t="s">
        <v>391</v>
      </c>
      <c r="D1099" s="10" t="s">
        <v>425</v>
      </c>
      <c r="E1099" s="10" t="s">
        <v>80</v>
      </c>
      <c r="F1099" s="12">
        <v>1</v>
      </c>
      <c r="G1099" s="12">
        <v>3780</v>
      </c>
      <c r="H1099" s="12">
        <v>21.5</v>
      </c>
      <c r="I1099" s="12">
        <v>2967.3</v>
      </c>
      <c r="J1099" s="10" t="s">
        <v>51</v>
      </c>
      <c r="K1099" s="10" t="s">
        <v>52</v>
      </c>
      <c r="L1099" t="str">
        <f>IFERROR(VLOOKUP(D1099,Products!A:F,3,0),"")</f>
        <v>Sports</v>
      </c>
      <c r="M1099" t="str">
        <f>IFERROR(VLOOKUP(E1099,Sales_Reps!A:E,3,0),"")</f>
        <v>West</v>
      </c>
      <c r="N1099" t="str">
        <f>IFERROR(VLOOKUP(C1099,Customers!A:F,5,0),"")</f>
        <v>Corporate</v>
      </c>
      <c r="O1099">
        <f>IFERROR(VLOOKUP(C1099,Customers!A:F,3,0),"")</f>
        <v>48</v>
      </c>
      <c r="P1099">
        <f>IFERROR(VLOOKUP(D1099,Products!A:F,4,0),"")</f>
        <v>1860</v>
      </c>
      <c r="Q1099" t="b">
        <f>IFERROR(VLOOKUP(D1099,Products!A:F,6,0),"")</f>
        <v>1</v>
      </c>
      <c r="R1099">
        <f t="shared" si="51"/>
        <v>0.50793650793650791</v>
      </c>
      <c r="S1099">
        <f t="shared" si="52"/>
        <v>1</v>
      </c>
      <c r="T1099">
        <f>IF(AND(S1099&gt;1,COUNTIF($A$2:A1099,A1099)=1),1,0)</f>
        <v>0</v>
      </c>
      <c r="U1099">
        <f>COUNTIF(Customers!$A$2:$A$301,C1099)</f>
        <v>1</v>
      </c>
      <c r="V1099">
        <f t="shared" si="53"/>
        <v>0</v>
      </c>
    </row>
    <row r="1100" spans="1:22" ht="14.25" customHeight="1" x14ac:dyDescent="0.35">
      <c r="A1100" s="10" t="s">
        <v>1549</v>
      </c>
      <c r="B1100" s="11">
        <v>45622</v>
      </c>
      <c r="C1100" s="10" t="s">
        <v>78</v>
      </c>
      <c r="D1100" s="10" t="s">
        <v>212</v>
      </c>
      <c r="E1100" s="10" t="s">
        <v>202</v>
      </c>
      <c r="F1100" s="12">
        <v>3</v>
      </c>
      <c r="G1100" s="12">
        <v>3870</v>
      </c>
      <c r="H1100" s="12">
        <v>21.9</v>
      </c>
      <c r="I1100" s="12">
        <v>9067.41</v>
      </c>
      <c r="J1100" s="10" t="s">
        <v>57</v>
      </c>
      <c r="K1100" s="10" t="s">
        <v>81</v>
      </c>
      <c r="L1100" t="str">
        <f>IFERROR(VLOOKUP(D1100,Products!A:F,3,0),"")</f>
        <v>Electronics</v>
      </c>
      <c r="M1100" t="str">
        <f>IFERROR(VLOOKUP(E1100,Sales_Reps!A:E,3,0),"")</f>
        <v>East</v>
      </c>
      <c r="N1100" t="str">
        <f>IFERROR(VLOOKUP(C1100,Customers!A:F,5,0),"")</f>
        <v>Retail</v>
      </c>
      <c r="O1100">
        <f>IFERROR(VLOOKUP(C1100,Customers!A:F,3,0),"")</f>
        <v>27</v>
      </c>
      <c r="P1100">
        <f>IFERROR(VLOOKUP(D1100,Products!A:F,4,0),"")</f>
        <v>1559</v>
      </c>
      <c r="Q1100" t="b">
        <f>IFERROR(VLOOKUP(D1100,Products!A:F,6,0),"")</f>
        <v>1</v>
      </c>
      <c r="R1100">
        <f t="shared" si="51"/>
        <v>0.59715762273901807</v>
      </c>
      <c r="S1100">
        <f t="shared" si="52"/>
        <v>1</v>
      </c>
      <c r="T1100">
        <f>IF(AND(S1100&gt;1,COUNTIF($A$2:A1100,A1100)=1),1,0)</f>
        <v>0</v>
      </c>
      <c r="U1100">
        <f>COUNTIF(Customers!$A$2:$A$301,C1100)</f>
        <v>1</v>
      </c>
      <c r="V1100">
        <f t="shared" si="53"/>
        <v>0</v>
      </c>
    </row>
    <row r="1101" spans="1:22" ht="14.25" customHeight="1" x14ac:dyDescent="0.35">
      <c r="A1101" s="10" t="s">
        <v>1550</v>
      </c>
      <c r="B1101" s="11">
        <v>45463</v>
      </c>
      <c r="C1101" s="10" t="s">
        <v>197</v>
      </c>
      <c r="D1101" s="10" t="s">
        <v>259</v>
      </c>
      <c r="E1101" s="10" t="s">
        <v>168</v>
      </c>
      <c r="F1101" s="12">
        <v>4</v>
      </c>
      <c r="G1101" s="12">
        <v>2030</v>
      </c>
      <c r="H1101" s="12">
        <v>23.4</v>
      </c>
      <c r="I1101" s="12">
        <v>6219.92</v>
      </c>
      <c r="J1101" s="10" t="s">
        <v>51</v>
      </c>
      <c r="K1101" s="10" t="s">
        <v>52</v>
      </c>
      <c r="L1101" t="str">
        <f>IFERROR(VLOOKUP(D1101,Products!A:F,3,0),"")</f>
        <v>Home</v>
      </c>
      <c r="M1101" t="str">
        <f>IFERROR(VLOOKUP(E1101,Sales_Reps!A:E,3,0),"")</f>
        <v>South</v>
      </c>
      <c r="N1101" t="str">
        <f>IFERROR(VLOOKUP(C1101,Customers!A:F,5,0),"")</f>
        <v>SMB</v>
      </c>
      <c r="O1101">
        <f>IFERROR(VLOOKUP(C1101,Customers!A:F,3,0),"")</f>
        <v>29</v>
      </c>
      <c r="P1101">
        <f>IFERROR(VLOOKUP(D1101,Products!A:F,4,0),"")</f>
        <v>1143</v>
      </c>
      <c r="Q1101" t="b">
        <f>IFERROR(VLOOKUP(D1101,Products!A:F,6,0),"")</f>
        <v>1</v>
      </c>
      <c r="R1101">
        <f t="shared" si="51"/>
        <v>0.43694581280788175</v>
      </c>
      <c r="S1101">
        <f t="shared" si="52"/>
        <v>1</v>
      </c>
      <c r="T1101">
        <f>IF(AND(S1101&gt;1,COUNTIF($A$2:A1101,A1101)=1),1,0)</f>
        <v>0</v>
      </c>
      <c r="U1101">
        <f>COUNTIF(Customers!$A$2:$A$301,C1101)</f>
        <v>1</v>
      </c>
      <c r="V1101">
        <f t="shared" si="53"/>
        <v>0</v>
      </c>
    </row>
    <row r="1102" spans="1:22" ht="14.25" customHeight="1" x14ac:dyDescent="0.35">
      <c r="A1102" s="10" t="s">
        <v>1551</v>
      </c>
      <c r="B1102" s="11">
        <v>45407</v>
      </c>
      <c r="C1102" s="10" t="s">
        <v>559</v>
      </c>
      <c r="D1102" s="10" t="s">
        <v>302</v>
      </c>
      <c r="E1102" s="10" t="s">
        <v>112</v>
      </c>
      <c r="F1102" s="12">
        <v>6</v>
      </c>
      <c r="G1102" s="12">
        <v>2210</v>
      </c>
      <c r="H1102" s="12">
        <v>9.1</v>
      </c>
      <c r="I1102" s="12">
        <v>12053.34</v>
      </c>
      <c r="J1102" s="10" t="s">
        <v>51</v>
      </c>
      <c r="K1102" s="10" t="s">
        <v>63</v>
      </c>
      <c r="L1102" t="str">
        <f>IFERROR(VLOOKUP(D1102,Products!A:F,3,0),"")</f>
        <v>Grocery</v>
      </c>
      <c r="M1102" t="str">
        <f>IFERROR(VLOOKUP(E1102,Sales_Reps!A:E,3,0),"")</f>
        <v>North</v>
      </c>
      <c r="N1102" t="str">
        <f>IFERROR(VLOOKUP(C1102,Customers!A:F,5,0),"")</f>
        <v>SMB</v>
      </c>
      <c r="O1102">
        <f>IFERROR(VLOOKUP(C1102,Customers!A:F,3,0),"")</f>
        <v>48</v>
      </c>
      <c r="P1102">
        <f>IFERROR(VLOOKUP(D1102,Products!A:F,4,0),"")</f>
        <v>1010</v>
      </c>
      <c r="Q1102" t="b">
        <f>IFERROR(VLOOKUP(D1102,Products!A:F,6,0),"")</f>
        <v>1</v>
      </c>
      <c r="R1102">
        <f t="shared" si="51"/>
        <v>0.54298642533936647</v>
      </c>
      <c r="S1102">
        <f t="shared" si="52"/>
        <v>1</v>
      </c>
      <c r="T1102">
        <f>IF(AND(S1102&gt;1,COUNTIF($A$2:A1102,A1102)=1),1,0)</f>
        <v>0</v>
      </c>
      <c r="U1102">
        <f>COUNTIF(Customers!$A$2:$A$301,C1102)</f>
        <v>1</v>
      </c>
      <c r="V1102">
        <f t="shared" si="53"/>
        <v>0</v>
      </c>
    </row>
    <row r="1103" spans="1:22" ht="14.25" customHeight="1" x14ac:dyDescent="0.35">
      <c r="A1103" s="10" t="s">
        <v>1552</v>
      </c>
      <c r="B1103" s="11">
        <v>45627</v>
      </c>
      <c r="C1103" s="10" t="s">
        <v>850</v>
      </c>
      <c r="D1103" s="10" t="s">
        <v>223</v>
      </c>
      <c r="E1103" s="10" t="s">
        <v>202</v>
      </c>
      <c r="F1103" s="12">
        <v>5</v>
      </c>
      <c r="G1103" s="12">
        <v>1540</v>
      </c>
      <c r="H1103" s="12">
        <v>18.100000000000001</v>
      </c>
      <c r="I1103" s="12">
        <v>6306.3</v>
      </c>
      <c r="J1103" s="10" t="s">
        <v>51</v>
      </c>
      <c r="K1103" s="10" t="s">
        <v>58</v>
      </c>
      <c r="L1103" t="str">
        <f>IFERROR(VLOOKUP(D1103,Products!A:F,3,0),"")</f>
        <v>Beauty</v>
      </c>
      <c r="M1103" t="str">
        <f>IFERROR(VLOOKUP(E1103,Sales_Reps!A:E,3,0),"")</f>
        <v>East</v>
      </c>
      <c r="N1103" t="str">
        <f>IFERROR(VLOOKUP(C1103,Customers!A:F,5,0),"")</f>
        <v>Corporate</v>
      </c>
      <c r="O1103">
        <f>IFERROR(VLOOKUP(C1103,Customers!A:F,3,0),"")</f>
        <v>44</v>
      </c>
      <c r="P1103">
        <f>IFERROR(VLOOKUP(D1103,Products!A:F,4,0),"")</f>
        <v>647</v>
      </c>
      <c r="Q1103" t="b">
        <f>IFERROR(VLOOKUP(D1103,Products!A:F,6,0),"")</f>
        <v>0</v>
      </c>
      <c r="R1103">
        <f t="shared" si="51"/>
        <v>0.57987012987012987</v>
      </c>
      <c r="S1103">
        <f t="shared" si="52"/>
        <v>1</v>
      </c>
      <c r="T1103">
        <f>IF(AND(S1103&gt;1,COUNTIF($A$2:A1103,A1103)=1),1,0)</f>
        <v>0</v>
      </c>
      <c r="U1103">
        <f>COUNTIF(Customers!$A$2:$A$301,C1103)</f>
        <v>1</v>
      </c>
      <c r="V1103">
        <f t="shared" si="53"/>
        <v>0</v>
      </c>
    </row>
    <row r="1104" spans="1:22" ht="14.25" customHeight="1" x14ac:dyDescent="0.35">
      <c r="A1104" s="10" t="s">
        <v>1553</v>
      </c>
      <c r="B1104" s="11">
        <v>45393</v>
      </c>
      <c r="C1104" s="10" t="s">
        <v>602</v>
      </c>
      <c r="D1104" s="10" t="s">
        <v>146</v>
      </c>
      <c r="E1104" s="10" t="s">
        <v>237</v>
      </c>
      <c r="F1104" s="12">
        <v>1</v>
      </c>
      <c r="G1104" s="12">
        <v>1010</v>
      </c>
      <c r="H1104" s="12">
        <v>7.3</v>
      </c>
      <c r="I1104" s="12">
        <v>936.27</v>
      </c>
      <c r="J1104" s="10" t="s">
        <v>51</v>
      </c>
      <c r="K1104" s="10" t="s">
        <v>63</v>
      </c>
      <c r="L1104" t="str">
        <f>IFERROR(VLOOKUP(D1104,Products!A:F,3,0),"")</f>
        <v>Sports</v>
      </c>
      <c r="M1104" t="str">
        <f>IFERROR(VLOOKUP(E1104,Sales_Reps!A:E,3,0),"")</f>
        <v>South</v>
      </c>
      <c r="N1104" t="str">
        <f>IFERROR(VLOOKUP(C1104,Customers!A:F,5,0),"")</f>
        <v>Retail</v>
      </c>
      <c r="O1104">
        <f>IFERROR(VLOOKUP(C1104,Customers!A:F,3,0),"")</f>
        <v>43</v>
      </c>
      <c r="P1104">
        <f>IFERROR(VLOOKUP(D1104,Products!A:F,4,0),"")</f>
        <v>516</v>
      </c>
      <c r="Q1104" t="b">
        <f>IFERROR(VLOOKUP(D1104,Products!A:F,6,0),"")</f>
        <v>1</v>
      </c>
      <c r="R1104">
        <f t="shared" si="51"/>
        <v>0.4891089108910891</v>
      </c>
      <c r="S1104">
        <f t="shared" si="52"/>
        <v>1</v>
      </c>
      <c r="T1104">
        <f>IF(AND(S1104&gt;1,COUNTIF($A$2:A1104,A1104)=1),1,0)</f>
        <v>0</v>
      </c>
      <c r="U1104">
        <f>COUNTIF(Customers!$A$2:$A$301,C1104)</f>
        <v>1</v>
      </c>
      <c r="V1104">
        <f t="shared" si="53"/>
        <v>0</v>
      </c>
    </row>
    <row r="1105" spans="1:22" ht="14.25" customHeight="1" x14ac:dyDescent="0.35">
      <c r="A1105" s="10" t="s">
        <v>1554</v>
      </c>
      <c r="B1105" s="11">
        <v>45360</v>
      </c>
      <c r="C1105" s="10" t="s">
        <v>640</v>
      </c>
      <c r="D1105" s="10" t="s">
        <v>328</v>
      </c>
      <c r="E1105" s="10" t="s">
        <v>152</v>
      </c>
      <c r="F1105" s="12">
        <v>10</v>
      </c>
      <c r="G1105" s="12">
        <v>5330</v>
      </c>
      <c r="H1105" s="12">
        <v>27.3</v>
      </c>
      <c r="I1105" s="12">
        <v>38749.1</v>
      </c>
      <c r="J1105" s="10" t="s">
        <v>51</v>
      </c>
      <c r="K1105" s="10" t="s">
        <v>52</v>
      </c>
      <c r="L1105" t="str">
        <f>IFERROR(VLOOKUP(D1105,Products!A:F,3,0),"")</f>
        <v>Electronics</v>
      </c>
      <c r="M1105" t="str">
        <f>IFERROR(VLOOKUP(E1105,Sales_Reps!A:E,3,0),"")</f>
        <v>South</v>
      </c>
      <c r="N1105" t="str">
        <f>IFERROR(VLOOKUP(C1105,Customers!A:F,5,0),"")</f>
        <v>SMB</v>
      </c>
      <c r="O1105">
        <f>IFERROR(VLOOKUP(C1105,Customers!A:F,3,0),"")</f>
        <v>35</v>
      </c>
      <c r="P1105">
        <f>IFERROR(VLOOKUP(D1105,Products!A:F,4,0),"")</f>
        <v>2405</v>
      </c>
      <c r="Q1105" t="b">
        <f>IFERROR(VLOOKUP(D1105,Products!A:F,6,0),"")</f>
        <v>1</v>
      </c>
      <c r="R1105">
        <f t="shared" si="51"/>
        <v>0.54878048780487809</v>
      </c>
      <c r="S1105">
        <f t="shared" si="52"/>
        <v>1</v>
      </c>
      <c r="T1105">
        <f>IF(AND(S1105&gt;1,COUNTIF($A$2:A1105,A1105)=1),1,0)</f>
        <v>0</v>
      </c>
      <c r="U1105">
        <f>COUNTIF(Customers!$A$2:$A$301,C1105)</f>
        <v>1</v>
      </c>
      <c r="V1105">
        <f t="shared" si="53"/>
        <v>0</v>
      </c>
    </row>
    <row r="1106" spans="1:22" ht="14.25" customHeight="1" x14ac:dyDescent="0.35">
      <c r="A1106" s="10" t="s">
        <v>1555</v>
      </c>
      <c r="B1106" s="11">
        <v>45548</v>
      </c>
      <c r="C1106" s="10" t="s">
        <v>369</v>
      </c>
      <c r="D1106" s="10" t="s">
        <v>151</v>
      </c>
      <c r="E1106" s="10" t="s">
        <v>249</v>
      </c>
      <c r="F1106" s="12">
        <v>7</v>
      </c>
      <c r="G1106" s="12">
        <v>3570</v>
      </c>
      <c r="H1106" s="12">
        <v>24.3</v>
      </c>
      <c r="I1106" s="12">
        <v>18917.43</v>
      </c>
      <c r="J1106" s="10" t="s">
        <v>51</v>
      </c>
      <c r="K1106" s="10" t="s">
        <v>58</v>
      </c>
      <c r="L1106" t="str">
        <f>IFERROR(VLOOKUP(D1106,Products!A:F,3,0),"")</f>
        <v>Electronics</v>
      </c>
      <c r="M1106" t="str">
        <f>IFERROR(VLOOKUP(E1106,Sales_Reps!A:E,3,0),"")</f>
        <v>East</v>
      </c>
      <c r="N1106" t="str">
        <f>IFERROR(VLOOKUP(C1106,Customers!A:F,5,0),"")</f>
        <v>Corporate</v>
      </c>
      <c r="O1106">
        <f>IFERROR(VLOOKUP(C1106,Customers!A:F,3,0),"")</f>
        <v>24</v>
      </c>
      <c r="P1106">
        <f>IFERROR(VLOOKUP(D1106,Products!A:F,4,0),"")</f>
        <v>1665</v>
      </c>
      <c r="Q1106" t="b">
        <f>IFERROR(VLOOKUP(D1106,Products!A:F,6,0),"")</f>
        <v>1</v>
      </c>
      <c r="R1106">
        <f t="shared" si="51"/>
        <v>0.53361344537815125</v>
      </c>
      <c r="S1106">
        <f t="shared" si="52"/>
        <v>1</v>
      </c>
      <c r="T1106">
        <f>IF(AND(S1106&gt;1,COUNTIF($A$2:A1106,A1106)=1),1,0)</f>
        <v>0</v>
      </c>
      <c r="U1106">
        <f>COUNTIF(Customers!$A$2:$A$301,C1106)</f>
        <v>1</v>
      </c>
      <c r="V1106">
        <f t="shared" si="53"/>
        <v>0</v>
      </c>
    </row>
    <row r="1107" spans="1:22" ht="14.25" customHeight="1" x14ac:dyDescent="0.35">
      <c r="A1107" s="10" t="s">
        <v>1556</v>
      </c>
      <c r="B1107" s="11">
        <v>45569</v>
      </c>
      <c r="C1107" s="10" t="s">
        <v>333</v>
      </c>
      <c r="D1107" s="10" t="s">
        <v>143</v>
      </c>
      <c r="E1107" s="10" t="s">
        <v>202</v>
      </c>
      <c r="F1107" s="12">
        <v>1</v>
      </c>
      <c r="G1107" s="12">
        <v>3350</v>
      </c>
      <c r="H1107" s="12">
        <v>14.9</v>
      </c>
      <c r="I1107" s="12">
        <v>2850.85</v>
      </c>
      <c r="J1107" s="10" t="s">
        <v>51</v>
      </c>
      <c r="K1107" s="10" t="s">
        <v>58</v>
      </c>
      <c r="L1107" t="str">
        <f>IFERROR(VLOOKUP(D1107,Products!A:F,3,0),"")</f>
        <v>Beauty</v>
      </c>
      <c r="M1107" t="str">
        <f>IFERROR(VLOOKUP(E1107,Sales_Reps!A:E,3,0),"")</f>
        <v>East</v>
      </c>
      <c r="N1107" t="str">
        <f>IFERROR(VLOOKUP(C1107,Customers!A:F,5,0),"")</f>
        <v>SMB</v>
      </c>
      <c r="O1107">
        <f>IFERROR(VLOOKUP(C1107,Customers!A:F,3,0),"")</f>
        <v>62</v>
      </c>
      <c r="P1107">
        <f>IFERROR(VLOOKUP(D1107,Products!A:F,4,0),"")</f>
        <v>1728</v>
      </c>
      <c r="Q1107" t="b">
        <f>IFERROR(VLOOKUP(D1107,Products!A:F,6,0),"")</f>
        <v>1</v>
      </c>
      <c r="R1107">
        <f t="shared" si="51"/>
        <v>0.48417910447761192</v>
      </c>
      <c r="S1107">
        <f t="shared" si="52"/>
        <v>1</v>
      </c>
      <c r="T1107">
        <f>IF(AND(S1107&gt;1,COUNTIF($A$2:A1107,A1107)=1),1,0)</f>
        <v>0</v>
      </c>
      <c r="U1107">
        <f>COUNTIF(Customers!$A$2:$A$301,C1107)</f>
        <v>1</v>
      </c>
      <c r="V1107">
        <f t="shared" si="53"/>
        <v>0</v>
      </c>
    </row>
    <row r="1108" spans="1:22" ht="14.25" customHeight="1" x14ac:dyDescent="0.35">
      <c r="A1108" s="10" t="s">
        <v>1557</v>
      </c>
      <c r="B1108" s="11">
        <v>45541</v>
      </c>
      <c r="C1108" s="10" t="s">
        <v>579</v>
      </c>
      <c r="D1108" s="10" t="s">
        <v>319</v>
      </c>
      <c r="E1108" s="10" t="s">
        <v>118</v>
      </c>
      <c r="F1108" s="12">
        <v>2</v>
      </c>
      <c r="G1108" s="12">
        <v>2510</v>
      </c>
      <c r="H1108" s="12">
        <v>10.6</v>
      </c>
      <c r="I1108" s="12">
        <v>4487.88</v>
      </c>
      <c r="J1108" s="10" t="s">
        <v>51</v>
      </c>
      <c r="K1108" s="10" t="s">
        <v>76</v>
      </c>
      <c r="L1108" t="str">
        <f>IFERROR(VLOOKUP(D1108,Products!A:F,3,0),"")</f>
        <v>Apparel</v>
      </c>
      <c r="M1108" t="str">
        <f>IFERROR(VLOOKUP(E1108,Sales_Reps!A:E,3,0),"")</f>
        <v>East</v>
      </c>
      <c r="N1108" t="str">
        <f>IFERROR(VLOOKUP(C1108,Customers!A:F,5,0),"")</f>
        <v>Retail</v>
      </c>
      <c r="O1108">
        <f>IFERROR(VLOOKUP(C1108,Customers!A:F,3,0),"")</f>
        <v>53</v>
      </c>
      <c r="P1108">
        <f>IFERROR(VLOOKUP(D1108,Products!A:F,4,0),"")</f>
        <v>1075</v>
      </c>
      <c r="Q1108" t="b">
        <f>IFERROR(VLOOKUP(D1108,Products!A:F,6,0),"")</f>
        <v>0</v>
      </c>
      <c r="R1108">
        <f t="shared" si="51"/>
        <v>0.57171314741035861</v>
      </c>
      <c r="S1108">
        <f t="shared" si="52"/>
        <v>1</v>
      </c>
      <c r="T1108">
        <f>IF(AND(S1108&gt;1,COUNTIF($A$2:A1108,A1108)=1),1,0)</f>
        <v>0</v>
      </c>
      <c r="U1108">
        <f>COUNTIF(Customers!$A$2:$A$301,C1108)</f>
        <v>1</v>
      </c>
      <c r="V1108">
        <f t="shared" si="53"/>
        <v>0</v>
      </c>
    </row>
    <row r="1109" spans="1:22" ht="14.25" customHeight="1" x14ac:dyDescent="0.35">
      <c r="A1109" s="10" t="s">
        <v>1558</v>
      </c>
      <c r="B1109" s="11">
        <v>45369</v>
      </c>
      <c r="C1109" s="10" t="s">
        <v>124</v>
      </c>
      <c r="D1109" s="10" t="s">
        <v>91</v>
      </c>
      <c r="E1109" s="10" t="s">
        <v>75</v>
      </c>
      <c r="F1109" s="12">
        <v>5</v>
      </c>
      <c r="G1109" s="12">
        <v>970</v>
      </c>
      <c r="H1109" s="12">
        <v>6.8</v>
      </c>
      <c r="I1109" s="12">
        <v>4520.2</v>
      </c>
      <c r="J1109" s="10" t="s">
        <v>57</v>
      </c>
      <c r="K1109" s="10" t="s">
        <v>76</v>
      </c>
      <c r="L1109" t="str">
        <f>IFERROR(VLOOKUP(D1109,Products!A:F,3,0),"")</f>
        <v>Grocery</v>
      </c>
      <c r="M1109" t="str">
        <f>IFERROR(VLOOKUP(E1109,Sales_Reps!A:E,3,0),"")</f>
        <v>West</v>
      </c>
      <c r="N1109" t="str">
        <f>IFERROR(VLOOKUP(C1109,Customers!A:F,5,0),"")</f>
        <v>Retail</v>
      </c>
      <c r="O1109">
        <f>IFERROR(VLOOKUP(C1109,Customers!A:F,3,0),"")</f>
        <v>54</v>
      </c>
      <c r="P1109">
        <f>IFERROR(VLOOKUP(D1109,Products!A:F,4,0),"")</f>
        <v>434</v>
      </c>
      <c r="Q1109" t="b">
        <f>IFERROR(VLOOKUP(D1109,Products!A:F,6,0),"")</f>
        <v>1</v>
      </c>
      <c r="R1109">
        <f t="shared" si="51"/>
        <v>0.5525773195876289</v>
      </c>
      <c r="S1109">
        <f t="shared" si="52"/>
        <v>1</v>
      </c>
      <c r="T1109">
        <f>IF(AND(S1109&gt;1,COUNTIF($A$2:A1109,A1109)=1),1,0)</f>
        <v>0</v>
      </c>
      <c r="U1109">
        <f>COUNTIF(Customers!$A$2:$A$301,C1109)</f>
        <v>1</v>
      </c>
      <c r="V1109">
        <f t="shared" si="53"/>
        <v>0</v>
      </c>
    </row>
    <row r="1110" spans="1:22" ht="14.25" customHeight="1" x14ac:dyDescent="0.35">
      <c r="A1110" s="10" t="s">
        <v>1559</v>
      </c>
      <c r="B1110" s="11">
        <v>45519</v>
      </c>
      <c r="C1110" s="10" t="s">
        <v>195</v>
      </c>
      <c r="D1110" s="10" t="s">
        <v>198</v>
      </c>
      <c r="E1110" s="10" t="s">
        <v>261</v>
      </c>
      <c r="F1110" s="12">
        <v>5</v>
      </c>
      <c r="G1110" s="12">
        <v>3780</v>
      </c>
      <c r="H1110" s="12">
        <v>16.600000000000001</v>
      </c>
      <c r="I1110" s="12">
        <v>15762.6</v>
      </c>
      <c r="J1110" s="10" t="s">
        <v>51</v>
      </c>
      <c r="K1110" s="10" t="s">
        <v>81</v>
      </c>
      <c r="L1110" t="str">
        <f>IFERROR(VLOOKUP(D1110,Products!A:F,3,0),"")</f>
        <v>Grocery</v>
      </c>
      <c r="M1110" t="str">
        <f>IFERROR(VLOOKUP(E1110,Sales_Reps!A:E,3,0),"")</f>
        <v>North</v>
      </c>
      <c r="N1110" t="str">
        <f>IFERROR(VLOOKUP(C1110,Customers!A:F,5,0),"")</f>
        <v>SMB</v>
      </c>
      <c r="O1110">
        <f>IFERROR(VLOOKUP(C1110,Customers!A:F,3,0),"")</f>
        <v>64</v>
      </c>
      <c r="P1110">
        <f>IFERROR(VLOOKUP(D1110,Products!A:F,4,0),"")</f>
        <v>2436</v>
      </c>
      <c r="Q1110" t="b">
        <f>IFERROR(VLOOKUP(D1110,Products!A:F,6,0),"")</f>
        <v>1</v>
      </c>
      <c r="R1110">
        <f t="shared" si="51"/>
        <v>0.35555555555555557</v>
      </c>
      <c r="S1110">
        <f t="shared" si="52"/>
        <v>1</v>
      </c>
      <c r="T1110">
        <f>IF(AND(S1110&gt;1,COUNTIF($A$2:A1110,A1110)=1),1,0)</f>
        <v>0</v>
      </c>
      <c r="U1110">
        <f>COUNTIF(Customers!$A$2:$A$301,C1110)</f>
        <v>1</v>
      </c>
      <c r="V1110">
        <f t="shared" si="53"/>
        <v>15762.6</v>
      </c>
    </row>
    <row r="1111" spans="1:22" ht="14.25" customHeight="1" x14ac:dyDescent="0.35">
      <c r="A1111" s="10" t="s">
        <v>1560</v>
      </c>
      <c r="B1111" s="11">
        <v>45379</v>
      </c>
      <c r="C1111" s="10" t="s">
        <v>640</v>
      </c>
      <c r="D1111" s="10" t="s">
        <v>319</v>
      </c>
      <c r="E1111" s="10" t="s">
        <v>50</v>
      </c>
      <c r="F1111" s="12">
        <v>3</v>
      </c>
      <c r="G1111" s="12">
        <v>2510</v>
      </c>
      <c r="H1111" s="12">
        <v>24.9</v>
      </c>
      <c r="I1111" s="12">
        <v>5655.03</v>
      </c>
      <c r="J1111" s="10" t="s">
        <v>104</v>
      </c>
      <c r="K1111" s="10" t="s">
        <v>52</v>
      </c>
      <c r="L1111" t="str">
        <f>IFERROR(VLOOKUP(D1111,Products!A:F,3,0),"")</f>
        <v>Apparel</v>
      </c>
      <c r="M1111" t="str">
        <f>IFERROR(VLOOKUP(E1111,Sales_Reps!A:E,3,0),"")</f>
        <v>North</v>
      </c>
      <c r="N1111" t="str">
        <f>IFERROR(VLOOKUP(C1111,Customers!A:F,5,0),"")</f>
        <v>SMB</v>
      </c>
      <c r="O1111">
        <f>IFERROR(VLOOKUP(C1111,Customers!A:F,3,0),"")</f>
        <v>35</v>
      </c>
      <c r="P1111">
        <f>IFERROR(VLOOKUP(D1111,Products!A:F,4,0),"")</f>
        <v>1075</v>
      </c>
      <c r="Q1111" t="b">
        <f>IFERROR(VLOOKUP(D1111,Products!A:F,6,0),"")</f>
        <v>0</v>
      </c>
      <c r="R1111">
        <f t="shared" si="51"/>
        <v>0.57171314741035861</v>
      </c>
      <c r="S1111">
        <f t="shared" si="52"/>
        <v>1</v>
      </c>
      <c r="T1111">
        <f>IF(AND(S1111&gt;1,COUNTIF($A$2:A1111,A1111)=1),1,0)</f>
        <v>0</v>
      </c>
      <c r="U1111">
        <f>COUNTIF(Customers!$A$2:$A$301,C1111)</f>
        <v>1</v>
      </c>
      <c r="V1111">
        <f t="shared" si="53"/>
        <v>0</v>
      </c>
    </row>
    <row r="1112" spans="1:22" ht="14.25" customHeight="1" x14ac:dyDescent="0.35">
      <c r="A1112" s="10" t="s">
        <v>1561</v>
      </c>
      <c r="B1112" s="11">
        <v>45548</v>
      </c>
      <c r="C1112" s="10" t="s">
        <v>1325</v>
      </c>
      <c r="D1112" s="10" t="s">
        <v>259</v>
      </c>
      <c r="E1112" s="10" t="s">
        <v>71</v>
      </c>
      <c r="F1112" s="12">
        <v>3</v>
      </c>
      <c r="G1112" s="12">
        <v>2030</v>
      </c>
      <c r="H1112" s="12">
        <v>3.8</v>
      </c>
      <c r="I1112" s="12">
        <v>5858.58</v>
      </c>
      <c r="J1112" s="10" t="s">
        <v>51</v>
      </c>
      <c r="K1112" s="10" t="s">
        <v>58</v>
      </c>
      <c r="L1112" t="str">
        <f>IFERROR(VLOOKUP(D1112,Products!A:F,3,0),"")</f>
        <v>Home</v>
      </c>
      <c r="M1112" t="str">
        <f>IFERROR(VLOOKUP(E1112,Sales_Reps!A:E,3,0),"")</f>
        <v>North</v>
      </c>
      <c r="N1112" t="str">
        <f>IFERROR(VLOOKUP(C1112,Customers!A:F,5,0),"")</f>
        <v>Retail</v>
      </c>
      <c r="O1112">
        <f>IFERROR(VLOOKUP(C1112,Customers!A:F,3,0),"")</f>
        <v>34</v>
      </c>
      <c r="P1112">
        <f>IFERROR(VLOOKUP(D1112,Products!A:F,4,0),"")</f>
        <v>1143</v>
      </c>
      <c r="Q1112" t="b">
        <f>IFERROR(VLOOKUP(D1112,Products!A:F,6,0),"")</f>
        <v>1</v>
      </c>
      <c r="R1112">
        <f t="shared" si="51"/>
        <v>0.43694581280788175</v>
      </c>
      <c r="S1112">
        <f t="shared" si="52"/>
        <v>1</v>
      </c>
      <c r="T1112">
        <f>IF(AND(S1112&gt;1,COUNTIF($A$2:A1112,A1112)=1),1,0)</f>
        <v>0</v>
      </c>
      <c r="U1112">
        <f>COUNTIF(Customers!$A$2:$A$301,C1112)</f>
        <v>1</v>
      </c>
      <c r="V1112">
        <f t="shared" si="53"/>
        <v>0</v>
      </c>
    </row>
    <row r="1113" spans="1:22" ht="14.25" customHeight="1" x14ac:dyDescent="0.35">
      <c r="A1113" s="10" t="s">
        <v>1562</v>
      </c>
      <c r="B1113" s="11">
        <v>45478</v>
      </c>
      <c r="C1113" s="10" t="s">
        <v>934</v>
      </c>
      <c r="D1113" s="10" t="s">
        <v>111</v>
      </c>
      <c r="E1113" s="10" t="s">
        <v>62</v>
      </c>
      <c r="F1113" s="12">
        <v>9</v>
      </c>
      <c r="G1113" s="12">
        <v>190</v>
      </c>
      <c r="H1113" s="12">
        <v>5.4</v>
      </c>
      <c r="I1113" s="12">
        <v>1617.66</v>
      </c>
      <c r="J1113" s="10" t="s">
        <v>51</v>
      </c>
      <c r="K1113" s="10" t="s">
        <v>76</v>
      </c>
      <c r="L1113" t="str">
        <f>IFERROR(VLOOKUP(D1113,Products!A:F,3,0),"")</f>
        <v>Sports</v>
      </c>
      <c r="M1113" t="str">
        <f>IFERROR(VLOOKUP(E1113,Sales_Reps!A:E,3,0),"")</f>
        <v>South</v>
      </c>
      <c r="N1113" t="str">
        <f>IFERROR(VLOOKUP(C1113,Customers!A:F,5,0),"")</f>
        <v>Retail</v>
      </c>
      <c r="O1113">
        <f>IFERROR(VLOOKUP(C1113,Customers!A:F,3,0),"")</f>
        <v>40</v>
      </c>
      <c r="P1113">
        <f>IFERROR(VLOOKUP(D1113,Products!A:F,4,0),"")</f>
        <v>147</v>
      </c>
      <c r="Q1113" t="b">
        <f>IFERROR(VLOOKUP(D1113,Products!A:F,6,0),"")</f>
        <v>1</v>
      </c>
      <c r="R1113">
        <f t="shared" si="51"/>
        <v>0.22631578947368422</v>
      </c>
      <c r="S1113">
        <f t="shared" si="52"/>
        <v>1</v>
      </c>
      <c r="T1113">
        <f>IF(AND(S1113&gt;1,COUNTIF($A$2:A1113,A1113)=1),1,0)</f>
        <v>0</v>
      </c>
      <c r="U1113">
        <f>COUNTIF(Customers!$A$2:$A$301,C1113)</f>
        <v>1</v>
      </c>
      <c r="V1113">
        <f t="shared" si="53"/>
        <v>0</v>
      </c>
    </row>
    <row r="1114" spans="1:22" ht="14.25" customHeight="1" x14ac:dyDescent="0.35">
      <c r="A1114" s="10" t="s">
        <v>1563</v>
      </c>
      <c r="B1114" s="11">
        <v>45338</v>
      </c>
      <c r="C1114" s="10" t="s">
        <v>309</v>
      </c>
      <c r="D1114" s="10" t="s">
        <v>302</v>
      </c>
      <c r="E1114" s="10" t="s">
        <v>156</v>
      </c>
      <c r="F1114" s="12">
        <v>6</v>
      </c>
      <c r="G1114" s="12">
        <v>2210</v>
      </c>
      <c r="H1114" s="12">
        <v>29.4</v>
      </c>
      <c r="I1114" s="12">
        <v>9361.56</v>
      </c>
      <c r="J1114" s="10" t="s">
        <v>51</v>
      </c>
      <c r="K1114" s="10" t="s">
        <v>58</v>
      </c>
      <c r="L1114" t="str">
        <f>IFERROR(VLOOKUP(D1114,Products!A:F,3,0),"")</f>
        <v>Grocery</v>
      </c>
      <c r="M1114" t="str">
        <f>IFERROR(VLOOKUP(E1114,Sales_Reps!A:E,3,0),"")</f>
        <v>East</v>
      </c>
      <c r="N1114" t="str">
        <f>IFERROR(VLOOKUP(C1114,Customers!A:F,5,0),"")</f>
        <v>Corporate</v>
      </c>
      <c r="O1114">
        <f>IFERROR(VLOOKUP(C1114,Customers!A:F,3,0),"")</f>
        <v>38</v>
      </c>
      <c r="P1114">
        <f>IFERROR(VLOOKUP(D1114,Products!A:F,4,0),"")</f>
        <v>1010</v>
      </c>
      <c r="Q1114" t="b">
        <f>IFERROR(VLOOKUP(D1114,Products!A:F,6,0),"")</f>
        <v>1</v>
      </c>
      <c r="R1114">
        <f t="shared" si="51"/>
        <v>0.54298642533936647</v>
      </c>
      <c r="S1114">
        <f t="shared" si="52"/>
        <v>1</v>
      </c>
      <c r="T1114">
        <f>IF(AND(S1114&gt;1,COUNTIF($A$2:A1114,A1114)=1),1,0)</f>
        <v>0</v>
      </c>
      <c r="U1114">
        <f>COUNTIF(Customers!$A$2:$A$301,C1114)</f>
        <v>1</v>
      </c>
      <c r="V1114">
        <f t="shared" si="53"/>
        <v>0</v>
      </c>
    </row>
    <row r="1115" spans="1:22" ht="14.25" customHeight="1" x14ac:dyDescent="0.35">
      <c r="A1115" s="10" t="s">
        <v>1564</v>
      </c>
      <c r="B1115" s="11">
        <v>45546</v>
      </c>
      <c r="C1115" s="10" t="s">
        <v>384</v>
      </c>
      <c r="D1115" s="10" t="s">
        <v>201</v>
      </c>
      <c r="E1115" s="10" t="s">
        <v>56</v>
      </c>
      <c r="F1115" s="12">
        <v>4</v>
      </c>
      <c r="G1115" s="12">
        <v>3640</v>
      </c>
      <c r="H1115" s="12">
        <v>0.6</v>
      </c>
      <c r="I1115" s="12">
        <v>14472.64</v>
      </c>
      <c r="J1115" s="10" t="s">
        <v>51</v>
      </c>
      <c r="K1115" s="10" t="s">
        <v>63</v>
      </c>
      <c r="L1115" t="str">
        <f>IFERROR(VLOOKUP(D1115,Products!A:F,3,0),"")</f>
        <v>Apparel</v>
      </c>
      <c r="M1115" t="str">
        <f>IFERROR(VLOOKUP(E1115,Sales_Reps!A:E,3,0),"")</f>
        <v>North</v>
      </c>
      <c r="N1115" t="str">
        <f>IFERROR(VLOOKUP(C1115,Customers!A:F,5,0),"")</f>
        <v>Retail</v>
      </c>
      <c r="O1115">
        <f>IFERROR(VLOOKUP(C1115,Customers!A:F,3,0),"")</f>
        <v>44</v>
      </c>
      <c r="P1115">
        <f>IFERROR(VLOOKUP(D1115,Products!A:F,4,0),"")</f>
        <v>2611</v>
      </c>
      <c r="Q1115" t="b">
        <f>IFERROR(VLOOKUP(D1115,Products!A:F,6,0),"")</f>
        <v>1</v>
      </c>
      <c r="R1115">
        <f t="shared" si="51"/>
        <v>0.28269230769230769</v>
      </c>
      <c r="S1115">
        <f t="shared" si="52"/>
        <v>1</v>
      </c>
      <c r="T1115">
        <f>IF(AND(S1115&gt;1,COUNTIF($A$2:A1115,A1115)=1),1,0)</f>
        <v>0</v>
      </c>
      <c r="U1115">
        <f>COUNTIF(Customers!$A$2:$A$301,C1115)</f>
        <v>1</v>
      </c>
      <c r="V1115">
        <f t="shared" si="53"/>
        <v>0</v>
      </c>
    </row>
    <row r="1116" spans="1:22" ht="14.25" customHeight="1" x14ac:dyDescent="0.35">
      <c r="A1116" s="10" t="s">
        <v>1565</v>
      </c>
      <c r="B1116" s="11">
        <v>45626</v>
      </c>
      <c r="C1116" s="10" t="s">
        <v>864</v>
      </c>
      <c r="D1116" s="10" t="s">
        <v>231</v>
      </c>
      <c r="E1116" s="10" t="s">
        <v>168</v>
      </c>
      <c r="F1116" s="12">
        <v>9</v>
      </c>
      <c r="G1116" s="12">
        <v>1220</v>
      </c>
      <c r="H1116" s="12">
        <v>24.1</v>
      </c>
      <c r="I1116" s="12">
        <v>8333.82</v>
      </c>
      <c r="J1116" s="10" t="s">
        <v>51</v>
      </c>
      <c r="K1116" s="10" t="s">
        <v>81</v>
      </c>
      <c r="L1116" t="str">
        <f>IFERROR(VLOOKUP(D1116,Products!A:F,3,0),"")</f>
        <v>Electronics</v>
      </c>
      <c r="M1116" t="str">
        <f>IFERROR(VLOOKUP(E1116,Sales_Reps!A:E,3,0),"")</f>
        <v>South</v>
      </c>
      <c r="N1116" t="str">
        <f>IFERROR(VLOOKUP(C1116,Customers!A:F,5,0),"")</f>
        <v>Retail</v>
      </c>
      <c r="O1116">
        <f>IFERROR(VLOOKUP(C1116,Customers!A:F,3,0),"")</f>
        <v>35</v>
      </c>
      <c r="P1116">
        <f>IFERROR(VLOOKUP(D1116,Products!A:F,4,0),"")</f>
        <v>517</v>
      </c>
      <c r="Q1116" t="b">
        <f>IFERROR(VLOOKUP(D1116,Products!A:F,6,0),"")</f>
        <v>1</v>
      </c>
      <c r="R1116">
        <f t="shared" si="51"/>
        <v>0.57622950819672136</v>
      </c>
      <c r="S1116">
        <f t="shared" si="52"/>
        <v>1</v>
      </c>
      <c r="T1116">
        <f>IF(AND(S1116&gt;1,COUNTIF($A$2:A1116,A1116)=1),1,0)</f>
        <v>0</v>
      </c>
      <c r="U1116">
        <f>COUNTIF(Customers!$A$2:$A$301,C1116)</f>
        <v>1</v>
      </c>
      <c r="V1116">
        <f t="shared" si="53"/>
        <v>0</v>
      </c>
    </row>
    <row r="1117" spans="1:22" ht="14.25" customHeight="1" x14ac:dyDescent="0.35">
      <c r="A1117" s="10" t="s">
        <v>1566</v>
      </c>
      <c r="B1117" s="11">
        <v>45402</v>
      </c>
      <c r="C1117" s="10" t="s">
        <v>549</v>
      </c>
      <c r="D1117" s="10" t="s">
        <v>479</v>
      </c>
      <c r="E1117" s="10" t="s">
        <v>168</v>
      </c>
      <c r="F1117" s="12">
        <v>2</v>
      </c>
      <c r="G1117" s="12">
        <v>6940</v>
      </c>
      <c r="H1117" s="12">
        <v>27</v>
      </c>
      <c r="I1117" s="12">
        <v>10132.4</v>
      </c>
      <c r="J1117" s="10" t="s">
        <v>51</v>
      </c>
      <c r="K1117" s="10" t="s">
        <v>58</v>
      </c>
      <c r="L1117" t="str">
        <f>IFERROR(VLOOKUP(D1117,Products!A:F,3,0),"")</f>
        <v>Sports</v>
      </c>
      <c r="M1117" t="str">
        <f>IFERROR(VLOOKUP(E1117,Sales_Reps!A:E,3,0),"")</f>
        <v>South</v>
      </c>
      <c r="N1117" t="str">
        <f>IFERROR(VLOOKUP(C1117,Customers!A:F,5,0),"")</f>
        <v>Retail</v>
      </c>
      <c r="O1117">
        <f>IFERROR(VLOOKUP(C1117,Customers!A:F,3,0),"")</f>
        <v>26</v>
      </c>
      <c r="P1117">
        <f>IFERROR(VLOOKUP(D1117,Products!A:F,4,0),"")</f>
        <v>2827</v>
      </c>
      <c r="Q1117" t="b">
        <f>IFERROR(VLOOKUP(D1117,Products!A:F,6,0),"")</f>
        <v>1</v>
      </c>
      <c r="R1117">
        <f t="shared" si="51"/>
        <v>0.5926512968299712</v>
      </c>
      <c r="S1117">
        <f t="shared" si="52"/>
        <v>1</v>
      </c>
      <c r="T1117">
        <f>IF(AND(S1117&gt;1,COUNTIF($A$2:A1117,A1117)=1),1,0)</f>
        <v>0</v>
      </c>
      <c r="U1117">
        <f>COUNTIF(Customers!$A$2:$A$301,C1117)</f>
        <v>1</v>
      </c>
      <c r="V1117">
        <f t="shared" si="53"/>
        <v>0</v>
      </c>
    </row>
    <row r="1118" spans="1:22" ht="14.25" customHeight="1" x14ac:dyDescent="0.35">
      <c r="A1118" s="10" t="s">
        <v>1567</v>
      </c>
      <c r="B1118" s="11">
        <v>45604</v>
      </c>
      <c r="C1118" s="10" t="s">
        <v>321</v>
      </c>
      <c r="D1118" s="10" t="s">
        <v>159</v>
      </c>
      <c r="E1118" s="10" t="s">
        <v>96</v>
      </c>
      <c r="F1118" s="12">
        <v>6</v>
      </c>
      <c r="G1118" s="12">
        <v>2860</v>
      </c>
      <c r="H1118" s="12">
        <v>6.6</v>
      </c>
      <c r="I1118" s="12">
        <v>16027.44</v>
      </c>
      <c r="J1118" s="10" t="s">
        <v>51</v>
      </c>
      <c r="K1118" s="10" t="s">
        <v>63</v>
      </c>
      <c r="L1118" t="str">
        <f>IFERROR(VLOOKUP(D1118,Products!A:F,3,0),"")</f>
        <v>Sports</v>
      </c>
      <c r="M1118" t="str">
        <f>IFERROR(VLOOKUP(E1118,Sales_Reps!A:E,3,0),"")</f>
        <v>South</v>
      </c>
      <c r="N1118" t="str">
        <f>IFERROR(VLOOKUP(C1118,Customers!A:F,5,0),"")</f>
        <v>SMB</v>
      </c>
      <c r="O1118">
        <f>IFERROR(VLOOKUP(C1118,Customers!A:F,3,0),"")</f>
        <v>38</v>
      </c>
      <c r="P1118">
        <f>IFERROR(VLOOKUP(D1118,Products!A:F,4,0),"")</f>
        <v>2028</v>
      </c>
      <c r="Q1118" t="b">
        <f>IFERROR(VLOOKUP(D1118,Products!A:F,6,0),"")</f>
        <v>1</v>
      </c>
      <c r="R1118">
        <f t="shared" si="51"/>
        <v>0.29090909090909089</v>
      </c>
      <c r="S1118">
        <f t="shared" si="52"/>
        <v>1</v>
      </c>
      <c r="T1118">
        <f>IF(AND(S1118&gt;1,COUNTIF($A$2:A1118,A1118)=1),1,0)</f>
        <v>0</v>
      </c>
      <c r="U1118">
        <f>COUNTIF(Customers!$A$2:$A$301,C1118)</f>
        <v>1</v>
      </c>
      <c r="V1118">
        <f t="shared" si="53"/>
        <v>0</v>
      </c>
    </row>
    <row r="1119" spans="1:22" ht="14.25" customHeight="1" x14ac:dyDescent="0.35">
      <c r="A1119" s="10" t="s">
        <v>1568</v>
      </c>
      <c r="B1119" s="11">
        <v>45545</v>
      </c>
      <c r="C1119" s="10" t="s">
        <v>150</v>
      </c>
      <c r="D1119" s="10" t="s">
        <v>137</v>
      </c>
      <c r="E1119" s="10" t="s">
        <v>267</v>
      </c>
      <c r="F1119" s="12">
        <v>5</v>
      </c>
      <c r="G1119" s="12">
        <v>2720</v>
      </c>
      <c r="H1119" s="12">
        <v>21.4</v>
      </c>
      <c r="I1119" s="12">
        <v>10689.6</v>
      </c>
      <c r="J1119" s="10" t="s">
        <v>51</v>
      </c>
      <c r="K1119" s="10" t="s">
        <v>58</v>
      </c>
      <c r="L1119" t="str">
        <f>IFERROR(VLOOKUP(D1119,Products!A:F,3,0),"")</f>
        <v>Apparel</v>
      </c>
      <c r="M1119" t="str">
        <f>IFERROR(VLOOKUP(E1119,Sales_Reps!A:E,3,0),"")</f>
        <v>East</v>
      </c>
      <c r="N1119" t="str">
        <f>IFERROR(VLOOKUP(C1119,Customers!A:F,5,0),"")</f>
        <v>SMB</v>
      </c>
      <c r="O1119">
        <f>IFERROR(VLOOKUP(C1119,Customers!A:F,3,0),"")</f>
        <v>52</v>
      </c>
      <c r="P1119">
        <f>IFERROR(VLOOKUP(D1119,Products!A:F,4,0),"")</f>
        <v>1962</v>
      </c>
      <c r="Q1119" t="b">
        <f>IFERROR(VLOOKUP(D1119,Products!A:F,6,0),"")</f>
        <v>1</v>
      </c>
      <c r="R1119">
        <f t="shared" si="51"/>
        <v>0.2786764705882353</v>
      </c>
      <c r="S1119">
        <f t="shared" si="52"/>
        <v>1</v>
      </c>
      <c r="T1119">
        <f>IF(AND(S1119&gt;1,COUNTIF($A$2:A1119,A1119)=1),1,0)</f>
        <v>0</v>
      </c>
      <c r="U1119">
        <f>COUNTIF(Customers!$A$2:$A$301,C1119)</f>
        <v>1</v>
      </c>
      <c r="V1119">
        <f t="shared" si="53"/>
        <v>0</v>
      </c>
    </row>
    <row r="1120" spans="1:22" ht="14.25" customHeight="1" x14ac:dyDescent="0.35">
      <c r="A1120" s="10" t="s">
        <v>1569</v>
      </c>
      <c r="B1120" s="11">
        <v>45445</v>
      </c>
      <c r="C1120" s="10" t="s">
        <v>233</v>
      </c>
      <c r="D1120" s="10" t="s">
        <v>55</v>
      </c>
      <c r="E1120" s="10" t="s">
        <v>67</v>
      </c>
      <c r="F1120" s="12">
        <v>5</v>
      </c>
      <c r="G1120" s="12">
        <v>820</v>
      </c>
      <c r="H1120" s="12">
        <v>28.6</v>
      </c>
      <c r="I1120" s="12">
        <v>2927.4</v>
      </c>
      <c r="J1120" s="10" t="s">
        <v>51</v>
      </c>
      <c r="K1120" s="10" t="s">
        <v>76</v>
      </c>
      <c r="L1120" t="str">
        <f>IFERROR(VLOOKUP(D1120,Products!A:F,3,0),"")</f>
        <v>Apparel</v>
      </c>
      <c r="M1120" t="str">
        <f>IFERROR(VLOOKUP(E1120,Sales_Reps!A:E,3,0),"")</f>
        <v>North</v>
      </c>
      <c r="N1120" t="str">
        <f>IFERROR(VLOOKUP(C1120,Customers!A:F,5,0),"")</f>
        <v>Retail</v>
      </c>
      <c r="O1120">
        <f>IFERROR(VLOOKUP(C1120,Customers!A:F,3,0),"")</f>
        <v>40</v>
      </c>
      <c r="P1120">
        <f>IFERROR(VLOOKUP(D1120,Products!A:F,4,0),"")</f>
        <v>391</v>
      </c>
      <c r="Q1120" t="b">
        <f>IFERROR(VLOOKUP(D1120,Products!A:F,6,0),"")</f>
        <v>1</v>
      </c>
      <c r="R1120">
        <f t="shared" si="51"/>
        <v>0.52317073170731709</v>
      </c>
      <c r="S1120">
        <f t="shared" si="52"/>
        <v>1</v>
      </c>
      <c r="T1120">
        <f>IF(AND(S1120&gt;1,COUNTIF($A$2:A1120,A1120)=1),1,0)</f>
        <v>0</v>
      </c>
      <c r="U1120">
        <f>COUNTIF(Customers!$A$2:$A$301,C1120)</f>
        <v>1</v>
      </c>
      <c r="V1120">
        <f t="shared" si="53"/>
        <v>0</v>
      </c>
    </row>
    <row r="1121" spans="1:22" ht="14.25" customHeight="1" x14ac:dyDescent="0.35">
      <c r="A1121" s="10" t="s">
        <v>1570</v>
      </c>
      <c r="B1121" s="11">
        <v>45489</v>
      </c>
      <c r="C1121" s="10" t="s">
        <v>1272</v>
      </c>
      <c r="D1121" s="10" t="s">
        <v>350</v>
      </c>
      <c r="E1121" s="10" t="s">
        <v>249</v>
      </c>
      <c r="F1121" s="12">
        <v>6</v>
      </c>
      <c r="G1121" s="12">
        <v>2290</v>
      </c>
      <c r="H1121" s="12">
        <v>18.8</v>
      </c>
      <c r="I1121" s="12">
        <v>11156.88</v>
      </c>
      <c r="J1121" s="10" t="s">
        <v>51</v>
      </c>
      <c r="K1121" s="10" t="s">
        <v>58</v>
      </c>
      <c r="L1121" t="str">
        <f>IFERROR(VLOOKUP(D1121,Products!A:F,3,0),"")</f>
        <v>Beauty</v>
      </c>
      <c r="M1121" t="str">
        <f>IFERROR(VLOOKUP(E1121,Sales_Reps!A:E,3,0),"")</f>
        <v>East</v>
      </c>
      <c r="N1121" t="str">
        <f>IFERROR(VLOOKUP(C1121,Customers!A:F,5,0),"")</f>
        <v>SMB</v>
      </c>
      <c r="O1121">
        <f>IFERROR(VLOOKUP(C1121,Customers!A:F,3,0),"")</f>
        <v>51</v>
      </c>
      <c r="P1121">
        <f>IFERROR(VLOOKUP(D1121,Products!A:F,4,0),"")</f>
        <v>1219</v>
      </c>
      <c r="Q1121" t="b">
        <f>IFERROR(VLOOKUP(D1121,Products!A:F,6,0),"")</f>
        <v>1</v>
      </c>
      <c r="R1121">
        <f t="shared" si="51"/>
        <v>0.46768558951965067</v>
      </c>
      <c r="S1121">
        <f t="shared" si="52"/>
        <v>1</v>
      </c>
      <c r="T1121">
        <f>IF(AND(S1121&gt;1,COUNTIF($A$2:A1121,A1121)=1),1,0)</f>
        <v>0</v>
      </c>
      <c r="U1121">
        <f>COUNTIF(Customers!$A$2:$A$301,C1121)</f>
        <v>1</v>
      </c>
      <c r="V1121">
        <f t="shared" si="53"/>
        <v>0</v>
      </c>
    </row>
    <row r="1122" spans="1:22" ht="14.25" customHeight="1" x14ac:dyDescent="0.35">
      <c r="A1122" s="10" t="s">
        <v>1571</v>
      </c>
      <c r="B1122" s="11">
        <v>45394</v>
      </c>
      <c r="C1122" s="10" t="s">
        <v>653</v>
      </c>
      <c r="D1122" s="10" t="s">
        <v>121</v>
      </c>
      <c r="E1122" s="10" t="s">
        <v>122</v>
      </c>
      <c r="F1122" s="12">
        <v>6</v>
      </c>
      <c r="G1122" s="12">
        <v>3450</v>
      </c>
      <c r="H1122" s="12">
        <v>28.4</v>
      </c>
      <c r="I1122" s="12">
        <v>14821.2</v>
      </c>
      <c r="J1122" s="10" t="s">
        <v>51</v>
      </c>
      <c r="K1122" s="10" t="s">
        <v>97</v>
      </c>
      <c r="L1122" t="str">
        <f>IFERROR(VLOOKUP(D1122,Products!A:F,3,0),"")</f>
        <v>Beauty</v>
      </c>
      <c r="M1122" t="str">
        <f>IFERROR(VLOOKUP(E1122,Sales_Reps!A:E,3,0),"")</f>
        <v>East</v>
      </c>
      <c r="N1122" t="str">
        <f>IFERROR(VLOOKUP(C1122,Customers!A:F,5,0),"")</f>
        <v>Retail</v>
      </c>
      <c r="O1122">
        <f>IFERROR(VLOOKUP(C1122,Customers!A:F,3,0),"")</f>
        <v>28</v>
      </c>
      <c r="P1122">
        <f>IFERROR(VLOOKUP(D1122,Products!A:F,4,0),"")</f>
        <v>2420</v>
      </c>
      <c r="Q1122" t="b">
        <f>IFERROR(VLOOKUP(D1122,Products!A:F,6,0),"")</f>
        <v>1</v>
      </c>
      <c r="R1122">
        <f t="shared" si="51"/>
        <v>0.29855072463768118</v>
      </c>
      <c r="S1122">
        <f t="shared" si="52"/>
        <v>1</v>
      </c>
      <c r="T1122">
        <f>IF(AND(S1122&gt;1,COUNTIF($A$2:A1122,A1122)=1),1,0)</f>
        <v>0</v>
      </c>
      <c r="U1122">
        <f>COUNTIF(Customers!$A$2:$A$301,C1122)</f>
        <v>1</v>
      </c>
      <c r="V1122">
        <f t="shared" si="53"/>
        <v>0</v>
      </c>
    </row>
    <row r="1123" spans="1:22" ht="14.25" customHeight="1" x14ac:dyDescent="0.35">
      <c r="A1123" s="10" t="s">
        <v>1572</v>
      </c>
      <c r="B1123" s="11">
        <v>45340</v>
      </c>
      <c r="C1123" s="10" t="s">
        <v>87</v>
      </c>
      <c r="D1123" s="10" t="s">
        <v>259</v>
      </c>
      <c r="E1123" s="10" t="s">
        <v>261</v>
      </c>
      <c r="F1123" s="12">
        <v>10</v>
      </c>
      <c r="G1123" s="12">
        <v>2030</v>
      </c>
      <c r="H1123" s="12">
        <v>8</v>
      </c>
      <c r="I1123" s="12">
        <v>18676</v>
      </c>
      <c r="J1123" s="10" t="s">
        <v>51</v>
      </c>
      <c r="K1123" s="10" t="s">
        <v>81</v>
      </c>
      <c r="L1123" t="str">
        <f>IFERROR(VLOOKUP(D1123,Products!A:F,3,0),"")</f>
        <v>Home</v>
      </c>
      <c r="M1123" t="str">
        <f>IFERROR(VLOOKUP(E1123,Sales_Reps!A:E,3,0),"")</f>
        <v>North</v>
      </c>
      <c r="N1123" t="str">
        <f>IFERROR(VLOOKUP(C1123,Customers!A:F,5,0),"")</f>
        <v>Retail</v>
      </c>
      <c r="O1123">
        <f>IFERROR(VLOOKUP(C1123,Customers!A:F,3,0),"")</f>
        <v>42</v>
      </c>
      <c r="P1123">
        <f>IFERROR(VLOOKUP(D1123,Products!A:F,4,0),"")</f>
        <v>1143</v>
      </c>
      <c r="Q1123" t="b">
        <f>IFERROR(VLOOKUP(D1123,Products!A:F,6,0),"")</f>
        <v>1</v>
      </c>
      <c r="R1123">
        <f t="shared" si="51"/>
        <v>0.43694581280788175</v>
      </c>
      <c r="S1123">
        <f t="shared" si="52"/>
        <v>1</v>
      </c>
      <c r="T1123">
        <f>IF(AND(S1123&gt;1,COUNTIF($A$2:A1123,A1123)=1),1,0)</f>
        <v>0</v>
      </c>
      <c r="U1123">
        <f>COUNTIF(Customers!$A$2:$A$301,C1123)</f>
        <v>1</v>
      </c>
      <c r="V1123">
        <f t="shared" si="53"/>
        <v>0</v>
      </c>
    </row>
    <row r="1124" spans="1:22" ht="14.25" customHeight="1" x14ac:dyDescent="0.35">
      <c r="A1124" s="10" t="s">
        <v>1573</v>
      </c>
      <c r="B1124" s="11">
        <v>45378</v>
      </c>
      <c r="C1124" s="10" t="s">
        <v>923</v>
      </c>
      <c r="D1124" s="10" t="s">
        <v>115</v>
      </c>
      <c r="E1124" s="10" t="s">
        <v>249</v>
      </c>
      <c r="F1124" s="12">
        <v>1</v>
      </c>
      <c r="G1124" s="12">
        <v>2400</v>
      </c>
      <c r="H1124" s="12">
        <v>9.6999999999999993</v>
      </c>
      <c r="I1124" s="12">
        <v>2167.1999999999998</v>
      </c>
      <c r="J1124" s="10" t="s">
        <v>51</v>
      </c>
      <c r="K1124" s="10" t="s">
        <v>76</v>
      </c>
      <c r="L1124" t="str">
        <f>IFERROR(VLOOKUP(D1124,Products!A:F,3,0),"")</f>
        <v>Sports</v>
      </c>
      <c r="M1124" t="str">
        <f>IFERROR(VLOOKUP(E1124,Sales_Reps!A:E,3,0),"")</f>
        <v>East</v>
      </c>
      <c r="N1124" t="str">
        <f>IFERROR(VLOOKUP(C1124,Customers!A:F,5,0),"")</f>
        <v>SMB</v>
      </c>
      <c r="O1124">
        <f>IFERROR(VLOOKUP(C1124,Customers!A:F,3,0),"")</f>
        <v>65</v>
      </c>
      <c r="P1124">
        <f>IFERROR(VLOOKUP(D1124,Products!A:F,4,0),"")</f>
        <v>974</v>
      </c>
      <c r="Q1124" t="b">
        <f>IFERROR(VLOOKUP(D1124,Products!A:F,6,0),"")</f>
        <v>1</v>
      </c>
      <c r="R1124">
        <f t="shared" si="51"/>
        <v>0.59416666666666662</v>
      </c>
      <c r="S1124">
        <f t="shared" si="52"/>
        <v>1</v>
      </c>
      <c r="T1124">
        <f>IF(AND(S1124&gt;1,COUNTIF($A$2:A1124,A1124)=1),1,0)</f>
        <v>0</v>
      </c>
      <c r="U1124">
        <f>COUNTIF(Customers!$A$2:$A$301,C1124)</f>
        <v>1</v>
      </c>
      <c r="V1124">
        <f t="shared" si="53"/>
        <v>0</v>
      </c>
    </row>
    <row r="1125" spans="1:22" ht="14.25" customHeight="1" x14ac:dyDescent="0.35">
      <c r="A1125" s="10" t="s">
        <v>1574</v>
      </c>
      <c r="B1125" s="11">
        <v>45369</v>
      </c>
      <c r="C1125" s="10" t="s">
        <v>607</v>
      </c>
      <c r="D1125" s="10" t="s">
        <v>259</v>
      </c>
      <c r="E1125" s="10" t="s">
        <v>62</v>
      </c>
      <c r="F1125" s="12">
        <v>4</v>
      </c>
      <c r="G1125" s="12">
        <v>2030</v>
      </c>
      <c r="H1125" s="12">
        <v>24.8</v>
      </c>
      <c r="I1125" s="12">
        <v>6106.24</v>
      </c>
      <c r="J1125" s="10" t="s">
        <v>57</v>
      </c>
      <c r="K1125" s="10" t="s">
        <v>76</v>
      </c>
      <c r="L1125" t="str">
        <f>IFERROR(VLOOKUP(D1125,Products!A:F,3,0),"")</f>
        <v>Home</v>
      </c>
      <c r="M1125" t="str">
        <f>IFERROR(VLOOKUP(E1125,Sales_Reps!A:E,3,0),"")</f>
        <v>South</v>
      </c>
      <c r="N1125" t="str">
        <f>IFERROR(VLOOKUP(C1125,Customers!A:F,5,0),"")</f>
        <v>SMB</v>
      </c>
      <c r="O1125">
        <f>IFERROR(VLOOKUP(C1125,Customers!A:F,3,0),"")</f>
        <v>27</v>
      </c>
      <c r="P1125">
        <f>IFERROR(VLOOKUP(D1125,Products!A:F,4,0),"")</f>
        <v>1143</v>
      </c>
      <c r="Q1125" t="b">
        <f>IFERROR(VLOOKUP(D1125,Products!A:F,6,0),"")</f>
        <v>1</v>
      </c>
      <c r="R1125">
        <f t="shared" si="51"/>
        <v>0.43694581280788175</v>
      </c>
      <c r="S1125">
        <f t="shared" si="52"/>
        <v>1</v>
      </c>
      <c r="T1125">
        <f>IF(AND(S1125&gt;1,COUNTIF($A$2:A1125,A1125)=1),1,0)</f>
        <v>0</v>
      </c>
      <c r="U1125">
        <f>COUNTIF(Customers!$A$2:$A$301,C1125)</f>
        <v>1</v>
      </c>
      <c r="V1125">
        <f t="shared" si="53"/>
        <v>0</v>
      </c>
    </row>
    <row r="1126" spans="1:22" ht="14.25" customHeight="1" x14ac:dyDescent="0.35">
      <c r="A1126" s="10" t="s">
        <v>1575</v>
      </c>
      <c r="B1126" s="11">
        <v>45513</v>
      </c>
      <c r="C1126" s="10" t="s">
        <v>142</v>
      </c>
      <c r="D1126" s="10" t="s">
        <v>315</v>
      </c>
      <c r="E1126" s="10" t="s">
        <v>261</v>
      </c>
      <c r="F1126" s="12">
        <v>5</v>
      </c>
      <c r="G1126" s="12">
        <v>4060</v>
      </c>
      <c r="H1126" s="12">
        <v>9.1</v>
      </c>
      <c r="I1126" s="12">
        <v>18452.7</v>
      </c>
      <c r="J1126" s="10" t="s">
        <v>57</v>
      </c>
      <c r="K1126" s="10" t="s">
        <v>58</v>
      </c>
      <c r="L1126" t="str">
        <f>IFERROR(VLOOKUP(D1126,Products!A:F,3,0),"")</f>
        <v>Grocery</v>
      </c>
      <c r="M1126" t="str">
        <f>IFERROR(VLOOKUP(E1126,Sales_Reps!A:E,3,0),"")</f>
        <v>North</v>
      </c>
      <c r="N1126" t="str">
        <f>IFERROR(VLOOKUP(C1126,Customers!A:F,5,0),"")</f>
        <v>Corporate</v>
      </c>
      <c r="O1126">
        <f>IFERROR(VLOOKUP(C1126,Customers!A:F,3,0),"")</f>
        <v>55</v>
      </c>
      <c r="P1126">
        <f>IFERROR(VLOOKUP(D1126,Products!A:F,4,0),"")</f>
        <v>2911</v>
      </c>
      <c r="Q1126" t="b">
        <f>IFERROR(VLOOKUP(D1126,Products!A:F,6,0),"")</f>
        <v>1</v>
      </c>
      <c r="R1126">
        <f t="shared" si="51"/>
        <v>0.28300492610837441</v>
      </c>
      <c r="S1126">
        <f t="shared" si="52"/>
        <v>1</v>
      </c>
      <c r="T1126">
        <f>IF(AND(S1126&gt;1,COUNTIF($A$2:A1126,A1126)=1),1,0)</f>
        <v>0</v>
      </c>
      <c r="U1126">
        <f>COUNTIF(Customers!$A$2:$A$301,C1126)</f>
        <v>1</v>
      </c>
      <c r="V1126">
        <f t="shared" si="53"/>
        <v>0</v>
      </c>
    </row>
    <row r="1127" spans="1:22" ht="14.25" customHeight="1" x14ac:dyDescent="0.35">
      <c r="A1127" s="10" t="s">
        <v>1576</v>
      </c>
      <c r="B1127" s="11">
        <v>45438</v>
      </c>
      <c r="C1127" s="10" t="s">
        <v>371</v>
      </c>
      <c r="D1127" s="10" t="s">
        <v>259</v>
      </c>
      <c r="E1127" s="10" t="s">
        <v>216</v>
      </c>
      <c r="F1127" s="12">
        <v>9</v>
      </c>
      <c r="G1127" s="12">
        <v>2030</v>
      </c>
      <c r="H1127" s="12">
        <v>15.9</v>
      </c>
      <c r="I1127" s="12">
        <v>15365.07</v>
      </c>
      <c r="J1127" s="10" t="s">
        <v>57</v>
      </c>
      <c r="K1127" s="10" t="s">
        <v>52</v>
      </c>
      <c r="L1127" t="str">
        <f>IFERROR(VLOOKUP(D1127,Products!A:F,3,0),"")</f>
        <v>Home</v>
      </c>
      <c r="M1127" t="str">
        <f>IFERROR(VLOOKUP(E1127,Sales_Reps!A:E,3,0),"")</f>
        <v>South</v>
      </c>
      <c r="N1127" t="str">
        <f>IFERROR(VLOOKUP(C1127,Customers!A:F,5,0),"")</f>
        <v>SMB</v>
      </c>
      <c r="O1127">
        <f>IFERROR(VLOOKUP(C1127,Customers!A:F,3,0),"")</f>
        <v>53</v>
      </c>
      <c r="P1127">
        <f>IFERROR(VLOOKUP(D1127,Products!A:F,4,0),"")</f>
        <v>1143</v>
      </c>
      <c r="Q1127" t="b">
        <f>IFERROR(VLOOKUP(D1127,Products!A:F,6,0),"")</f>
        <v>1</v>
      </c>
      <c r="R1127">
        <f t="shared" si="51"/>
        <v>0.43694581280788175</v>
      </c>
      <c r="S1127">
        <f t="shared" si="52"/>
        <v>1</v>
      </c>
      <c r="T1127">
        <f>IF(AND(S1127&gt;1,COUNTIF($A$2:A1127,A1127)=1),1,0)</f>
        <v>0</v>
      </c>
      <c r="U1127">
        <f>COUNTIF(Customers!$A$2:$A$301,C1127)</f>
        <v>1</v>
      </c>
      <c r="V1127">
        <f t="shared" si="53"/>
        <v>0</v>
      </c>
    </row>
    <row r="1128" spans="1:22" ht="14.25" customHeight="1" x14ac:dyDescent="0.35">
      <c r="A1128" s="10" t="s">
        <v>1577</v>
      </c>
      <c r="B1128" s="11">
        <v>45529</v>
      </c>
      <c r="C1128" s="10" t="s">
        <v>702</v>
      </c>
      <c r="D1128" s="10" t="s">
        <v>143</v>
      </c>
      <c r="E1128" s="10" t="s">
        <v>62</v>
      </c>
      <c r="F1128" s="12">
        <v>1</v>
      </c>
      <c r="G1128" s="12">
        <v>3350</v>
      </c>
      <c r="H1128" s="12">
        <v>23.2</v>
      </c>
      <c r="I1128" s="12">
        <v>2572.8000000000002</v>
      </c>
      <c r="J1128" s="10" t="s">
        <v>108</v>
      </c>
      <c r="K1128" s="10" t="s">
        <v>52</v>
      </c>
      <c r="L1128" t="str">
        <f>IFERROR(VLOOKUP(D1128,Products!A:F,3,0),"")</f>
        <v>Beauty</v>
      </c>
      <c r="M1128" t="str">
        <f>IFERROR(VLOOKUP(E1128,Sales_Reps!A:E,3,0),"")</f>
        <v>South</v>
      </c>
      <c r="N1128" t="str">
        <f>IFERROR(VLOOKUP(C1128,Customers!A:F,5,0),"")</f>
        <v>Retail</v>
      </c>
      <c r="O1128">
        <f>IFERROR(VLOOKUP(C1128,Customers!A:F,3,0),"")</f>
        <v>36</v>
      </c>
      <c r="P1128">
        <f>IFERROR(VLOOKUP(D1128,Products!A:F,4,0),"")</f>
        <v>1728</v>
      </c>
      <c r="Q1128" t="b">
        <f>IFERROR(VLOOKUP(D1128,Products!A:F,6,0),"")</f>
        <v>1</v>
      </c>
      <c r="R1128">
        <f t="shared" si="51"/>
        <v>0.48417910447761192</v>
      </c>
      <c r="S1128">
        <f t="shared" si="52"/>
        <v>1</v>
      </c>
      <c r="T1128">
        <f>IF(AND(S1128&gt;1,COUNTIF($A$2:A1128,A1128)=1),1,0)</f>
        <v>0</v>
      </c>
      <c r="U1128">
        <f>COUNTIF(Customers!$A$2:$A$301,C1128)</f>
        <v>1</v>
      </c>
      <c r="V1128">
        <f t="shared" si="53"/>
        <v>0</v>
      </c>
    </row>
    <row r="1129" spans="1:22" ht="14.25" customHeight="1" x14ac:dyDescent="0.35">
      <c r="A1129" s="10" t="s">
        <v>1578</v>
      </c>
      <c r="B1129" s="11">
        <v>45634</v>
      </c>
      <c r="C1129" s="10" t="s">
        <v>418</v>
      </c>
      <c r="D1129" s="10" t="s">
        <v>167</v>
      </c>
      <c r="E1129" s="10" t="s">
        <v>67</v>
      </c>
      <c r="F1129" s="12">
        <v>4</v>
      </c>
      <c r="G1129" s="12">
        <v>660</v>
      </c>
      <c r="H1129" s="12">
        <v>27.1</v>
      </c>
      <c r="I1129" s="12">
        <v>1924.56</v>
      </c>
      <c r="J1129" s="10" t="s">
        <v>51</v>
      </c>
      <c r="K1129" s="10" t="s">
        <v>97</v>
      </c>
      <c r="L1129" t="str">
        <f>IFERROR(VLOOKUP(D1129,Products!A:F,3,0),"")</f>
        <v>Home</v>
      </c>
      <c r="M1129" t="str">
        <f>IFERROR(VLOOKUP(E1129,Sales_Reps!A:E,3,0),"")</f>
        <v>North</v>
      </c>
      <c r="N1129" t="str">
        <f>IFERROR(VLOOKUP(C1129,Customers!A:F,5,0),"")</f>
        <v>Corporate</v>
      </c>
      <c r="O1129">
        <f>IFERROR(VLOOKUP(C1129,Customers!A:F,3,0),"")</f>
        <v>43</v>
      </c>
      <c r="P1129">
        <f>IFERROR(VLOOKUP(D1129,Products!A:F,4,0),"")</f>
        <v>329</v>
      </c>
      <c r="Q1129" t="b">
        <f>IFERROR(VLOOKUP(D1129,Products!A:F,6,0),"")</f>
        <v>1</v>
      </c>
      <c r="R1129">
        <f t="shared" si="51"/>
        <v>0.50151515151515147</v>
      </c>
      <c r="S1129">
        <f t="shared" si="52"/>
        <v>1</v>
      </c>
      <c r="T1129">
        <f>IF(AND(S1129&gt;1,COUNTIF($A$2:A1129,A1129)=1),1,0)</f>
        <v>0</v>
      </c>
      <c r="U1129">
        <f>COUNTIF(Customers!$A$2:$A$301,C1129)</f>
        <v>1</v>
      </c>
      <c r="V1129">
        <f t="shared" si="53"/>
        <v>0</v>
      </c>
    </row>
    <row r="1130" spans="1:22" ht="14.25" customHeight="1" x14ac:dyDescent="0.35">
      <c r="A1130" s="10" t="s">
        <v>1579</v>
      </c>
      <c r="B1130" s="11">
        <v>45441</v>
      </c>
      <c r="C1130" s="10" t="s">
        <v>225</v>
      </c>
      <c r="D1130" s="10" t="s">
        <v>240</v>
      </c>
      <c r="E1130" s="10" t="s">
        <v>62</v>
      </c>
      <c r="F1130" s="12">
        <v>3</v>
      </c>
      <c r="G1130" s="12">
        <v>3020</v>
      </c>
      <c r="H1130" s="12">
        <v>7.2</v>
      </c>
      <c r="I1130" s="12">
        <v>8407.68</v>
      </c>
      <c r="J1130" s="10" t="s">
        <v>51</v>
      </c>
      <c r="K1130" s="10" t="s">
        <v>63</v>
      </c>
      <c r="L1130" t="str">
        <f>IFERROR(VLOOKUP(D1130,Products!A:F,3,0),"")</f>
        <v>Beauty</v>
      </c>
      <c r="M1130" t="str">
        <f>IFERROR(VLOOKUP(E1130,Sales_Reps!A:E,3,0),"")</f>
        <v>South</v>
      </c>
      <c r="N1130" t="str">
        <f>IFERROR(VLOOKUP(C1130,Customers!A:F,5,0),"")</f>
        <v>Retail</v>
      </c>
      <c r="O1130">
        <f>IFERROR(VLOOKUP(C1130,Customers!A:F,3,0),"")</f>
        <v>54</v>
      </c>
      <c r="P1130">
        <f>IFERROR(VLOOKUP(D1130,Products!A:F,4,0),"")</f>
        <v>1626</v>
      </c>
      <c r="Q1130" t="b">
        <f>IFERROR(VLOOKUP(D1130,Products!A:F,6,0),"")</f>
        <v>1</v>
      </c>
      <c r="R1130">
        <f t="shared" si="51"/>
        <v>0.46158940397350995</v>
      </c>
      <c r="S1130">
        <f t="shared" si="52"/>
        <v>1</v>
      </c>
      <c r="T1130">
        <f>IF(AND(S1130&gt;1,COUNTIF($A$2:A1130,A1130)=1),1,0)</f>
        <v>0</v>
      </c>
      <c r="U1130">
        <f>COUNTIF(Customers!$A$2:$A$301,C1130)</f>
        <v>1</v>
      </c>
      <c r="V1130">
        <f t="shared" si="53"/>
        <v>0</v>
      </c>
    </row>
    <row r="1131" spans="1:22" ht="14.25" customHeight="1" x14ac:dyDescent="0.35">
      <c r="A1131" s="10" t="s">
        <v>1580</v>
      </c>
      <c r="B1131" s="11">
        <v>45409</v>
      </c>
      <c r="C1131" s="10" t="s">
        <v>529</v>
      </c>
      <c r="D1131" s="10" t="s">
        <v>243</v>
      </c>
      <c r="E1131" s="10" t="s">
        <v>67</v>
      </c>
      <c r="F1131" s="12">
        <v>3</v>
      </c>
      <c r="G1131" s="12">
        <v>2660</v>
      </c>
      <c r="H1131" s="12">
        <v>0.2</v>
      </c>
      <c r="I1131" s="12">
        <v>7964.04</v>
      </c>
      <c r="J1131" s="10" t="s">
        <v>51</v>
      </c>
      <c r="K1131" s="10" t="s">
        <v>76</v>
      </c>
      <c r="L1131" t="str">
        <f>IFERROR(VLOOKUP(D1131,Products!A:F,3,0),"")</f>
        <v>Electronics</v>
      </c>
      <c r="M1131" t="str">
        <f>IFERROR(VLOOKUP(E1131,Sales_Reps!A:E,3,0),"")</f>
        <v>North</v>
      </c>
      <c r="N1131" t="str">
        <f>IFERROR(VLOOKUP(C1131,Customers!A:F,5,0),"")</f>
        <v>SMB</v>
      </c>
      <c r="O1131">
        <f>IFERROR(VLOOKUP(C1131,Customers!A:F,3,0),"")</f>
        <v>61</v>
      </c>
      <c r="P1131">
        <f>IFERROR(VLOOKUP(D1131,Products!A:F,4,0),"")</f>
        <v>1259</v>
      </c>
      <c r="Q1131" t="b">
        <f>IFERROR(VLOOKUP(D1131,Products!A:F,6,0),"")</f>
        <v>0</v>
      </c>
      <c r="R1131">
        <f t="shared" si="51"/>
        <v>0.52669172932330832</v>
      </c>
      <c r="S1131">
        <f t="shared" si="52"/>
        <v>1</v>
      </c>
      <c r="T1131">
        <f>IF(AND(S1131&gt;1,COUNTIF($A$2:A1131,A1131)=1),1,0)</f>
        <v>0</v>
      </c>
      <c r="U1131">
        <f>COUNTIF(Customers!$A$2:$A$301,C1131)</f>
        <v>1</v>
      </c>
      <c r="V1131">
        <f t="shared" si="53"/>
        <v>0</v>
      </c>
    </row>
    <row r="1132" spans="1:22" ht="14.25" customHeight="1" x14ac:dyDescent="0.35">
      <c r="A1132" s="10" t="s">
        <v>1581</v>
      </c>
      <c r="B1132" s="11">
        <v>45650</v>
      </c>
      <c r="C1132" s="10" t="s">
        <v>920</v>
      </c>
      <c r="D1132" s="10" t="s">
        <v>146</v>
      </c>
      <c r="E1132" s="10" t="s">
        <v>67</v>
      </c>
      <c r="F1132" s="12">
        <v>4</v>
      </c>
      <c r="G1132" s="12">
        <v>1010</v>
      </c>
      <c r="H1132" s="12">
        <v>3.1</v>
      </c>
      <c r="I1132" s="12">
        <v>3914.76</v>
      </c>
      <c r="J1132" s="10" t="s">
        <v>51</v>
      </c>
      <c r="K1132" s="10" t="s">
        <v>76</v>
      </c>
      <c r="L1132" t="str">
        <f>IFERROR(VLOOKUP(D1132,Products!A:F,3,0),"")</f>
        <v>Sports</v>
      </c>
      <c r="M1132" t="str">
        <f>IFERROR(VLOOKUP(E1132,Sales_Reps!A:E,3,0),"")</f>
        <v>North</v>
      </c>
      <c r="N1132" t="str">
        <f>IFERROR(VLOOKUP(C1132,Customers!A:F,5,0),"")</f>
        <v>Retail</v>
      </c>
      <c r="O1132">
        <f>IFERROR(VLOOKUP(C1132,Customers!A:F,3,0),"")</f>
        <v>49</v>
      </c>
      <c r="P1132">
        <f>IFERROR(VLOOKUP(D1132,Products!A:F,4,0),"")</f>
        <v>516</v>
      </c>
      <c r="Q1132" t="b">
        <f>IFERROR(VLOOKUP(D1132,Products!A:F,6,0),"")</f>
        <v>1</v>
      </c>
      <c r="R1132">
        <f t="shared" si="51"/>
        <v>0.4891089108910891</v>
      </c>
      <c r="S1132">
        <f t="shared" si="52"/>
        <v>1</v>
      </c>
      <c r="T1132">
        <f>IF(AND(S1132&gt;1,COUNTIF($A$2:A1132,A1132)=1),1,0)</f>
        <v>0</v>
      </c>
      <c r="U1132">
        <f>COUNTIF(Customers!$A$2:$A$301,C1132)</f>
        <v>1</v>
      </c>
      <c r="V1132">
        <f t="shared" si="53"/>
        <v>0</v>
      </c>
    </row>
    <row r="1133" spans="1:22" ht="14.25" customHeight="1" x14ac:dyDescent="0.35">
      <c r="A1133" s="10" t="s">
        <v>1582</v>
      </c>
      <c r="B1133" s="11">
        <v>45380</v>
      </c>
      <c r="C1133" s="10" t="s">
        <v>916</v>
      </c>
      <c r="D1133" s="10" t="s">
        <v>88</v>
      </c>
      <c r="E1133" s="10" t="s">
        <v>202</v>
      </c>
      <c r="F1133" s="12">
        <v>5</v>
      </c>
      <c r="G1133" s="12">
        <v>5490</v>
      </c>
      <c r="H1133" s="12">
        <v>3.6</v>
      </c>
      <c r="I1133" s="12">
        <v>26461.8</v>
      </c>
      <c r="J1133" s="10" t="s">
        <v>51</v>
      </c>
      <c r="K1133" s="10" t="s">
        <v>97</v>
      </c>
      <c r="L1133" t="str">
        <f>IFERROR(VLOOKUP(D1133,Products!A:F,3,0),"")</f>
        <v>Home</v>
      </c>
      <c r="M1133" t="str">
        <f>IFERROR(VLOOKUP(E1133,Sales_Reps!A:E,3,0),"")</f>
        <v>East</v>
      </c>
      <c r="N1133" t="str">
        <f>IFERROR(VLOOKUP(C1133,Customers!A:F,5,0),"")</f>
        <v>Retail</v>
      </c>
      <c r="O1133">
        <f>IFERROR(VLOOKUP(C1133,Customers!A:F,3,0),"")</f>
        <v>35</v>
      </c>
      <c r="P1133">
        <f>IFERROR(VLOOKUP(D1133,Products!A:F,4,0),"")</f>
        <v>2549</v>
      </c>
      <c r="Q1133" t="b">
        <f>IFERROR(VLOOKUP(D1133,Products!A:F,6,0),"")</f>
        <v>1</v>
      </c>
      <c r="R1133">
        <f t="shared" si="51"/>
        <v>0.53570127504553733</v>
      </c>
      <c r="S1133">
        <f t="shared" si="52"/>
        <v>1</v>
      </c>
      <c r="T1133">
        <f>IF(AND(S1133&gt;1,COUNTIF($A$2:A1133,A1133)=1),1,0)</f>
        <v>0</v>
      </c>
      <c r="U1133">
        <f>COUNTIF(Customers!$A$2:$A$301,C1133)</f>
        <v>1</v>
      </c>
      <c r="V1133">
        <f t="shared" si="53"/>
        <v>0</v>
      </c>
    </row>
    <row r="1134" spans="1:22" ht="14.25" customHeight="1" x14ac:dyDescent="0.35">
      <c r="A1134" s="10" t="s">
        <v>1583</v>
      </c>
      <c r="B1134" s="11">
        <v>45322</v>
      </c>
      <c r="C1134" s="10" t="s">
        <v>124</v>
      </c>
      <c r="D1134" s="10" t="s">
        <v>115</v>
      </c>
      <c r="E1134" s="10" t="s">
        <v>85</v>
      </c>
      <c r="F1134" s="12">
        <v>1</v>
      </c>
      <c r="G1134" s="12">
        <v>2400</v>
      </c>
      <c r="H1134" s="12">
        <v>24.3</v>
      </c>
      <c r="I1134" s="12">
        <v>1816.8</v>
      </c>
      <c r="J1134" s="10" t="s">
        <v>51</v>
      </c>
      <c r="K1134" s="10" t="s">
        <v>76</v>
      </c>
      <c r="L1134" t="str">
        <f>IFERROR(VLOOKUP(D1134,Products!A:F,3,0),"")</f>
        <v>Sports</v>
      </c>
      <c r="M1134" t="str">
        <f>IFERROR(VLOOKUP(E1134,Sales_Reps!A:E,3,0),"")</f>
        <v>East</v>
      </c>
      <c r="N1134" t="str">
        <f>IFERROR(VLOOKUP(C1134,Customers!A:F,5,0),"")</f>
        <v>Retail</v>
      </c>
      <c r="O1134">
        <f>IFERROR(VLOOKUP(C1134,Customers!A:F,3,0),"")</f>
        <v>54</v>
      </c>
      <c r="P1134">
        <f>IFERROR(VLOOKUP(D1134,Products!A:F,4,0),"")</f>
        <v>974</v>
      </c>
      <c r="Q1134" t="b">
        <f>IFERROR(VLOOKUP(D1134,Products!A:F,6,0),"")</f>
        <v>1</v>
      </c>
      <c r="R1134">
        <f t="shared" si="51"/>
        <v>0.59416666666666662</v>
      </c>
      <c r="S1134">
        <f t="shared" si="52"/>
        <v>1</v>
      </c>
      <c r="T1134">
        <f>IF(AND(S1134&gt;1,COUNTIF($A$2:A1134,A1134)=1),1,0)</f>
        <v>0</v>
      </c>
      <c r="U1134">
        <f>COUNTIF(Customers!$A$2:$A$301,C1134)</f>
        <v>1</v>
      </c>
      <c r="V1134">
        <f t="shared" si="53"/>
        <v>0</v>
      </c>
    </row>
    <row r="1135" spans="1:22" ht="14.25" customHeight="1" x14ac:dyDescent="0.35">
      <c r="A1135" s="10" t="s">
        <v>1584</v>
      </c>
      <c r="B1135" s="11">
        <v>45532</v>
      </c>
      <c r="C1135" s="10" t="s">
        <v>323</v>
      </c>
      <c r="D1135" s="10" t="s">
        <v>167</v>
      </c>
      <c r="E1135" s="10" t="s">
        <v>168</v>
      </c>
      <c r="F1135" s="12">
        <v>8</v>
      </c>
      <c r="G1135" s="12">
        <v>660</v>
      </c>
      <c r="H1135" s="12">
        <v>19.8</v>
      </c>
      <c r="I1135" s="12">
        <v>4234.5600000000004</v>
      </c>
      <c r="J1135" s="10" t="s">
        <v>51</v>
      </c>
      <c r="K1135" s="10" t="s">
        <v>63</v>
      </c>
      <c r="L1135" t="str">
        <f>IFERROR(VLOOKUP(D1135,Products!A:F,3,0),"")</f>
        <v>Home</v>
      </c>
      <c r="M1135" t="str">
        <f>IFERROR(VLOOKUP(E1135,Sales_Reps!A:E,3,0),"")</f>
        <v>South</v>
      </c>
      <c r="N1135" t="str">
        <f>IFERROR(VLOOKUP(C1135,Customers!A:F,5,0),"")</f>
        <v>SMB</v>
      </c>
      <c r="O1135">
        <f>IFERROR(VLOOKUP(C1135,Customers!A:F,3,0),"")</f>
        <v>28</v>
      </c>
      <c r="P1135">
        <f>IFERROR(VLOOKUP(D1135,Products!A:F,4,0),"")</f>
        <v>329</v>
      </c>
      <c r="Q1135" t="b">
        <f>IFERROR(VLOOKUP(D1135,Products!A:F,6,0),"")</f>
        <v>1</v>
      </c>
      <c r="R1135">
        <f t="shared" si="51"/>
        <v>0.50151515151515147</v>
      </c>
      <c r="S1135">
        <f t="shared" si="52"/>
        <v>1</v>
      </c>
      <c r="T1135">
        <f>IF(AND(S1135&gt;1,COUNTIF($A$2:A1135,A1135)=1),1,0)</f>
        <v>0</v>
      </c>
      <c r="U1135">
        <f>COUNTIF(Customers!$A$2:$A$301,C1135)</f>
        <v>1</v>
      </c>
      <c r="V1135">
        <f t="shared" si="53"/>
        <v>0</v>
      </c>
    </row>
    <row r="1136" spans="1:22" ht="14.25" customHeight="1" x14ac:dyDescent="0.35">
      <c r="A1136" s="10" t="s">
        <v>1585</v>
      </c>
      <c r="B1136" s="11">
        <v>45504</v>
      </c>
      <c r="C1136" s="10" t="s">
        <v>1258</v>
      </c>
      <c r="D1136" s="10" t="s">
        <v>328</v>
      </c>
      <c r="E1136" s="10" t="s">
        <v>310</v>
      </c>
      <c r="F1136" s="12">
        <v>9</v>
      </c>
      <c r="G1136" s="12">
        <v>5330</v>
      </c>
      <c r="H1136" s="12">
        <v>16.5</v>
      </c>
      <c r="I1136" s="12">
        <v>40054.949999999997</v>
      </c>
      <c r="J1136" s="10" t="s">
        <v>51</v>
      </c>
      <c r="K1136" s="10" t="s">
        <v>58</v>
      </c>
      <c r="L1136" t="str">
        <f>IFERROR(VLOOKUP(D1136,Products!A:F,3,0),"")</f>
        <v>Electronics</v>
      </c>
      <c r="M1136" t="str">
        <f>IFERROR(VLOOKUP(E1136,Sales_Reps!A:E,3,0),"")</f>
        <v>South</v>
      </c>
      <c r="N1136" t="str">
        <f>IFERROR(VLOOKUP(C1136,Customers!A:F,5,0),"")</f>
        <v>SMB</v>
      </c>
      <c r="O1136">
        <f>IFERROR(VLOOKUP(C1136,Customers!A:F,3,0),"")</f>
        <v>43</v>
      </c>
      <c r="P1136">
        <f>IFERROR(VLOOKUP(D1136,Products!A:F,4,0),"")</f>
        <v>2405</v>
      </c>
      <c r="Q1136" t="b">
        <f>IFERROR(VLOOKUP(D1136,Products!A:F,6,0),"")</f>
        <v>1</v>
      </c>
      <c r="R1136">
        <f t="shared" si="51"/>
        <v>0.54878048780487809</v>
      </c>
      <c r="S1136">
        <f t="shared" si="52"/>
        <v>1</v>
      </c>
      <c r="T1136">
        <f>IF(AND(S1136&gt;1,COUNTIF($A$2:A1136,A1136)=1),1,0)</f>
        <v>0</v>
      </c>
      <c r="U1136">
        <f>COUNTIF(Customers!$A$2:$A$301,C1136)</f>
        <v>1</v>
      </c>
      <c r="V1136">
        <f t="shared" si="53"/>
        <v>0</v>
      </c>
    </row>
    <row r="1137" spans="1:22" ht="14.25" customHeight="1" x14ac:dyDescent="0.35">
      <c r="A1137" s="10" t="s">
        <v>1254</v>
      </c>
      <c r="B1137" s="11">
        <v>45516</v>
      </c>
      <c r="C1137" s="10" t="s">
        <v>553</v>
      </c>
      <c r="D1137" s="10" t="s">
        <v>102</v>
      </c>
      <c r="E1137" s="10" t="s">
        <v>50</v>
      </c>
      <c r="F1137" s="12">
        <v>5</v>
      </c>
      <c r="G1137" s="12">
        <v>2600</v>
      </c>
      <c r="H1137" s="12">
        <v>0.3</v>
      </c>
      <c r="I1137" s="12">
        <v>12961</v>
      </c>
      <c r="J1137" s="10" t="s">
        <v>51</v>
      </c>
      <c r="K1137" s="10" t="s">
        <v>58</v>
      </c>
      <c r="L1137" t="str">
        <f>IFERROR(VLOOKUP(D1137,Products!A:F,3,0),"")</f>
        <v>Electronics</v>
      </c>
      <c r="M1137" t="str">
        <f>IFERROR(VLOOKUP(E1137,Sales_Reps!A:E,3,0),"")</f>
        <v>North</v>
      </c>
      <c r="N1137" t="str">
        <f>IFERROR(VLOOKUP(C1137,Customers!A:F,5,0),"")</f>
        <v>Corporate</v>
      </c>
      <c r="O1137">
        <f>IFERROR(VLOOKUP(C1137,Customers!A:F,3,0),"")</f>
        <v>30</v>
      </c>
      <c r="P1137">
        <f>IFERROR(VLOOKUP(D1137,Products!A:F,4,0),"")</f>
        <v>1052</v>
      </c>
      <c r="Q1137" t="b">
        <f>IFERROR(VLOOKUP(D1137,Products!A:F,6,0),"")</f>
        <v>1</v>
      </c>
      <c r="R1137">
        <f t="shared" si="51"/>
        <v>0.5953846153846154</v>
      </c>
      <c r="S1137">
        <f t="shared" si="52"/>
        <v>2</v>
      </c>
      <c r="T1137">
        <f>IF(AND(S1137&gt;1,COUNTIF($A$2:A1137,A1137)=1),1,0)</f>
        <v>0</v>
      </c>
      <c r="U1137">
        <f>COUNTIF(Customers!$A$2:$A$301,C1137)</f>
        <v>1</v>
      </c>
      <c r="V1137">
        <f t="shared" si="53"/>
        <v>0</v>
      </c>
    </row>
    <row r="1138" spans="1:22" ht="14.25" customHeight="1" x14ac:dyDescent="0.35">
      <c r="A1138" s="10" t="s">
        <v>1586</v>
      </c>
      <c r="B1138" s="11">
        <v>45462</v>
      </c>
      <c r="C1138" s="10" t="s">
        <v>1587</v>
      </c>
      <c r="D1138" s="10" t="s">
        <v>407</v>
      </c>
      <c r="E1138" s="10" t="s">
        <v>267</v>
      </c>
      <c r="F1138" s="12">
        <v>4</v>
      </c>
      <c r="G1138" s="12">
        <v>5080</v>
      </c>
      <c r="H1138" s="12">
        <v>13.8</v>
      </c>
      <c r="I1138" s="12">
        <v>17515.84</v>
      </c>
      <c r="J1138" s="10" t="s">
        <v>57</v>
      </c>
      <c r="K1138" s="10" t="s">
        <v>81</v>
      </c>
      <c r="L1138" t="str">
        <f>IFERROR(VLOOKUP(D1138,Products!A:F,3,0),"")</f>
        <v>Home</v>
      </c>
      <c r="M1138" t="str">
        <f>IFERROR(VLOOKUP(E1138,Sales_Reps!A:E,3,0),"")</f>
        <v>East</v>
      </c>
      <c r="N1138" t="str">
        <f>IFERROR(VLOOKUP(C1138,Customers!A:F,5,0),"")</f>
        <v>Retail</v>
      </c>
      <c r="O1138">
        <f>IFERROR(VLOOKUP(C1138,Customers!A:F,3,0),"")</f>
        <v>53</v>
      </c>
      <c r="P1138">
        <f>IFERROR(VLOOKUP(D1138,Products!A:F,4,0),"")</f>
        <v>2459</v>
      </c>
      <c r="Q1138" t="b">
        <f>IFERROR(VLOOKUP(D1138,Products!A:F,6,0),"")</f>
        <v>1</v>
      </c>
      <c r="R1138">
        <f t="shared" si="51"/>
        <v>0.51594488188976373</v>
      </c>
      <c r="S1138">
        <f t="shared" si="52"/>
        <v>1</v>
      </c>
      <c r="T1138">
        <f>IF(AND(S1138&gt;1,COUNTIF($A$2:A1138,A1138)=1),1,0)</f>
        <v>0</v>
      </c>
      <c r="U1138">
        <f>COUNTIF(Customers!$A$2:$A$301,C1138)</f>
        <v>1</v>
      </c>
      <c r="V1138">
        <f t="shared" si="53"/>
        <v>0</v>
      </c>
    </row>
    <row r="1139" spans="1:22" ht="14.25" customHeight="1" x14ac:dyDescent="0.35">
      <c r="A1139" s="10" t="s">
        <v>1588</v>
      </c>
      <c r="B1139" s="11">
        <v>45597</v>
      </c>
      <c r="C1139" s="10" t="s">
        <v>1214</v>
      </c>
      <c r="D1139" s="10" t="s">
        <v>331</v>
      </c>
      <c r="E1139" s="10" t="s">
        <v>261</v>
      </c>
      <c r="F1139" s="12">
        <v>7</v>
      </c>
      <c r="G1139" s="12">
        <v>2380</v>
      </c>
      <c r="H1139" s="12">
        <v>15.5</v>
      </c>
      <c r="I1139" s="12">
        <v>14077.7</v>
      </c>
      <c r="J1139" s="10" t="s">
        <v>51</v>
      </c>
      <c r="K1139" s="10" t="s">
        <v>52</v>
      </c>
      <c r="L1139" t="str">
        <f>IFERROR(VLOOKUP(D1139,Products!A:F,3,0),"")</f>
        <v>Grocery</v>
      </c>
      <c r="M1139" t="str">
        <f>IFERROR(VLOOKUP(E1139,Sales_Reps!A:E,3,0),"")</f>
        <v>North</v>
      </c>
      <c r="N1139" t="str">
        <f>IFERROR(VLOOKUP(C1139,Customers!A:F,5,0),"")</f>
        <v>Retail</v>
      </c>
      <c r="O1139">
        <f>IFERROR(VLOOKUP(C1139,Customers!A:F,3,0),"")</f>
        <v>44</v>
      </c>
      <c r="P1139">
        <f>IFERROR(VLOOKUP(D1139,Products!A:F,4,0),"")</f>
        <v>1182</v>
      </c>
      <c r="Q1139" t="b">
        <f>IFERROR(VLOOKUP(D1139,Products!A:F,6,0),"")</f>
        <v>1</v>
      </c>
      <c r="R1139">
        <f t="shared" si="51"/>
        <v>0.50336134453781511</v>
      </c>
      <c r="S1139">
        <f t="shared" si="52"/>
        <v>1</v>
      </c>
      <c r="T1139">
        <f>IF(AND(S1139&gt;1,COUNTIF($A$2:A1139,A1139)=1),1,0)</f>
        <v>0</v>
      </c>
      <c r="U1139">
        <f>COUNTIF(Customers!$A$2:$A$301,C1139)</f>
        <v>1</v>
      </c>
      <c r="V1139">
        <f t="shared" si="53"/>
        <v>0</v>
      </c>
    </row>
    <row r="1140" spans="1:22" ht="14.25" customHeight="1" x14ac:dyDescent="0.35">
      <c r="A1140" s="10" t="s">
        <v>1589</v>
      </c>
      <c r="B1140" s="11">
        <v>45648</v>
      </c>
      <c r="C1140" s="10" t="s">
        <v>211</v>
      </c>
      <c r="D1140" s="10" t="s">
        <v>148</v>
      </c>
      <c r="E1140" s="10" t="s">
        <v>67</v>
      </c>
      <c r="F1140" s="12">
        <v>3</v>
      </c>
      <c r="G1140" s="12">
        <v>4880</v>
      </c>
      <c r="H1140" s="12">
        <v>6.1</v>
      </c>
      <c r="I1140" s="12">
        <v>13746.96</v>
      </c>
      <c r="J1140" s="10" t="s">
        <v>51</v>
      </c>
      <c r="K1140" s="10" t="s">
        <v>81</v>
      </c>
      <c r="L1140" t="str">
        <f>IFERROR(VLOOKUP(D1140,Products!A:F,3,0),"")</f>
        <v>Beauty</v>
      </c>
      <c r="M1140" t="str">
        <f>IFERROR(VLOOKUP(E1140,Sales_Reps!A:E,3,0),"")</f>
        <v>North</v>
      </c>
      <c r="N1140" t="str">
        <f>IFERROR(VLOOKUP(C1140,Customers!A:F,5,0),"")</f>
        <v>Retail</v>
      </c>
      <c r="O1140">
        <f>IFERROR(VLOOKUP(C1140,Customers!A:F,3,0),"")</f>
        <v>34</v>
      </c>
      <c r="P1140">
        <f>IFERROR(VLOOKUP(D1140,Products!A:F,4,0),"")</f>
        <v>2768</v>
      </c>
      <c r="Q1140" t="b">
        <f>IFERROR(VLOOKUP(D1140,Products!A:F,6,0),"")</f>
        <v>1</v>
      </c>
      <c r="R1140">
        <f t="shared" si="51"/>
        <v>0.43278688524590164</v>
      </c>
      <c r="S1140">
        <f t="shared" si="52"/>
        <v>1</v>
      </c>
      <c r="T1140">
        <f>IF(AND(S1140&gt;1,COUNTIF($A$2:A1140,A1140)=1),1,0)</f>
        <v>0</v>
      </c>
      <c r="U1140">
        <f>COUNTIF(Customers!$A$2:$A$301,C1140)</f>
        <v>1</v>
      </c>
      <c r="V1140">
        <f t="shared" si="53"/>
        <v>0</v>
      </c>
    </row>
    <row r="1141" spans="1:22" ht="14.25" customHeight="1" x14ac:dyDescent="0.35">
      <c r="A1141" s="10" t="s">
        <v>1590</v>
      </c>
      <c r="B1141" s="11">
        <v>45355</v>
      </c>
      <c r="C1141" s="10" t="s">
        <v>728</v>
      </c>
      <c r="D1141" s="10" t="s">
        <v>143</v>
      </c>
      <c r="E1141" s="10" t="s">
        <v>168</v>
      </c>
      <c r="F1141" s="12">
        <v>2</v>
      </c>
      <c r="G1141" s="12">
        <v>3350</v>
      </c>
      <c r="H1141" s="12">
        <v>17.2</v>
      </c>
      <c r="I1141" s="12">
        <v>5547.6</v>
      </c>
      <c r="J1141" s="10" t="s">
        <v>51</v>
      </c>
      <c r="K1141" s="10" t="s">
        <v>58</v>
      </c>
      <c r="L1141" t="str">
        <f>IFERROR(VLOOKUP(D1141,Products!A:F,3,0),"")</f>
        <v>Beauty</v>
      </c>
      <c r="M1141" t="str">
        <f>IFERROR(VLOOKUP(E1141,Sales_Reps!A:E,3,0),"")</f>
        <v>South</v>
      </c>
      <c r="N1141" t="str">
        <f>IFERROR(VLOOKUP(C1141,Customers!A:F,5,0),"")</f>
        <v>SMB</v>
      </c>
      <c r="O1141">
        <f>IFERROR(VLOOKUP(C1141,Customers!A:F,3,0),"")</f>
        <v>26</v>
      </c>
      <c r="P1141">
        <f>IFERROR(VLOOKUP(D1141,Products!A:F,4,0),"")</f>
        <v>1728</v>
      </c>
      <c r="Q1141" t="b">
        <f>IFERROR(VLOOKUP(D1141,Products!A:F,6,0),"")</f>
        <v>1</v>
      </c>
      <c r="R1141">
        <f t="shared" si="51"/>
        <v>0.48417910447761192</v>
      </c>
      <c r="S1141">
        <f t="shared" si="52"/>
        <v>1</v>
      </c>
      <c r="T1141">
        <f>IF(AND(S1141&gt;1,COUNTIF($A$2:A1141,A1141)=1),1,0)</f>
        <v>0</v>
      </c>
      <c r="U1141">
        <f>COUNTIF(Customers!$A$2:$A$301,C1141)</f>
        <v>1</v>
      </c>
      <c r="V1141">
        <f t="shared" si="53"/>
        <v>0</v>
      </c>
    </row>
    <row r="1142" spans="1:22" ht="14.25" customHeight="1" x14ac:dyDescent="0.35">
      <c r="A1142" s="10" t="s">
        <v>1591</v>
      </c>
      <c r="B1142" s="11">
        <v>45331</v>
      </c>
      <c r="C1142" s="10" t="s">
        <v>1592</v>
      </c>
      <c r="D1142" s="10" t="s">
        <v>91</v>
      </c>
      <c r="E1142" s="10" t="s">
        <v>80</v>
      </c>
      <c r="F1142" s="12">
        <v>5</v>
      </c>
      <c r="G1142" s="12">
        <v>970</v>
      </c>
      <c r="H1142" s="12">
        <v>23.6</v>
      </c>
      <c r="I1142" s="12">
        <v>3705.4</v>
      </c>
      <c r="J1142" s="10" t="s">
        <v>51</v>
      </c>
      <c r="K1142" s="10" t="s">
        <v>58</v>
      </c>
      <c r="L1142" t="str">
        <f>IFERROR(VLOOKUP(D1142,Products!A:F,3,0),"")</f>
        <v>Grocery</v>
      </c>
      <c r="M1142" t="str">
        <f>IFERROR(VLOOKUP(E1142,Sales_Reps!A:E,3,0),"")</f>
        <v>West</v>
      </c>
      <c r="N1142" t="str">
        <f>IFERROR(VLOOKUP(C1142,Customers!A:F,5,0),"")</f>
        <v>Retail</v>
      </c>
      <c r="O1142">
        <f>IFERROR(VLOOKUP(C1142,Customers!A:F,3,0),"")</f>
        <v>35</v>
      </c>
      <c r="P1142">
        <f>IFERROR(VLOOKUP(D1142,Products!A:F,4,0),"")</f>
        <v>434</v>
      </c>
      <c r="Q1142" t="b">
        <f>IFERROR(VLOOKUP(D1142,Products!A:F,6,0),"")</f>
        <v>1</v>
      </c>
      <c r="R1142">
        <f t="shared" si="51"/>
        <v>0.5525773195876289</v>
      </c>
      <c r="S1142">
        <f t="shared" si="52"/>
        <v>1</v>
      </c>
      <c r="T1142">
        <f>IF(AND(S1142&gt;1,COUNTIF($A$2:A1142,A1142)=1),1,0)</f>
        <v>0</v>
      </c>
      <c r="U1142">
        <f>COUNTIF(Customers!$A$2:$A$301,C1142)</f>
        <v>1</v>
      </c>
      <c r="V1142">
        <f t="shared" si="53"/>
        <v>0</v>
      </c>
    </row>
    <row r="1143" spans="1:22" ht="14.25" customHeight="1" x14ac:dyDescent="0.35">
      <c r="A1143" s="10" t="s">
        <v>1593</v>
      </c>
      <c r="B1143" s="11">
        <v>45632</v>
      </c>
      <c r="C1143" s="10" t="s">
        <v>282</v>
      </c>
      <c r="D1143" s="10" t="s">
        <v>246</v>
      </c>
      <c r="E1143" s="10" t="s">
        <v>249</v>
      </c>
      <c r="F1143" s="12">
        <v>5</v>
      </c>
      <c r="G1143" s="12">
        <v>300</v>
      </c>
      <c r="H1143" s="12">
        <v>3.8</v>
      </c>
      <c r="I1143" s="12">
        <v>1443</v>
      </c>
      <c r="J1143" s="10" t="s">
        <v>51</v>
      </c>
      <c r="K1143" s="10" t="s">
        <v>58</v>
      </c>
      <c r="L1143" t="str">
        <f>IFERROR(VLOOKUP(D1143,Products!A:F,3,0),"")</f>
        <v>Electronics</v>
      </c>
      <c r="M1143" t="str">
        <f>IFERROR(VLOOKUP(E1143,Sales_Reps!A:E,3,0),"")</f>
        <v>East</v>
      </c>
      <c r="N1143" t="str">
        <f>IFERROR(VLOOKUP(C1143,Customers!A:F,5,0),"")</f>
        <v>SMB</v>
      </c>
      <c r="O1143">
        <f>IFERROR(VLOOKUP(C1143,Customers!A:F,3,0),"")</f>
        <v>57</v>
      </c>
      <c r="P1143">
        <f>IFERROR(VLOOKUP(D1143,Products!A:F,4,0),"")</f>
        <v>128</v>
      </c>
      <c r="Q1143" t="b">
        <f>IFERROR(VLOOKUP(D1143,Products!A:F,6,0),"")</f>
        <v>1</v>
      </c>
      <c r="R1143">
        <f t="shared" si="51"/>
        <v>0.57333333333333336</v>
      </c>
      <c r="S1143">
        <f t="shared" si="52"/>
        <v>1</v>
      </c>
      <c r="T1143">
        <f>IF(AND(S1143&gt;1,COUNTIF($A$2:A1143,A1143)=1),1,0)</f>
        <v>0</v>
      </c>
      <c r="U1143">
        <f>COUNTIF(Customers!$A$2:$A$301,C1143)</f>
        <v>1</v>
      </c>
      <c r="V1143">
        <f t="shared" si="53"/>
        <v>0</v>
      </c>
    </row>
    <row r="1144" spans="1:22" ht="14.25" customHeight="1" x14ac:dyDescent="0.35">
      <c r="A1144" s="10" t="s">
        <v>1594</v>
      </c>
      <c r="B1144" s="11">
        <v>45358</v>
      </c>
      <c r="C1144" s="10" t="s">
        <v>523</v>
      </c>
      <c r="D1144" s="10" t="s">
        <v>372</v>
      </c>
      <c r="E1144" s="10" t="s">
        <v>56</v>
      </c>
      <c r="F1144" s="12">
        <v>9</v>
      </c>
      <c r="G1144" s="12">
        <v>3970</v>
      </c>
      <c r="H1144" s="12">
        <v>0.8</v>
      </c>
      <c r="I1144" s="12">
        <v>35444.160000000003</v>
      </c>
      <c r="J1144" s="10" t="s">
        <v>51</v>
      </c>
      <c r="K1144" s="10" t="s">
        <v>52</v>
      </c>
      <c r="L1144" t="str">
        <f>IFERROR(VLOOKUP(D1144,Products!A:F,3,0),"")</f>
        <v>Electronics</v>
      </c>
      <c r="M1144" t="str">
        <f>IFERROR(VLOOKUP(E1144,Sales_Reps!A:E,3,0),"")</f>
        <v>North</v>
      </c>
      <c r="N1144" t="str">
        <f>IFERROR(VLOOKUP(C1144,Customers!A:F,5,0),"")</f>
        <v>Retail</v>
      </c>
      <c r="O1144">
        <f>IFERROR(VLOOKUP(C1144,Customers!A:F,3,0),"")</f>
        <v>62</v>
      </c>
      <c r="P1144">
        <f>IFERROR(VLOOKUP(D1144,Products!A:F,4,0),"")</f>
        <v>2865</v>
      </c>
      <c r="Q1144" t="b">
        <f>IFERROR(VLOOKUP(D1144,Products!A:F,6,0),"")</f>
        <v>1</v>
      </c>
      <c r="R1144">
        <f t="shared" si="51"/>
        <v>0.27833753148614609</v>
      </c>
      <c r="S1144">
        <f t="shared" si="52"/>
        <v>1</v>
      </c>
      <c r="T1144">
        <f>IF(AND(S1144&gt;1,COUNTIF($A$2:A1144,A1144)=1),1,0)</f>
        <v>0</v>
      </c>
      <c r="U1144">
        <f>COUNTIF(Customers!$A$2:$A$301,C1144)</f>
        <v>1</v>
      </c>
      <c r="V1144">
        <f t="shared" si="53"/>
        <v>0</v>
      </c>
    </row>
    <row r="1145" spans="1:22" ht="14.25" customHeight="1" x14ac:dyDescent="0.35">
      <c r="A1145" s="10" t="s">
        <v>1595</v>
      </c>
      <c r="B1145" s="11">
        <v>45440</v>
      </c>
      <c r="C1145" s="10" t="s">
        <v>1085</v>
      </c>
      <c r="D1145" s="10" t="s">
        <v>137</v>
      </c>
      <c r="E1145" s="10" t="s">
        <v>216</v>
      </c>
      <c r="F1145" s="12">
        <v>4</v>
      </c>
      <c r="G1145" s="12">
        <v>2720</v>
      </c>
      <c r="H1145" s="12">
        <v>12.7</v>
      </c>
      <c r="I1145" s="12">
        <v>9498.24</v>
      </c>
      <c r="J1145" s="10" t="s">
        <v>51</v>
      </c>
      <c r="K1145" s="10" t="s">
        <v>76</v>
      </c>
      <c r="L1145" t="str">
        <f>IFERROR(VLOOKUP(D1145,Products!A:F,3,0),"")</f>
        <v>Apparel</v>
      </c>
      <c r="M1145" t="str">
        <f>IFERROR(VLOOKUP(E1145,Sales_Reps!A:E,3,0),"")</f>
        <v>South</v>
      </c>
      <c r="N1145" t="str">
        <f>IFERROR(VLOOKUP(C1145,Customers!A:F,5,0),"")</f>
        <v>Corporate</v>
      </c>
      <c r="O1145">
        <f>IFERROR(VLOOKUP(C1145,Customers!A:F,3,0),"")</f>
        <v>46</v>
      </c>
      <c r="P1145">
        <f>IFERROR(VLOOKUP(D1145,Products!A:F,4,0),"")</f>
        <v>1962</v>
      </c>
      <c r="Q1145" t="b">
        <f>IFERROR(VLOOKUP(D1145,Products!A:F,6,0),"")</f>
        <v>1</v>
      </c>
      <c r="R1145">
        <f t="shared" si="51"/>
        <v>0.2786764705882353</v>
      </c>
      <c r="S1145">
        <f t="shared" si="52"/>
        <v>1</v>
      </c>
      <c r="T1145">
        <f>IF(AND(S1145&gt;1,COUNTIF($A$2:A1145,A1145)=1),1,0)</f>
        <v>0</v>
      </c>
      <c r="U1145">
        <f>COUNTIF(Customers!$A$2:$A$301,C1145)</f>
        <v>1</v>
      </c>
      <c r="V1145">
        <f t="shared" si="53"/>
        <v>0</v>
      </c>
    </row>
    <row r="1146" spans="1:22" ht="14.25" customHeight="1" x14ac:dyDescent="0.35">
      <c r="A1146" s="10" t="s">
        <v>1596</v>
      </c>
      <c r="B1146" s="11">
        <v>45412</v>
      </c>
      <c r="C1146" s="10" t="s">
        <v>239</v>
      </c>
      <c r="D1146" s="10" t="s">
        <v>256</v>
      </c>
      <c r="E1146" s="10" t="s">
        <v>122</v>
      </c>
      <c r="F1146" s="12">
        <v>3</v>
      </c>
      <c r="G1146" s="12">
        <v>620</v>
      </c>
      <c r="H1146" s="12">
        <v>5.5</v>
      </c>
      <c r="I1146" s="12">
        <v>1757.7</v>
      </c>
      <c r="J1146" s="10" t="s">
        <v>51</v>
      </c>
      <c r="K1146" s="10" t="s">
        <v>52</v>
      </c>
      <c r="L1146" t="str">
        <f>IFERROR(VLOOKUP(D1146,Products!A:F,3,0),"")</f>
        <v>Apparel</v>
      </c>
      <c r="M1146" t="str">
        <f>IFERROR(VLOOKUP(E1146,Sales_Reps!A:E,3,0),"")</f>
        <v>East</v>
      </c>
      <c r="N1146" t="str">
        <f>IFERROR(VLOOKUP(C1146,Customers!A:F,5,0),"")</f>
        <v>Retail</v>
      </c>
      <c r="O1146">
        <f>IFERROR(VLOOKUP(C1146,Customers!A:F,3,0),"")</f>
        <v>44</v>
      </c>
      <c r="P1146">
        <f>IFERROR(VLOOKUP(D1146,Products!A:F,4,0),"")</f>
        <v>396</v>
      </c>
      <c r="Q1146" t="b">
        <f>IFERROR(VLOOKUP(D1146,Products!A:F,6,0),"")</f>
        <v>1</v>
      </c>
      <c r="R1146">
        <f t="shared" si="51"/>
        <v>0.36129032258064514</v>
      </c>
      <c r="S1146">
        <f t="shared" si="52"/>
        <v>1</v>
      </c>
      <c r="T1146">
        <f>IF(AND(S1146&gt;1,COUNTIF($A$2:A1146,A1146)=1),1,0)</f>
        <v>0</v>
      </c>
      <c r="U1146">
        <f>COUNTIF(Customers!$A$2:$A$301,C1146)</f>
        <v>1</v>
      </c>
      <c r="V1146">
        <f t="shared" si="53"/>
        <v>0</v>
      </c>
    </row>
    <row r="1147" spans="1:22" ht="14.25" customHeight="1" x14ac:dyDescent="0.35">
      <c r="A1147" s="10" t="s">
        <v>1597</v>
      </c>
      <c r="B1147" s="11">
        <v>45479</v>
      </c>
      <c r="C1147" s="10" t="s">
        <v>142</v>
      </c>
      <c r="D1147" s="10" t="s">
        <v>223</v>
      </c>
      <c r="E1147" s="10" t="s">
        <v>80</v>
      </c>
      <c r="F1147" s="12">
        <v>2</v>
      </c>
      <c r="G1147" s="12">
        <v>1540</v>
      </c>
      <c r="H1147" s="12">
        <v>2.2000000000000002</v>
      </c>
      <c r="I1147" s="12">
        <v>3012.24</v>
      </c>
      <c r="J1147" s="10" t="s">
        <v>57</v>
      </c>
      <c r="K1147" s="10" t="s">
        <v>58</v>
      </c>
      <c r="L1147" t="str">
        <f>IFERROR(VLOOKUP(D1147,Products!A:F,3,0),"")</f>
        <v>Beauty</v>
      </c>
      <c r="M1147" t="str">
        <f>IFERROR(VLOOKUP(E1147,Sales_Reps!A:E,3,0),"")</f>
        <v>West</v>
      </c>
      <c r="N1147" t="str">
        <f>IFERROR(VLOOKUP(C1147,Customers!A:F,5,0),"")</f>
        <v>Corporate</v>
      </c>
      <c r="O1147">
        <f>IFERROR(VLOOKUP(C1147,Customers!A:F,3,0),"")</f>
        <v>55</v>
      </c>
      <c r="P1147">
        <f>IFERROR(VLOOKUP(D1147,Products!A:F,4,0),"")</f>
        <v>647</v>
      </c>
      <c r="Q1147" t="b">
        <f>IFERROR(VLOOKUP(D1147,Products!A:F,6,0),"")</f>
        <v>0</v>
      </c>
      <c r="R1147">
        <f t="shared" si="51"/>
        <v>0.57987012987012987</v>
      </c>
      <c r="S1147">
        <f t="shared" si="52"/>
        <v>1</v>
      </c>
      <c r="T1147">
        <f>IF(AND(S1147&gt;1,COUNTIF($A$2:A1147,A1147)=1),1,0)</f>
        <v>0</v>
      </c>
      <c r="U1147">
        <f>COUNTIF(Customers!$A$2:$A$301,C1147)</f>
        <v>1</v>
      </c>
      <c r="V1147">
        <f t="shared" si="53"/>
        <v>0</v>
      </c>
    </row>
    <row r="1148" spans="1:22" ht="14.25" customHeight="1" x14ac:dyDescent="0.35">
      <c r="A1148" s="10" t="s">
        <v>1598</v>
      </c>
      <c r="B1148" s="11">
        <v>45534</v>
      </c>
      <c r="C1148" s="10" t="s">
        <v>276</v>
      </c>
      <c r="D1148" s="10" t="s">
        <v>350</v>
      </c>
      <c r="E1148" s="10" t="s">
        <v>165</v>
      </c>
      <c r="F1148" s="12">
        <v>1</v>
      </c>
      <c r="G1148" s="12">
        <v>2290</v>
      </c>
      <c r="H1148" s="12">
        <v>24.4</v>
      </c>
      <c r="I1148" s="12">
        <v>1731.24</v>
      </c>
      <c r="J1148" s="10" t="s">
        <v>104</v>
      </c>
      <c r="K1148" s="10" t="s">
        <v>97</v>
      </c>
      <c r="L1148" t="str">
        <f>IFERROR(VLOOKUP(D1148,Products!A:F,3,0),"")</f>
        <v>Beauty</v>
      </c>
      <c r="M1148" t="str">
        <f>IFERROR(VLOOKUP(E1148,Sales_Reps!A:E,3,0),"")</f>
        <v>West</v>
      </c>
      <c r="N1148" t="str">
        <f>IFERROR(VLOOKUP(C1148,Customers!A:F,5,0),"")</f>
        <v>Retail</v>
      </c>
      <c r="O1148">
        <f>IFERROR(VLOOKUP(C1148,Customers!A:F,3,0),"")</f>
        <v>46</v>
      </c>
      <c r="P1148">
        <f>IFERROR(VLOOKUP(D1148,Products!A:F,4,0),"")</f>
        <v>1219</v>
      </c>
      <c r="Q1148" t="b">
        <f>IFERROR(VLOOKUP(D1148,Products!A:F,6,0),"")</f>
        <v>1</v>
      </c>
      <c r="R1148">
        <f t="shared" si="51"/>
        <v>0.46768558951965067</v>
      </c>
      <c r="S1148">
        <f t="shared" si="52"/>
        <v>1</v>
      </c>
      <c r="T1148">
        <f>IF(AND(S1148&gt;1,COUNTIF($A$2:A1148,A1148)=1),1,0)</f>
        <v>0</v>
      </c>
      <c r="U1148">
        <f>COUNTIF(Customers!$A$2:$A$301,C1148)</f>
        <v>1</v>
      </c>
      <c r="V1148">
        <f t="shared" si="53"/>
        <v>0</v>
      </c>
    </row>
    <row r="1149" spans="1:22" ht="14.25" customHeight="1" x14ac:dyDescent="0.35">
      <c r="A1149" s="10" t="s">
        <v>1599</v>
      </c>
      <c r="B1149" s="11">
        <v>45313</v>
      </c>
      <c r="C1149" s="10" t="s">
        <v>689</v>
      </c>
      <c r="D1149" s="10" t="s">
        <v>137</v>
      </c>
      <c r="E1149" s="10" t="s">
        <v>267</v>
      </c>
      <c r="F1149" s="12">
        <v>8</v>
      </c>
      <c r="G1149" s="12">
        <v>2720</v>
      </c>
      <c r="H1149" s="12">
        <v>1.7</v>
      </c>
      <c r="I1149" s="12">
        <v>21390.080000000002</v>
      </c>
      <c r="J1149" s="10" t="s">
        <v>51</v>
      </c>
      <c r="K1149" s="10" t="s">
        <v>63</v>
      </c>
      <c r="L1149" t="str">
        <f>IFERROR(VLOOKUP(D1149,Products!A:F,3,0),"")</f>
        <v>Apparel</v>
      </c>
      <c r="M1149" t="str">
        <f>IFERROR(VLOOKUP(E1149,Sales_Reps!A:E,3,0),"")</f>
        <v>East</v>
      </c>
      <c r="N1149" t="str">
        <f>IFERROR(VLOOKUP(C1149,Customers!A:F,5,0),"")</f>
        <v>SMB</v>
      </c>
      <c r="O1149">
        <f>IFERROR(VLOOKUP(C1149,Customers!A:F,3,0),"")</f>
        <v>26</v>
      </c>
      <c r="P1149">
        <f>IFERROR(VLOOKUP(D1149,Products!A:F,4,0),"")</f>
        <v>1962</v>
      </c>
      <c r="Q1149" t="b">
        <f>IFERROR(VLOOKUP(D1149,Products!A:F,6,0),"")</f>
        <v>1</v>
      </c>
      <c r="R1149">
        <f t="shared" si="51"/>
        <v>0.2786764705882353</v>
      </c>
      <c r="S1149">
        <f t="shared" si="52"/>
        <v>1</v>
      </c>
      <c r="T1149">
        <f>IF(AND(S1149&gt;1,COUNTIF($A$2:A1149,A1149)=1),1,0)</f>
        <v>0</v>
      </c>
      <c r="U1149">
        <f>COUNTIF(Customers!$A$2:$A$301,C1149)</f>
        <v>1</v>
      </c>
      <c r="V1149">
        <f t="shared" si="53"/>
        <v>0</v>
      </c>
    </row>
    <row r="1150" spans="1:22" ht="14.25" customHeight="1" x14ac:dyDescent="0.35">
      <c r="A1150" s="10" t="s">
        <v>1600</v>
      </c>
      <c r="B1150" s="11">
        <v>45390</v>
      </c>
      <c r="C1150" s="10" t="s">
        <v>1498</v>
      </c>
      <c r="D1150" s="10" t="s">
        <v>315</v>
      </c>
      <c r="E1150" s="10" t="s">
        <v>118</v>
      </c>
      <c r="F1150" s="12">
        <v>4</v>
      </c>
      <c r="G1150" s="12">
        <v>4060</v>
      </c>
      <c r="H1150" s="12">
        <v>19.600000000000001</v>
      </c>
      <c r="I1150" s="12">
        <v>13056.96</v>
      </c>
      <c r="J1150" s="10" t="s">
        <v>104</v>
      </c>
      <c r="K1150" s="10" t="s">
        <v>97</v>
      </c>
      <c r="L1150" t="str">
        <f>IFERROR(VLOOKUP(D1150,Products!A:F,3,0),"")</f>
        <v>Grocery</v>
      </c>
      <c r="M1150" t="str">
        <f>IFERROR(VLOOKUP(E1150,Sales_Reps!A:E,3,0),"")</f>
        <v>East</v>
      </c>
      <c r="N1150" t="str">
        <f>IFERROR(VLOOKUP(C1150,Customers!A:F,5,0),"")</f>
        <v>Corporate</v>
      </c>
      <c r="O1150">
        <f>IFERROR(VLOOKUP(C1150,Customers!A:F,3,0),"")</f>
        <v>25</v>
      </c>
      <c r="P1150">
        <f>IFERROR(VLOOKUP(D1150,Products!A:F,4,0),"")</f>
        <v>2911</v>
      </c>
      <c r="Q1150" t="b">
        <f>IFERROR(VLOOKUP(D1150,Products!A:F,6,0),"")</f>
        <v>1</v>
      </c>
      <c r="R1150">
        <f t="shared" si="51"/>
        <v>0.28300492610837441</v>
      </c>
      <c r="S1150">
        <f t="shared" si="52"/>
        <v>1</v>
      </c>
      <c r="T1150">
        <f>IF(AND(S1150&gt;1,COUNTIF($A$2:A1150,A1150)=1),1,0)</f>
        <v>0</v>
      </c>
      <c r="U1150">
        <f>COUNTIF(Customers!$A$2:$A$301,C1150)</f>
        <v>1</v>
      </c>
      <c r="V1150">
        <f t="shared" si="53"/>
        <v>0</v>
      </c>
    </row>
    <row r="1151" spans="1:22" ht="14.25" customHeight="1" x14ac:dyDescent="0.35">
      <c r="A1151" s="10" t="s">
        <v>1601</v>
      </c>
      <c r="B1151" s="11">
        <v>45370</v>
      </c>
      <c r="C1151" s="10" t="s">
        <v>306</v>
      </c>
      <c r="D1151" s="10" t="s">
        <v>151</v>
      </c>
      <c r="E1151" s="10" t="s">
        <v>310</v>
      </c>
      <c r="F1151" s="12">
        <v>8</v>
      </c>
      <c r="G1151" s="12">
        <v>3570</v>
      </c>
      <c r="H1151" s="12">
        <v>10.8</v>
      </c>
      <c r="I1151" s="12">
        <v>25475.52</v>
      </c>
      <c r="J1151" s="10" t="s">
        <v>51</v>
      </c>
      <c r="K1151" s="10" t="s">
        <v>58</v>
      </c>
      <c r="L1151" t="str">
        <f>IFERROR(VLOOKUP(D1151,Products!A:F,3,0),"")</f>
        <v>Electronics</v>
      </c>
      <c r="M1151" t="str">
        <f>IFERROR(VLOOKUP(E1151,Sales_Reps!A:E,3,0),"")</f>
        <v>South</v>
      </c>
      <c r="N1151" t="str">
        <f>IFERROR(VLOOKUP(C1151,Customers!A:F,5,0),"")</f>
        <v>Retail</v>
      </c>
      <c r="O1151">
        <f>IFERROR(VLOOKUP(C1151,Customers!A:F,3,0),"")</f>
        <v>26</v>
      </c>
      <c r="P1151">
        <f>IFERROR(VLOOKUP(D1151,Products!A:F,4,0),"")</f>
        <v>1665</v>
      </c>
      <c r="Q1151" t="b">
        <f>IFERROR(VLOOKUP(D1151,Products!A:F,6,0),"")</f>
        <v>1</v>
      </c>
      <c r="R1151">
        <f t="shared" si="51"/>
        <v>0.53361344537815125</v>
      </c>
      <c r="S1151">
        <f t="shared" si="52"/>
        <v>1</v>
      </c>
      <c r="T1151">
        <f>IF(AND(S1151&gt;1,COUNTIF($A$2:A1151,A1151)=1),1,0)</f>
        <v>0</v>
      </c>
      <c r="U1151">
        <f>COUNTIF(Customers!$A$2:$A$301,C1151)</f>
        <v>1</v>
      </c>
      <c r="V1151">
        <f t="shared" si="53"/>
        <v>0</v>
      </c>
    </row>
    <row r="1152" spans="1:22" ht="14.25" customHeight="1" x14ac:dyDescent="0.35">
      <c r="A1152" s="10" t="s">
        <v>1602</v>
      </c>
      <c r="B1152" s="11">
        <v>45324</v>
      </c>
      <c r="C1152" s="10" t="s">
        <v>393</v>
      </c>
      <c r="D1152" s="10" t="s">
        <v>125</v>
      </c>
      <c r="E1152" s="10" t="s">
        <v>103</v>
      </c>
      <c r="F1152" s="12">
        <v>10</v>
      </c>
      <c r="G1152" s="12">
        <v>3450</v>
      </c>
      <c r="H1152" s="12">
        <v>13.5</v>
      </c>
      <c r="I1152" s="12">
        <v>29842.5</v>
      </c>
      <c r="J1152" s="10" t="s">
        <v>57</v>
      </c>
      <c r="K1152" s="10" t="s">
        <v>81</v>
      </c>
      <c r="L1152" t="str">
        <f>IFERROR(VLOOKUP(D1152,Products!A:F,3,0),"")</f>
        <v>Sports</v>
      </c>
      <c r="M1152" t="str">
        <f>IFERROR(VLOOKUP(E1152,Sales_Reps!A:E,3,0),"")</f>
        <v>North</v>
      </c>
      <c r="N1152" t="str">
        <f>IFERROR(VLOOKUP(C1152,Customers!A:F,5,0),"")</f>
        <v>Retail</v>
      </c>
      <c r="O1152">
        <f>IFERROR(VLOOKUP(C1152,Customers!A:F,3,0),"")</f>
        <v>55</v>
      </c>
      <c r="P1152">
        <f>IFERROR(VLOOKUP(D1152,Products!A:F,4,0),"")</f>
        <v>2467</v>
      </c>
      <c r="Q1152" t="b">
        <f>IFERROR(VLOOKUP(D1152,Products!A:F,6,0),"")</f>
        <v>1</v>
      </c>
      <c r="R1152">
        <f t="shared" si="51"/>
        <v>0.28492753623188405</v>
      </c>
      <c r="S1152">
        <f t="shared" si="52"/>
        <v>1</v>
      </c>
      <c r="T1152">
        <f>IF(AND(S1152&gt;1,COUNTIF($A$2:A1152,A1152)=1),1,0)</f>
        <v>0</v>
      </c>
      <c r="U1152">
        <f>COUNTIF(Customers!$A$2:$A$301,C1152)</f>
        <v>1</v>
      </c>
      <c r="V1152">
        <f t="shared" si="53"/>
        <v>0</v>
      </c>
    </row>
    <row r="1153" spans="1:22" ht="14.25" customHeight="1" x14ac:dyDescent="0.35">
      <c r="A1153" s="10" t="s">
        <v>1603</v>
      </c>
      <c r="B1153" s="11">
        <v>45469</v>
      </c>
      <c r="C1153" s="10" t="s">
        <v>384</v>
      </c>
      <c r="D1153" s="10" t="s">
        <v>99</v>
      </c>
      <c r="E1153" s="10" t="s">
        <v>50</v>
      </c>
      <c r="F1153" s="12">
        <v>10</v>
      </c>
      <c r="G1153" s="12">
        <v>2640</v>
      </c>
      <c r="H1153" s="12">
        <v>29.8</v>
      </c>
      <c r="I1153" s="12">
        <v>18532.8</v>
      </c>
      <c r="J1153" s="10" t="s">
        <v>51</v>
      </c>
      <c r="K1153" s="10" t="s">
        <v>63</v>
      </c>
      <c r="L1153" t="str">
        <f>IFERROR(VLOOKUP(D1153,Products!A:F,3,0),"")</f>
        <v>Electronics</v>
      </c>
      <c r="M1153" t="str">
        <f>IFERROR(VLOOKUP(E1153,Sales_Reps!A:E,3,0),"")</f>
        <v>North</v>
      </c>
      <c r="N1153" t="str">
        <f>IFERROR(VLOOKUP(C1153,Customers!A:F,5,0),"")</f>
        <v>Retail</v>
      </c>
      <c r="O1153">
        <f>IFERROR(VLOOKUP(C1153,Customers!A:F,3,0),"")</f>
        <v>44</v>
      </c>
      <c r="P1153">
        <f>IFERROR(VLOOKUP(D1153,Products!A:F,4,0),"")</f>
        <v>1149</v>
      </c>
      <c r="Q1153" t="b">
        <f>IFERROR(VLOOKUP(D1153,Products!A:F,6,0),"")</f>
        <v>1</v>
      </c>
      <c r="R1153">
        <f t="shared" si="51"/>
        <v>0.56477272727272732</v>
      </c>
      <c r="S1153">
        <f t="shared" si="52"/>
        <v>1</v>
      </c>
      <c r="T1153">
        <f>IF(AND(S1153&gt;1,COUNTIF($A$2:A1153,A1153)=1),1,0)</f>
        <v>0</v>
      </c>
      <c r="U1153">
        <f>COUNTIF(Customers!$A$2:$A$301,C1153)</f>
        <v>1</v>
      </c>
      <c r="V1153">
        <f t="shared" si="53"/>
        <v>0</v>
      </c>
    </row>
    <row r="1154" spans="1:22" ht="14.25" customHeight="1" x14ac:dyDescent="0.35">
      <c r="A1154" s="10" t="s">
        <v>1604</v>
      </c>
      <c r="B1154" s="11">
        <v>45619</v>
      </c>
      <c r="C1154" s="10" t="s">
        <v>218</v>
      </c>
      <c r="D1154" s="10" t="s">
        <v>74</v>
      </c>
      <c r="E1154" s="10" t="s">
        <v>168</v>
      </c>
      <c r="F1154" s="12">
        <v>3</v>
      </c>
      <c r="G1154" s="12">
        <v>370</v>
      </c>
      <c r="H1154" s="12">
        <v>25.5</v>
      </c>
      <c r="I1154" s="12">
        <v>826.95</v>
      </c>
      <c r="J1154" s="10" t="s">
        <v>51</v>
      </c>
      <c r="K1154" s="10" t="s">
        <v>58</v>
      </c>
      <c r="L1154" t="str">
        <f>IFERROR(VLOOKUP(D1154,Products!A:F,3,0),"")</f>
        <v>Home</v>
      </c>
      <c r="M1154" t="str">
        <f>IFERROR(VLOOKUP(E1154,Sales_Reps!A:E,3,0),"")</f>
        <v>South</v>
      </c>
      <c r="N1154" t="str">
        <f>IFERROR(VLOOKUP(C1154,Customers!A:F,5,0),"")</f>
        <v>Retail</v>
      </c>
      <c r="O1154">
        <f>IFERROR(VLOOKUP(C1154,Customers!A:F,3,0),"")</f>
        <v>24</v>
      </c>
      <c r="P1154">
        <f>IFERROR(VLOOKUP(D1154,Products!A:F,4,0),"")</f>
        <v>288</v>
      </c>
      <c r="Q1154" t="b">
        <f>IFERROR(VLOOKUP(D1154,Products!A:F,6,0),"")</f>
        <v>1</v>
      </c>
      <c r="R1154">
        <f t="shared" ref="R1154:R1217" si="54">IFERROR((G1154-P1154)/G1154,"")</f>
        <v>0.22162162162162163</v>
      </c>
      <c r="S1154">
        <f t="shared" ref="S1154:S1217" si="55">COUNTIF($A$2:$A$2001,A1154)</f>
        <v>1</v>
      </c>
      <c r="T1154">
        <f>IF(AND(S1154&gt;1,COUNTIF($A$2:A1154,A1154)=1),1,0)</f>
        <v>0</v>
      </c>
      <c r="U1154">
        <f>COUNTIF(Customers!$A$2:$A$301,C1154)</f>
        <v>1</v>
      </c>
      <c r="V1154">
        <f t="shared" ref="V1154:V1217" si="56">IF(AND(K1154="Bengaluru",L1154="Grocery"),I1154,0)</f>
        <v>0</v>
      </c>
    </row>
    <row r="1155" spans="1:22" ht="14.25" customHeight="1" x14ac:dyDescent="0.35">
      <c r="A1155" s="10" t="s">
        <v>1605</v>
      </c>
      <c r="B1155" s="11">
        <v>45627</v>
      </c>
      <c r="C1155" s="10" t="s">
        <v>468</v>
      </c>
      <c r="D1155" s="10" t="s">
        <v>231</v>
      </c>
      <c r="E1155" s="10" t="s">
        <v>134</v>
      </c>
      <c r="F1155" s="12">
        <v>3</v>
      </c>
      <c r="G1155" s="12">
        <v>1220</v>
      </c>
      <c r="H1155" s="12">
        <v>7.7</v>
      </c>
      <c r="I1155" s="12">
        <v>3378.18</v>
      </c>
      <c r="J1155" s="10" t="s">
        <v>57</v>
      </c>
      <c r="K1155" s="10" t="s">
        <v>81</v>
      </c>
      <c r="L1155" t="str">
        <f>IFERROR(VLOOKUP(D1155,Products!A:F,3,0),"")</f>
        <v>Electronics</v>
      </c>
      <c r="M1155" t="str">
        <f>IFERROR(VLOOKUP(E1155,Sales_Reps!A:E,3,0),"")</f>
        <v>West</v>
      </c>
      <c r="N1155" t="str">
        <f>IFERROR(VLOOKUP(C1155,Customers!A:F,5,0),"")</f>
        <v>Corporate</v>
      </c>
      <c r="O1155">
        <f>IFERROR(VLOOKUP(C1155,Customers!A:F,3,0),"")</f>
        <v>36</v>
      </c>
      <c r="P1155">
        <f>IFERROR(VLOOKUP(D1155,Products!A:F,4,0),"")</f>
        <v>517</v>
      </c>
      <c r="Q1155" t="b">
        <f>IFERROR(VLOOKUP(D1155,Products!A:F,6,0),"")</f>
        <v>1</v>
      </c>
      <c r="R1155">
        <f t="shared" si="54"/>
        <v>0.57622950819672136</v>
      </c>
      <c r="S1155">
        <f t="shared" si="55"/>
        <v>1</v>
      </c>
      <c r="T1155">
        <f>IF(AND(S1155&gt;1,COUNTIF($A$2:A1155,A1155)=1),1,0)</f>
        <v>0</v>
      </c>
      <c r="U1155">
        <f>COUNTIF(Customers!$A$2:$A$301,C1155)</f>
        <v>1</v>
      </c>
      <c r="V1155">
        <f t="shared" si="56"/>
        <v>0</v>
      </c>
    </row>
    <row r="1156" spans="1:22" ht="14.25" customHeight="1" x14ac:dyDescent="0.35">
      <c r="A1156" s="10" t="s">
        <v>1606</v>
      </c>
      <c r="B1156" s="11">
        <v>45499</v>
      </c>
      <c r="C1156" s="10" t="s">
        <v>421</v>
      </c>
      <c r="D1156" s="10" t="s">
        <v>99</v>
      </c>
      <c r="E1156" s="10" t="s">
        <v>249</v>
      </c>
      <c r="F1156" s="12">
        <v>1</v>
      </c>
      <c r="G1156" s="12">
        <v>2640</v>
      </c>
      <c r="H1156" s="12">
        <v>23.6</v>
      </c>
      <c r="I1156" s="12">
        <v>2016.96</v>
      </c>
      <c r="J1156" s="10" t="s">
        <v>51</v>
      </c>
      <c r="K1156" s="10" t="s">
        <v>52</v>
      </c>
      <c r="L1156" t="str">
        <f>IFERROR(VLOOKUP(D1156,Products!A:F,3,0),"")</f>
        <v>Electronics</v>
      </c>
      <c r="M1156" t="str">
        <f>IFERROR(VLOOKUP(E1156,Sales_Reps!A:E,3,0),"")</f>
        <v>East</v>
      </c>
      <c r="N1156" t="str">
        <f>IFERROR(VLOOKUP(C1156,Customers!A:F,5,0),"")</f>
        <v>Retail</v>
      </c>
      <c r="O1156">
        <f>IFERROR(VLOOKUP(C1156,Customers!A:F,3,0),"")</f>
        <v>29</v>
      </c>
      <c r="P1156">
        <f>IFERROR(VLOOKUP(D1156,Products!A:F,4,0),"")</f>
        <v>1149</v>
      </c>
      <c r="Q1156" t="b">
        <f>IFERROR(VLOOKUP(D1156,Products!A:F,6,0),"")</f>
        <v>1</v>
      </c>
      <c r="R1156">
        <f t="shared" si="54"/>
        <v>0.56477272727272732</v>
      </c>
      <c r="S1156">
        <f t="shared" si="55"/>
        <v>1</v>
      </c>
      <c r="T1156">
        <f>IF(AND(S1156&gt;1,COUNTIF($A$2:A1156,A1156)=1),1,0)</f>
        <v>0</v>
      </c>
      <c r="U1156">
        <f>COUNTIF(Customers!$A$2:$A$301,C1156)</f>
        <v>1</v>
      </c>
      <c r="V1156">
        <f t="shared" si="56"/>
        <v>0</v>
      </c>
    </row>
    <row r="1157" spans="1:22" ht="14.25" customHeight="1" x14ac:dyDescent="0.35">
      <c r="A1157" s="10" t="s">
        <v>1607</v>
      </c>
      <c r="B1157" s="11">
        <v>45563</v>
      </c>
      <c r="C1157" s="10" t="s">
        <v>73</v>
      </c>
      <c r="D1157" s="10" t="s">
        <v>155</v>
      </c>
      <c r="E1157" s="10" t="s">
        <v>237</v>
      </c>
      <c r="F1157" s="12">
        <v>9</v>
      </c>
      <c r="G1157" s="12">
        <v>5100</v>
      </c>
      <c r="H1157" s="12">
        <v>9.5</v>
      </c>
      <c r="I1157" s="12">
        <v>41539.5</v>
      </c>
      <c r="J1157" s="10" t="s">
        <v>51</v>
      </c>
      <c r="K1157" s="10" t="s">
        <v>76</v>
      </c>
      <c r="L1157" t="str">
        <f>IFERROR(VLOOKUP(D1157,Products!A:F,3,0),"")</f>
        <v>Beauty</v>
      </c>
      <c r="M1157" t="str">
        <f>IFERROR(VLOOKUP(E1157,Sales_Reps!A:E,3,0),"")</f>
        <v>South</v>
      </c>
      <c r="N1157" t="str">
        <f>IFERROR(VLOOKUP(C1157,Customers!A:F,5,0),"")</f>
        <v>Retail</v>
      </c>
      <c r="O1157">
        <f>IFERROR(VLOOKUP(C1157,Customers!A:F,3,0),"")</f>
        <v>36</v>
      </c>
      <c r="P1157">
        <f>IFERROR(VLOOKUP(D1157,Products!A:F,4,0),"")</f>
        <v>2237</v>
      </c>
      <c r="Q1157" t="b">
        <f>IFERROR(VLOOKUP(D1157,Products!A:F,6,0),"")</f>
        <v>1</v>
      </c>
      <c r="R1157">
        <f t="shared" si="54"/>
        <v>0.56137254901960787</v>
      </c>
      <c r="S1157">
        <f t="shared" si="55"/>
        <v>1</v>
      </c>
      <c r="T1157">
        <f>IF(AND(S1157&gt;1,COUNTIF($A$2:A1157,A1157)=1),1,0)</f>
        <v>0</v>
      </c>
      <c r="U1157">
        <f>COUNTIF(Customers!$A$2:$A$301,C1157)</f>
        <v>1</v>
      </c>
      <c r="V1157">
        <f t="shared" si="56"/>
        <v>0</v>
      </c>
    </row>
    <row r="1158" spans="1:22" ht="14.25" customHeight="1" x14ac:dyDescent="0.35">
      <c r="A1158" s="10" t="s">
        <v>1608</v>
      </c>
      <c r="B1158" s="11">
        <v>45435</v>
      </c>
      <c r="C1158" s="10" t="s">
        <v>728</v>
      </c>
      <c r="D1158" s="10" t="s">
        <v>205</v>
      </c>
      <c r="E1158" s="10" t="s">
        <v>71</v>
      </c>
      <c r="F1158" s="12">
        <v>7</v>
      </c>
      <c r="G1158" s="12">
        <v>6080</v>
      </c>
      <c r="H1158" s="12">
        <v>17.5</v>
      </c>
      <c r="I1158" s="12">
        <v>35112</v>
      </c>
      <c r="J1158" s="10" t="s">
        <v>51</v>
      </c>
      <c r="K1158" s="10" t="s">
        <v>58</v>
      </c>
      <c r="L1158" t="str">
        <f>IFERROR(VLOOKUP(D1158,Products!A:F,3,0),"")</f>
        <v>Beauty</v>
      </c>
      <c r="M1158" t="str">
        <f>IFERROR(VLOOKUP(E1158,Sales_Reps!A:E,3,0),"")</f>
        <v>North</v>
      </c>
      <c r="N1158" t="str">
        <f>IFERROR(VLOOKUP(C1158,Customers!A:F,5,0),"")</f>
        <v>SMB</v>
      </c>
      <c r="O1158">
        <f>IFERROR(VLOOKUP(C1158,Customers!A:F,3,0),"")</f>
        <v>26</v>
      </c>
      <c r="P1158">
        <f>IFERROR(VLOOKUP(D1158,Products!A:F,4,0),"")</f>
        <v>2617</v>
      </c>
      <c r="Q1158" t="b">
        <f>IFERROR(VLOOKUP(D1158,Products!A:F,6,0),"")</f>
        <v>1</v>
      </c>
      <c r="R1158">
        <f t="shared" si="54"/>
        <v>0.56957236842105263</v>
      </c>
      <c r="S1158">
        <f t="shared" si="55"/>
        <v>1</v>
      </c>
      <c r="T1158">
        <f>IF(AND(S1158&gt;1,COUNTIF($A$2:A1158,A1158)=1),1,0)</f>
        <v>0</v>
      </c>
      <c r="U1158">
        <f>COUNTIF(Customers!$A$2:$A$301,C1158)</f>
        <v>1</v>
      </c>
      <c r="V1158">
        <f t="shared" si="56"/>
        <v>0</v>
      </c>
    </row>
    <row r="1159" spans="1:22" ht="14.25" customHeight="1" x14ac:dyDescent="0.35">
      <c r="A1159" s="10" t="s">
        <v>1609</v>
      </c>
      <c r="B1159" s="11">
        <v>45602</v>
      </c>
      <c r="C1159" s="10" t="s">
        <v>451</v>
      </c>
      <c r="D1159" s="10" t="s">
        <v>246</v>
      </c>
      <c r="E1159" s="10" t="s">
        <v>165</v>
      </c>
      <c r="F1159" s="12">
        <v>1</v>
      </c>
      <c r="G1159" s="12">
        <v>300</v>
      </c>
      <c r="H1159" s="12">
        <v>26.9</v>
      </c>
      <c r="I1159" s="12">
        <v>219.3</v>
      </c>
      <c r="J1159" s="10" t="s">
        <v>51</v>
      </c>
      <c r="K1159" s="10" t="s">
        <v>52</v>
      </c>
      <c r="L1159" t="str">
        <f>IFERROR(VLOOKUP(D1159,Products!A:F,3,0),"")</f>
        <v>Electronics</v>
      </c>
      <c r="M1159" t="str">
        <f>IFERROR(VLOOKUP(E1159,Sales_Reps!A:E,3,0),"")</f>
        <v>West</v>
      </c>
      <c r="N1159" t="str">
        <f>IFERROR(VLOOKUP(C1159,Customers!A:F,5,0),"")</f>
        <v>Corporate</v>
      </c>
      <c r="O1159">
        <f>IFERROR(VLOOKUP(C1159,Customers!A:F,3,0),"")</f>
        <v>29</v>
      </c>
      <c r="P1159">
        <f>IFERROR(VLOOKUP(D1159,Products!A:F,4,0),"")</f>
        <v>128</v>
      </c>
      <c r="Q1159" t="b">
        <f>IFERROR(VLOOKUP(D1159,Products!A:F,6,0),"")</f>
        <v>1</v>
      </c>
      <c r="R1159">
        <f t="shared" si="54"/>
        <v>0.57333333333333336</v>
      </c>
      <c r="S1159">
        <f t="shared" si="55"/>
        <v>1</v>
      </c>
      <c r="T1159">
        <f>IF(AND(S1159&gt;1,COUNTIF($A$2:A1159,A1159)=1),1,0)</f>
        <v>0</v>
      </c>
      <c r="U1159">
        <f>COUNTIF(Customers!$A$2:$A$301,C1159)</f>
        <v>1</v>
      </c>
      <c r="V1159">
        <f t="shared" si="56"/>
        <v>0</v>
      </c>
    </row>
    <row r="1160" spans="1:22" ht="14.25" customHeight="1" x14ac:dyDescent="0.35">
      <c r="A1160" s="10" t="s">
        <v>1610</v>
      </c>
      <c r="B1160" s="11">
        <v>45650</v>
      </c>
      <c r="C1160" s="10" t="s">
        <v>352</v>
      </c>
      <c r="D1160" s="10" t="s">
        <v>240</v>
      </c>
      <c r="E1160" s="10" t="s">
        <v>156</v>
      </c>
      <c r="F1160" s="12">
        <v>6</v>
      </c>
      <c r="G1160" s="12">
        <v>3020</v>
      </c>
      <c r="H1160" s="12">
        <v>28.5</v>
      </c>
      <c r="I1160" s="12">
        <v>12955.8</v>
      </c>
      <c r="J1160" s="10" t="s">
        <v>51</v>
      </c>
      <c r="K1160" s="10" t="s">
        <v>97</v>
      </c>
      <c r="L1160" t="str">
        <f>IFERROR(VLOOKUP(D1160,Products!A:F,3,0),"")</f>
        <v>Beauty</v>
      </c>
      <c r="M1160" t="str">
        <f>IFERROR(VLOOKUP(E1160,Sales_Reps!A:E,3,0),"")</f>
        <v>East</v>
      </c>
      <c r="N1160" t="str">
        <f>IFERROR(VLOOKUP(C1160,Customers!A:F,5,0),"")</f>
        <v>Retail</v>
      </c>
      <c r="O1160">
        <f>IFERROR(VLOOKUP(C1160,Customers!A:F,3,0),"")</f>
        <v>44</v>
      </c>
      <c r="P1160">
        <f>IFERROR(VLOOKUP(D1160,Products!A:F,4,0),"")</f>
        <v>1626</v>
      </c>
      <c r="Q1160" t="b">
        <f>IFERROR(VLOOKUP(D1160,Products!A:F,6,0),"")</f>
        <v>1</v>
      </c>
      <c r="R1160">
        <f t="shared" si="54"/>
        <v>0.46158940397350995</v>
      </c>
      <c r="S1160">
        <f t="shared" si="55"/>
        <v>1</v>
      </c>
      <c r="T1160">
        <f>IF(AND(S1160&gt;1,COUNTIF($A$2:A1160,A1160)=1),1,0)</f>
        <v>0</v>
      </c>
      <c r="U1160">
        <f>COUNTIF(Customers!$A$2:$A$301,C1160)</f>
        <v>1</v>
      </c>
      <c r="V1160">
        <f t="shared" si="56"/>
        <v>0</v>
      </c>
    </row>
    <row r="1161" spans="1:22" ht="14.25" customHeight="1" x14ac:dyDescent="0.35">
      <c r="A1161" s="10" t="s">
        <v>1611</v>
      </c>
      <c r="B1161" s="11">
        <v>45294</v>
      </c>
      <c r="C1161" s="10" t="s">
        <v>183</v>
      </c>
      <c r="D1161" s="10" t="s">
        <v>246</v>
      </c>
      <c r="E1161" s="10" t="s">
        <v>267</v>
      </c>
      <c r="F1161" s="12">
        <v>8</v>
      </c>
      <c r="G1161" s="12">
        <v>300</v>
      </c>
      <c r="H1161" s="12">
        <v>1.2</v>
      </c>
      <c r="I1161" s="12">
        <v>2371.1999999999998</v>
      </c>
      <c r="J1161" s="10" t="s">
        <v>51</v>
      </c>
      <c r="K1161" s="10" t="s">
        <v>63</v>
      </c>
      <c r="L1161" t="str">
        <f>IFERROR(VLOOKUP(D1161,Products!A:F,3,0),"")</f>
        <v>Electronics</v>
      </c>
      <c r="M1161" t="str">
        <f>IFERROR(VLOOKUP(E1161,Sales_Reps!A:E,3,0),"")</f>
        <v>East</v>
      </c>
      <c r="N1161" t="str">
        <f>IFERROR(VLOOKUP(C1161,Customers!A:F,5,0),"")</f>
        <v>SMB</v>
      </c>
      <c r="O1161">
        <f>IFERROR(VLOOKUP(C1161,Customers!A:F,3,0),"")</f>
        <v>50</v>
      </c>
      <c r="P1161">
        <f>IFERROR(VLOOKUP(D1161,Products!A:F,4,0),"")</f>
        <v>128</v>
      </c>
      <c r="Q1161" t="b">
        <f>IFERROR(VLOOKUP(D1161,Products!A:F,6,0),"")</f>
        <v>1</v>
      </c>
      <c r="R1161">
        <f t="shared" si="54"/>
        <v>0.57333333333333336</v>
      </c>
      <c r="S1161">
        <f t="shared" si="55"/>
        <v>1</v>
      </c>
      <c r="T1161">
        <f>IF(AND(S1161&gt;1,COUNTIF($A$2:A1161,A1161)=1),1,0)</f>
        <v>0</v>
      </c>
      <c r="U1161">
        <f>COUNTIF(Customers!$A$2:$A$301,C1161)</f>
        <v>1</v>
      </c>
      <c r="V1161">
        <f t="shared" si="56"/>
        <v>0</v>
      </c>
    </row>
    <row r="1162" spans="1:22" ht="14.25" customHeight="1" x14ac:dyDescent="0.35">
      <c r="A1162" s="10" t="s">
        <v>1612</v>
      </c>
      <c r="B1162" s="11">
        <v>45523</v>
      </c>
      <c r="C1162" s="10" t="s">
        <v>801</v>
      </c>
      <c r="D1162" s="10" t="s">
        <v>143</v>
      </c>
      <c r="E1162" s="10" t="s">
        <v>237</v>
      </c>
      <c r="F1162" s="12">
        <v>9</v>
      </c>
      <c r="G1162" s="12">
        <v>3350</v>
      </c>
      <c r="H1162" s="12">
        <v>0.6</v>
      </c>
      <c r="I1162" s="12">
        <v>29969.1</v>
      </c>
      <c r="J1162" s="10" t="s">
        <v>108</v>
      </c>
      <c r="K1162" s="10" t="s">
        <v>81</v>
      </c>
      <c r="L1162" t="str">
        <f>IFERROR(VLOOKUP(D1162,Products!A:F,3,0),"")</f>
        <v>Beauty</v>
      </c>
      <c r="M1162" t="str">
        <f>IFERROR(VLOOKUP(E1162,Sales_Reps!A:E,3,0),"")</f>
        <v>South</v>
      </c>
      <c r="N1162" t="str">
        <f>IFERROR(VLOOKUP(C1162,Customers!A:F,5,0),"")</f>
        <v>Retail</v>
      </c>
      <c r="O1162">
        <f>IFERROR(VLOOKUP(C1162,Customers!A:F,3,0),"")</f>
        <v>37</v>
      </c>
      <c r="P1162">
        <f>IFERROR(VLOOKUP(D1162,Products!A:F,4,0),"")</f>
        <v>1728</v>
      </c>
      <c r="Q1162" t="b">
        <f>IFERROR(VLOOKUP(D1162,Products!A:F,6,0),"")</f>
        <v>1</v>
      </c>
      <c r="R1162">
        <f t="shared" si="54"/>
        <v>0.48417910447761192</v>
      </c>
      <c r="S1162">
        <f t="shared" si="55"/>
        <v>1</v>
      </c>
      <c r="T1162">
        <f>IF(AND(S1162&gt;1,COUNTIF($A$2:A1162,A1162)=1),1,0)</f>
        <v>0</v>
      </c>
      <c r="U1162">
        <f>COUNTIF(Customers!$A$2:$A$301,C1162)</f>
        <v>1</v>
      </c>
      <c r="V1162">
        <f t="shared" si="56"/>
        <v>0</v>
      </c>
    </row>
    <row r="1163" spans="1:22" ht="14.25" customHeight="1" x14ac:dyDescent="0.35">
      <c r="A1163" s="10" t="s">
        <v>1613</v>
      </c>
      <c r="B1163" s="11">
        <v>45479</v>
      </c>
      <c r="C1163" s="10" t="s">
        <v>967</v>
      </c>
      <c r="D1163" s="10" t="s">
        <v>228</v>
      </c>
      <c r="E1163" s="10" t="s">
        <v>80</v>
      </c>
      <c r="F1163" s="12">
        <v>4</v>
      </c>
      <c r="G1163" s="12">
        <v>4070</v>
      </c>
      <c r="H1163" s="12">
        <v>10.1</v>
      </c>
      <c r="I1163" s="12">
        <v>14635.72</v>
      </c>
      <c r="J1163" s="10" t="s">
        <v>51</v>
      </c>
      <c r="K1163" s="10" t="s">
        <v>63</v>
      </c>
      <c r="L1163" t="str">
        <f>IFERROR(VLOOKUP(D1163,Products!A:F,3,0),"")</f>
        <v>Grocery</v>
      </c>
      <c r="M1163" t="str">
        <f>IFERROR(VLOOKUP(E1163,Sales_Reps!A:E,3,0),"")</f>
        <v>West</v>
      </c>
      <c r="N1163" t="str">
        <f>IFERROR(VLOOKUP(C1163,Customers!A:F,5,0),"")</f>
        <v>SMB</v>
      </c>
      <c r="O1163">
        <f>IFERROR(VLOOKUP(C1163,Customers!A:F,3,0),"")</f>
        <v>45</v>
      </c>
      <c r="P1163">
        <f>IFERROR(VLOOKUP(D1163,Products!A:F,4,0),"")</f>
        <v>2027</v>
      </c>
      <c r="Q1163" t="b">
        <f>IFERROR(VLOOKUP(D1163,Products!A:F,6,0),"")</f>
        <v>1</v>
      </c>
      <c r="R1163">
        <f t="shared" si="54"/>
        <v>0.50196560196560192</v>
      </c>
      <c r="S1163">
        <f t="shared" si="55"/>
        <v>1</v>
      </c>
      <c r="T1163">
        <f>IF(AND(S1163&gt;1,COUNTIF($A$2:A1163,A1163)=1),1,0)</f>
        <v>0</v>
      </c>
      <c r="U1163">
        <f>COUNTIF(Customers!$A$2:$A$301,C1163)</f>
        <v>1</v>
      </c>
      <c r="V1163">
        <f t="shared" si="56"/>
        <v>0</v>
      </c>
    </row>
    <row r="1164" spans="1:22" ht="14.25" customHeight="1" x14ac:dyDescent="0.35">
      <c r="A1164" s="10" t="s">
        <v>1614</v>
      </c>
      <c r="B1164" s="11">
        <v>45614</v>
      </c>
      <c r="C1164" s="10" t="s">
        <v>1272</v>
      </c>
      <c r="D1164" s="10" t="s">
        <v>425</v>
      </c>
      <c r="E1164" s="10" t="s">
        <v>80</v>
      </c>
      <c r="F1164" s="12">
        <v>9</v>
      </c>
      <c r="G1164" s="12">
        <v>3780</v>
      </c>
      <c r="H1164" s="12">
        <v>27.8</v>
      </c>
      <c r="I1164" s="12">
        <v>24562.44</v>
      </c>
      <c r="J1164" s="10" t="s">
        <v>104</v>
      </c>
      <c r="K1164" s="10" t="s">
        <v>58</v>
      </c>
      <c r="L1164" t="str">
        <f>IFERROR(VLOOKUP(D1164,Products!A:F,3,0),"")</f>
        <v>Sports</v>
      </c>
      <c r="M1164" t="str">
        <f>IFERROR(VLOOKUP(E1164,Sales_Reps!A:E,3,0),"")</f>
        <v>West</v>
      </c>
      <c r="N1164" t="str">
        <f>IFERROR(VLOOKUP(C1164,Customers!A:F,5,0),"")</f>
        <v>SMB</v>
      </c>
      <c r="O1164">
        <f>IFERROR(VLOOKUP(C1164,Customers!A:F,3,0),"")</f>
        <v>51</v>
      </c>
      <c r="P1164">
        <f>IFERROR(VLOOKUP(D1164,Products!A:F,4,0),"")</f>
        <v>1860</v>
      </c>
      <c r="Q1164" t="b">
        <f>IFERROR(VLOOKUP(D1164,Products!A:F,6,0),"")</f>
        <v>1</v>
      </c>
      <c r="R1164">
        <f t="shared" si="54"/>
        <v>0.50793650793650791</v>
      </c>
      <c r="S1164">
        <f t="shared" si="55"/>
        <v>1</v>
      </c>
      <c r="T1164">
        <f>IF(AND(S1164&gt;1,COUNTIF($A$2:A1164,A1164)=1),1,0)</f>
        <v>0</v>
      </c>
      <c r="U1164">
        <f>COUNTIF(Customers!$A$2:$A$301,C1164)</f>
        <v>1</v>
      </c>
      <c r="V1164">
        <f t="shared" si="56"/>
        <v>0</v>
      </c>
    </row>
    <row r="1165" spans="1:22" ht="14.25" customHeight="1" x14ac:dyDescent="0.35">
      <c r="A1165" s="10" t="s">
        <v>1615</v>
      </c>
      <c r="B1165" s="11">
        <v>45407</v>
      </c>
      <c r="C1165" s="10" t="s">
        <v>158</v>
      </c>
      <c r="D1165" s="10" t="s">
        <v>128</v>
      </c>
      <c r="E1165" s="10" t="s">
        <v>134</v>
      </c>
      <c r="F1165" s="12">
        <v>6</v>
      </c>
      <c r="G1165" s="12">
        <v>1080</v>
      </c>
      <c r="H1165" s="12">
        <v>17.5</v>
      </c>
      <c r="I1165" s="12">
        <v>5346</v>
      </c>
      <c r="J1165" s="10" t="s">
        <v>51</v>
      </c>
      <c r="K1165" s="10" t="s">
        <v>52</v>
      </c>
      <c r="L1165" t="str">
        <f>IFERROR(VLOOKUP(D1165,Products!A:F,3,0),"")</f>
        <v>Home</v>
      </c>
      <c r="M1165" t="str">
        <f>IFERROR(VLOOKUP(E1165,Sales_Reps!A:E,3,0),"")</f>
        <v>West</v>
      </c>
      <c r="N1165" t="str">
        <f>IFERROR(VLOOKUP(C1165,Customers!A:F,5,0),"")</f>
        <v>SMB</v>
      </c>
      <c r="O1165">
        <f>IFERROR(VLOOKUP(C1165,Customers!A:F,3,0),"")</f>
        <v>44</v>
      </c>
      <c r="P1165">
        <f>IFERROR(VLOOKUP(D1165,Products!A:F,4,0),"")</f>
        <v>519</v>
      </c>
      <c r="Q1165" t="b">
        <f>IFERROR(VLOOKUP(D1165,Products!A:F,6,0),"")</f>
        <v>1</v>
      </c>
      <c r="R1165">
        <f t="shared" si="54"/>
        <v>0.51944444444444449</v>
      </c>
      <c r="S1165">
        <f t="shared" si="55"/>
        <v>1</v>
      </c>
      <c r="T1165">
        <f>IF(AND(S1165&gt;1,COUNTIF($A$2:A1165,A1165)=1),1,0)</f>
        <v>0</v>
      </c>
      <c r="U1165">
        <f>COUNTIF(Customers!$A$2:$A$301,C1165)</f>
        <v>1</v>
      </c>
      <c r="V1165">
        <f t="shared" si="56"/>
        <v>0</v>
      </c>
    </row>
    <row r="1166" spans="1:22" ht="14.25" customHeight="1" x14ac:dyDescent="0.35">
      <c r="A1166" s="10" t="s">
        <v>1616</v>
      </c>
      <c r="B1166" s="11">
        <v>45603</v>
      </c>
      <c r="C1166" s="10" t="s">
        <v>393</v>
      </c>
      <c r="D1166" s="10" t="s">
        <v>102</v>
      </c>
      <c r="E1166" s="10" t="s">
        <v>118</v>
      </c>
      <c r="F1166" s="12">
        <v>3</v>
      </c>
      <c r="G1166" s="12">
        <v>2600</v>
      </c>
      <c r="H1166" s="12">
        <v>1.9</v>
      </c>
      <c r="I1166" s="12">
        <v>7651.8</v>
      </c>
      <c r="J1166" s="10" t="s">
        <v>51</v>
      </c>
      <c r="K1166" s="10" t="s">
        <v>81</v>
      </c>
      <c r="L1166" t="str">
        <f>IFERROR(VLOOKUP(D1166,Products!A:F,3,0),"")</f>
        <v>Electronics</v>
      </c>
      <c r="M1166" t="str">
        <f>IFERROR(VLOOKUP(E1166,Sales_Reps!A:E,3,0),"")</f>
        <v>East</v>
      </c>
      <c r="N1166" t="str">
        <f>IFERROR(VLOOKUP(C1166,Customers!A:F,5,0),"")</f>
        <v>Retail</v>
      </c>
      <c r="O1166">
        <f>IFERROR(VLOOKUP(C1166,Customers!A:F,3,0),"")</f>
        <v>55</v>
      </c>
      <c r="P1166">
        <f>IFERROR(VLOOKUP(D1166,Products!A:F,4,0),"")</f>
        <v>1052</v>
      </c>
      <c r="Q1166" t="b">
        <f>IFERROR(VLOOKUP(D1166,Products!A:F,6,0),"")</f>
        <v>1</v>
      </c>
      <c r="R1166">
        <f t="shared" si="54"/>
        <v>0.5953846153846154</v>
      </c>
      <c r="S1166">
        <f t="shared" si="55"/>
        <v>1</v>
      </c>
      <c r="T1166">
        <f>IF(AND(S1166&gt;1,COUNTIF($A$2:A1166,A1166)=1),1,0)</f>
        <v>0</v>
      </c>
      <c r="U1166">
        <f>COUNTIF(Customers!$A$2:$A$301,C1166)</f>
        <v>1</v>
      </c>
      <c r="V1166">
        <f t="shared" si="56"/>
        <v>0</v>
      </c>
    </row>
    <row r="1167" spans="1:22" ht="14.25" customHeight="1" x14ac:dyDescent="0.35">
      <c r="A1167" s="10" t="s">
        <v>1617</v>
      </c>
      <c r="B1167" s="11">
        <v>45375</v>
      </c>
      <c r="C1167" s="10" t="s">
        <v>761</v>
      </c>
      <c r="D1167" s="10" t="s">
        <v>137</v>
      </c>
      <c r="E1167" s="10" t="s">
        <v>71</v>
      </c>
      <c r="F1167" s="12">
        <v>5</v>
      </c>
      <c r="G1167" s="12">
        <v>2720</v>
      </c>
      <c r="H1167" s="12">
        <v>1.8</v>
      </c>
      <c r="I1167" s="12">
        <v>13355.2</v>
      </c>
      <c r="J1167" s="10" t="s">
        <v>104</v>
      </c>
      <c r="K1167" s="10" t="s">
        <v>63</v>
      </c>
      <c r="L1167" t="str">
        <f>IFERROR(VLOOKUP(D1167,Products!A:F,3,0),"")</f>
        <v>Apparel</v>
      </c>
      <c r="M1167" t="str">
        <f>IFERROR(VLOOKUP(E1167,Sales_Reps!A:E,3,0),"")</f>
        <v>North</v>
      </c>
      <c r="N1167" t="str">
        <f>IFERROR(VLOOKUP(C1167,Customers!A:F,5,0),"")</f>
        <v>Retail</v>
      </c>
      <c r="O1167">
        <f>IFERROR(VLOOKUP(C1167,Customers!A:F,3,0),"")</f>
        <v>63</v>
      </c>
      <c r="P1167">
        <f>IFERROR(VLOOKUP(D1167,Products!A:F,4,0),"")</f>
        <v>1962</v>
      </c>
      <c r="Q1167" t="b">
        <f>IFERROR(VLOOKUP(D1167,Products!A:F,6,0),"")</f>
        <v>1</v>
      </c>
      <c r="R1167">
        <f t="shared" si="54"/>
        <v>0.2786764705882353</v>
      </c>
      <c r="S1167">
        <f t="shared" si="55"/>
        <v>1</v>
      </c>
      <c r="T1167">
        <f>IF(AND(S1167&gt;1,COUNTIF($A$2:A1167,A1167)=1),1,0)</f>
        <v>0</v>
      </c>
      <c r="U1167">
        <f>COUNTIF(Customers!$A$2:$A$301,C1167)</f>
        <v>1</v>
      </c>
      <c r="V1167">
        <f t="shared" si="56"/>
        <v>0</v>
      </c>
    </row>
    <row r="1168" spans="1:22" ht="14.25" customHeight="1" x14ac:dyDescent="0.35">
      <c r="A1168" s="10" t="s">
        <v>1618</v>
      </c>
      <c r="B1168" s="11">
        <v>45485</v>
      </c>
      <c r="C1168" s="10" t="s">
        <v>342</v>
      </c>
      <c r="D1168" s="10" t="s">
        <v>66</v>
      </c>
      <c r="E1168" s="10" t="s">
        <v>289</v>
      </c>
      <c r="F1168" s="12">
        <v>8</v>
      </c>
      <c r="G1168" s="12">
        <v>3660</v>
      </c>
      <c r="H1168" s="12">
        <v>29.5</v>
      </c>
      <c r="I1168" s="12">
        <v>20642.400000000001</v>
      </c>
      <c r="J1168" s="10" t="s">
        <v>51</v>
      </c>
      <c r="K1168" s="10" t="s">
        <v>58</v>
      </c>
      <c r="L1168" t="str">
        <f>IFERROR(VLOOKUP(D1168,Products!A:F,3,0),"")</f>
        <v>Grocery</v>
      </c>
      <c r="M1168" t="str">
        <f>IFERROR(VLOOKUP(E1168,Sales_Reps!A:E,3,0),"")</f>
        <v>South</v>
      </c>
      <c r="N1168" t="str">
        <f>IFERROR(VLOOKUP(C1168,Customers!A:F,5,0),"")</f>
        <v>SMB</v>
      </c>
      <c r="O1168">
        <f>IFERROR(VLOOKUP(C1168,Customers!A:F,3,0),"")</f>
        <v>53</v>
      </c>
      <c r="P1168">
        <f>IFERROR(VLOOKUP(D1168,Products!A:F,4,0),"")</f>
        <v>2214</v>
      </c>
      <c r="Q1168" t="b">
        <f>IFERROR(VLOOKUP(D1168,Products!A:F,6,0),"")</f>
        <v>0</v>
      </c>
      <c r="R1168">
        <f t="shared" si="54"/>
        <v>0.39508196721311473</v>
      </c>
      <c r="S1168">
        <f t="shared" si="55"/>
        <v>1</v>
      </c>
      <c r="T1168">
        <f>IF(AND(S1168&gt;1,COUNTIF($A$2:A1168,A1168)=1),1,0)</f>
        <v>0</v>
      </c>
      <c r="U1168">
        <f>COUNTIF(Customers!$A$2:$A$301,C1168)</f>
        <v>1</v>
      </c>
      <c r="V1168">
        <f t="shared" si="56"/>
        <v>0</v>
      </c>
    </row>
    <row r="1169" spans="1:22" ht="14.25" customHeight="1" x14ac:dyDescent="0.35">
      <c r="A1169" s="10" t="s">
        <v>1619</v>
      </c>
      <c r="B1169" s="11">
        <v>45567</v>
      </c>
      <c r="C1169" s="10" t="s">
        <v>349</v>
      </c>
      <c r="D1169" s="10" t="s">
        <v>140</v>
      </c>
      <c r="E1169" s="10" t="s">
        <v>56</v>
      </c>
      <c r="F1169" s="12">
        <v>9</v>
      </c>
      <c r="G1169" s="12">
        <v>1650</v>
      </c>
      <c r="H1169" s="12">
        <v>19.8</v>
      </c>
      <c r="I1169" s="12">
        <v>11909.7</v>
      </c>
      <c r="J1169" s="10" t="s">
        <v>108</v>
      </c>
      <c r="K1169" s="10" t="s">
        <v>81</v>
      </c>
      <c r="L1169" t="str">
        <f>IFERROR(VLOOKUP(D1169,Products!A:F,3,0),"")</f>
        <v>Beauty</v>
      </c>
      <c r="M1169" t="str">
        <f>IFERROR(VLOOKUP(E1169,Sales_Reps!A:E,3,0),"")</f>
        <v>North</v>
      </c>
      <c r="N1169" t="str">
        <f>IFERROR(VLOOKUP(C1169,Customers!A:F,5,0),"")</f>
        <v>Retail</v>
      </c>
      <c r="O1169">
        <f>IFERROR(VLOOKUP(C1169,Customers!A:F,3,0),"")</f>
        <v>23</v>
      </c>
      <c r="P1169">
        <f>IFERROR(VLOOKUP(D1169,Products!A:F,4,0),"")</f>
        <v>1222</v>
      </c>
      <c r="Q1169" t="b">
        <f>IFERROR(VLOOKUP(D1169,Products!A:F,6,0),"")</f>
        <v>1</v>
      </c>
      <c r="R1169">
        <f t="shared" si="54"/>
        <v>0.2593939393939394</v>
      </c>
      <c r="S1169">
        <f t="shared" si="55"/>
        <v>1</v>
      </c>
      <c r="T1169">
        <f>IF(AND(S1169&gt;1,COUNTIF($A$2:A1169,A1169)=1),1,0)</f>
        <v>0</v>
      </c>
      <c r="U1169">
        <f>COUNTIF(Customers!$A$2:$A$301,C1169)</f>
        <v>1</v>
      </c>
      <c r="V1169">
        <f t="shared" si="56"/>
        <v>0</v>
      </c>
    </row>
    <row r="1170" spans="1:22" ht="14.25" customHeight="1" x14ac:dyDescent="0.35">
      <c r="A1170" s="10" t="s">
        <v>1620</v>
      </c>
      <c r="B1170" s="11">
        <v>45502</v>
      </c>
      <c r="C1170" s="10" t="s">
        <v>297</v>
      </c>
      <c r="D1170" s="10" t="s">
        <v>159</v>
      </c>
      <c r="E1170" s="10" t="s">
        <v>85</v>
      </c>
      <c r="F1170" s="12">
        <v>3</v>
      </c>
      <c r="G1170" s="12">
        <v>2860</v>
      </c>
      <c r="H1170" s="12">
        <v>22.7</v>
      </c>
      <c r="I1170" s="12">
        <v>6632.34</v>
      </c>
      <c r="J1170" s="10" t="s">
        <v>51</v>
      </c>
      <c r="K1170" s="10" t="s">
        <v>97</v>
      </c>
      <c r="L1170" t="str">
        <f>IFERROR(VLOOKUP(D1170,Products!A:F,3,0),"")</f>
        <v>Sports</v>
      </c>
      <c r="M1170" t="str">
        <f>IFERROR(VLOOKUP(E1170,Sales_Reps!A:E,3,0),"")</f>
        <v>East</v>
      </c>
      <c r="N1170" t="str">
        <f>IFERROR(VLOOKUP(C1170,Customers!A:F,5,0),"")</f>
        <v>SMB</v>
      </c>
      <c r="O1170">
        <f>IFERROR(VLOOKUP(C1170,Customers!A:F,3,0),"")</f>
        <v>65</v>
      </c>
      <c r="P1170">
        <f>IFERROR(VLOOKUP(D1170,Products!A:F,4,0),"")</f>
        <v>2028</v>
      </c>
      <c r="Q1170" t="b">
        <f>IFERROR(VLOOKUP(D1170,Products!A:F,6,0),"")</f>
        <v>1</v>
      </c>
      <c r="R1170">
        <f t="shared" si="54"/>
        <v>0.29090909090909089</v>
      </c>
      <c r="S1170">
        <f t="shared" si="55"/>
        <v>1</v>
      </c>
      <c r="T1170">
        <f>IF(AND(S1170&gt;1,COUNTIF($A$2:A1170,A1170)=1),1,0)</f>
        <v>0</v>
      </c>
      <c r="U1170">
        <f>COUNTIF(Customers!$A$2:$A$301,C1170)</f>
        <v>1</v>
      </c>
      <c r="V1170">
        <f t="shared" si="56"/>
        <v>0</v>
      </c>
    </row>
    <row r="1171" spans="1:22" ht="14.25" customHeight="1" x14ac:dyDescent="0.35">
      <c r="A1171" s="10" t="s">
        <v>1621</v>
      </c>
      <c r="B1171" s="11">
        <v>45429</v>
      </c>
      <c r="C1171" s="10" t="s">
        <v>1011</v>
      </c>
      <c r="D1171" s="10" t="s">
        <v>125</v>
      </c>
      <c r="E1171" s="10" t="s">
        <v>75</v>
      </c>
      <c r="F1171" s="12">
        <v>4</v>
      </c>
      <c r="G1171" s="12">
        <v>3450</v>
      </c>
      <c r="H1171" s="12">
        <v>9.1999999999999993</v>
      </c>
      <c r="I1171" s="12">
        <v>12530.4</v>
      </c>
      <c r="J1171" s="10" t="s">
        <v>51</v>
      </c>
      <c r="K1171" s="10" t="s">
        <v>97</v>
      </c>
      <c r="L1171" t="str">
        <f>IFERROR(VLOOKUP(D1171,Products!A:F,3,0),"")</f>
        <v>Sports</v>
      </c>
      <c r="M1171" t="str">
        <f>IFERROR(VLOOKUP(E1171,Sales_Reps!A:E,3,0),"")</f>
        <v>West</v>
      </c>
      <c r="N1171" t="str">
        <f>IFERROR(VLOOKUP(C1171,Customers!A:F,5,0),"")</f>
        <v>Retail</v>
      </c>
      <c r="O1171">
        <f>IFERROR(VLOOKUP(C1171,Customers!A:F,3,0),"")</f>
        <v>41</v>
      </c>
      <c r="P1171">
        <f>IFERROR(VLOOKUP(D1171,Products!A:F,4,0),"")</f>
        <v>2467</v>
      </c>
      <c r="Q1171" t="b">
        <f>IFERROR(VLOOKUP(D1171,Products!A:F,6,0),"")</f>
        <v>1</v>
      </c>
      <c r="R1171">
        <f t="shared" si="54"/>
        <v>0.28492753623188405</v>
      </c>
      <c r="S1171">
        <f t="shared" si="55"/>
        <v>1</v>
      </c>
      <c r="T1171">
        <f>IF(AND(S1171&gt;1,COUNTIF($A$2:A1171,A1171)=1),1,0)</f>
        <v>0</v>
      </c>
      <c r="U1171">
        <f>COUNTIF(Customers!$A$2:$A$301,C1171)</f>
        <v>1</v>
      </c>
      <c r="V1171">
        <f t="shared" si="56"/>
        <v>0</v>
      </c>
    </row>
    <row r="1172" spans="1:22" ht="14.25" customHeight="1" x14ac:dyDescent="0.35">
      <c r="A1172" s="10" t="s">
        <v>1622</v>
      </c>
      <c r="B1172" s="11">
        <v>45405</v>
      </c>
      <c r="C1172" s="10" t="s">
        <v>239</v>
      </c>
      <c r="D1172" s="10" t="s">
        <v>259</v>
      </c>
      <c r="E1172" s="10" t="s">
        <v>112</v>
      </c>
      <c r="F1172" s="12">
        <v>4</v>
      </c>
      <c r="G1172" s="12">
        <v>2030</v>
      </c>
      <c r="H1172" s="12">
        <v>17.100000000000001</v>
      </c>
      <c r="I1172" s="12">
        <v>6731.48</v>
      </c>
      <c r="J1172" s="10" t="s">
        <v>51</v>
      </c>
      <c r="K1172" s="10" t="s">
        <v>52</v>
      </c>
      <c r="L1172" t="str">
        <f>IFERROR(VLOOKUP(D1172,Products!A:F,3,0),"")</f>
        <v>Home</v>
      </c>
      <c r="M1172" t="str">
        <f>IFERROR(VLOOKUP(E1172,Sales_Reps!A:E,3,0),"")</f>
        <v>North</v>
      </c>
      <c r="N1172" t="str">
        <f>IFERROR(VLOOKUP(C1172,Customers!A:F,5,0),"")</f>
        <v>Retail</v>
      </c>
      <c r="O1172">
        <f>IFERROR(VLOOKUP(C1172,Customers!A:F,3,0),"")</f>
        <v>44</v>
      </c>
      <c r="P1172">
        <f>IFERROR(VLOOKUP(D1172,Products!A:F,4,0),"")</f>
        <v>1143</v>
      </c>
      <c r="Q1172" t="b">
        <f>IFERROR(VLOOKUP(D1172,Products!A:F,6,0),"")</f>
        <v>1</v>
      </c>
      <c r="R1172">
        <f t="shared" si="54"/>
        <v>0.43694581280788175</v>
      </c>
      <c r="S1172">
        <f t="shared" si="55"/>
        <v>1</v>
      </c>
      <c r="T1172">
        <f>IF(AND(S1172&gt;1,COUNTIF($A$2:A1172,A1172)=1),1,0)</f>
        <v>0</v>
      </c>
      <c r="U1172">
        <f>COUNTIF(Customers!$A$2:$A$301,C1172)</f>
        <v>1</v>
      </c>
      <c r="V1172">
        <f t="shared" si="56"/>
        <v>0</v>
      </c>
    </row>
    <row r="1173" spans="1:22" ht="14.25" customHeight="1" x14ac:dyDescent="0.35">
      <c r="A1173" s="10" t="s">
        <v>1623</v>
      </c>
      <c r="B1173" s="11">
        <v>45401</v>
      </c>
      <c r="C1173" s="10" t="s">
        <v>377</v>
      </c>
      <c r="D1173" s="10" t="s">
        <v>209</v>
      </c>
      <c r="E1173" s="10" t="s">
        <v>310</v>
      </c>
      <c r="F1173" s="12">
        <v>4</v>
      </c>
      <c r="G1173" s="12">
        <v>2270</v>
      </c>
      <c r="H1173" s="12">
        <v>27.3</v>
      </c>
      <c r="I1173" s="12">
        <v>6601.16</v>
      </c>
      <c r="J1173" s="10" t="s">
        <v>51</v>
      </c>
      <c r="K1173" s="10" t="s">
        <v>52</v>
      </c>
      <c r="L1173" t="str">
        <f>IFERROR(VLOOKUP(D1173,Products!A:F,3,0),"")</f>
        <v>Grocery</v>
      </c>
      <c r="M1173" t="str">
        <f>IFERROR(VLOOKUP(E1173,Sales_Reps!A:E,3,0),"")</f>
        <v>South</v>
      </c>
      <c r="N1173" t="str">
        <f>IFERROR(VLOOKUP(C1173,Customers!A:F,5,0),"")</f>
        <v>Retail</v>
      </c>
      <c r="O1173">
        <f>IFERROR(VLOOKUP(C1173,Customers!A:F,3,0),"")</f>
        <v>22</v>
      </c>
      <c r="P1173">
        <f>IFERROR(VLOOKUP(D1173,Products!A:F,4,0),"")</f>
        <v>1412</v>
      </c>
      <c r="Q1173" t="b">
        <f>IFERROR(VLOOKUP(D1173,Products!A:F,6,0),"")</f>
        <v>1</v>
      </c>
      <c r="R1173">
        <f t="shared" si="54"/>
        <v>0.37797356828193834</v>
      </c>
      <c r="S1173">
        <f t="shared" si="55"/>
        <v>1</v>
      </c>
      <c r="T1173">
        <f>IF(AND(S1173&gt;1,COUNTIF($A$2:A1173,A1173)=1),1,0)</f>
        <v>0</v>
      </c>
      <c r="U1173">
        <f>COUNTIF(Customers!$A$2:$A$301,C1173)</f>
        <v>1</v>
      </c>
      <c r="V1173">
        <f t="shared" si="56"/>
        <v>0</v>
      </c>
    </row>
    <row r="1174" spans="1:22" ht="14.25" customHeight="1" x14ac:dyDescent="0.35">
      <c r="A1174" s="10" t="s">
        <v>1624</v>
      </c>
      <c r="B1174" s="11">
        <v>45373</v>
      </c>
      <c r="C1174" s="10" t="s">
        <v>429</v>
      </c>
      <c r="D1174" s="10" t="s">
        <v>407</v>
      </c>
      <c r="E1174" s="10" t="s">
        <v>216</v>
      </c>
      <c r="F1174" s="12">
        <v>9</v>
      </c>
      <c r="G1174" s="12">
        <v>5080</v>
      </c>
      <c r="H1174" s="12">
        <v>10.9</v>
      </c>
      <c r="I1174" s="12">
        <v>40736.519999999997</v>
      </c>
      <c r="J1174" s="10" t="s">
        <v>51</v>
      </c>
      <c r="K1174" s="10" t="s">
        <v>76</v>
      </c>
      <c r="L1174" t="str">
        <f>IFERROR(VLOOKUP(D1174,Products!A:F,3,0),"")</f>
        <v>Home</v>
      </c>
      <c r="M1174" t="str">
        <f>IFERROR(VLOOKUP(E1174,Sales_Reps!A:E,3,0),"")</f>
        <v>South</v>
      </c>
      <c r="N1174" t="str">
        <f>IFERROR(VLOOKUP(C1174,Customers!A:F,5,0),"")</f>
        <v>Retail</v>
      </c>
      <c r="O1174">
        <f>IFERROR(VLOOKUP(C1174,Customers!A:F,3,0),"")</f>
        <v>61</v>
      </c>
      <c r="P1174">
        <f>IFERROR(VLOOKUP(D1174,Products!A:F,4,0),"")</f>
        <v>2459</v>
      </c>
      <c r="Q1174" t="b">
        <f>IFERROR(VLOOKUP(D1174,Products!A:F,6,0),"")</f>
        <v>1</v>
      </c>
      <c r="R1174">
        <f t="shared" si="54"/>
        <v>0.51594488188976373</v>
      </c>
      <c r="S1174">
        <f t="shared" si="55"/>
        <v>1</v>
      </c>
      <c r="T1174">
        <f>IF(AND(S1174&gt;1,COUNTIF($A$2:A1174,A1174)=1),1,0)</f>
        <v>0</v>
      </c>
      <c r="U1174">
        <f>COUNTIF(Customers!$A$2:$A$301,C1174)</f>
        <v>1</v>
      </c>
      <c r="V1174">
        <f t="shared" si="56"/>
        <v>0</v>
      </c>
    </row>
    <row r="1175" spans="1:22" ht="14.25" customHeight="1" x14ac:dyDescent="0.35">
      <c r="A1175" s="10" t="s">
        <v>1625</v>
      </c>
      <c r="B1175" s="11">
        <v>45602</v>
      </c>
      <c r="C1175" s="10" t="s">
        <v>749</v>
      </c>
      <c r="D1175" s="10" t="s">
        <v>228</v>
      </c>
      <c r="E1175" s="10" t="s">
        <v>193</v>
      </c>
      <c r="F1175" s="12">
        <v>8</v>
      </c>
      <c r="G1175" s="12">
        <v>4070</v>
      </c>
      <c r="H1175" s="12">
        <v>17.7</v>
      </c>
      <c r="I1175" s="12">
        <v>26796.880000000001</v>
      </c>
      <c r="J1175" s="10" t="s">
        <v>51</v>
      </c>
      <c r="K1175" s="10" t="s">
        <v>52</v>
      </c>
      <c r="L1175" t="str">
        <f>IFERROR(VLOOKUP(D1175,Products!A:F,3,0),"")</f>
        <v>Grocery</v>
      </c>
      <c r="M1175" t="str">
        <f>IFERROR(VLOOKUP(E1175,Sales_Reps!A:E,3,0),"")</f>
        <v>West</v>
      </c>
      <c r="N1175" t="str">
        <f>IFERROR(VLOOKUP(C1175,Customers!A:F,5,0),"")</f>
        <v>Retail</v>
      </c>
      <c r="O1175">
        <f>IFERROR(VLOOKUP(C1175,Customers!A:F,3,0),"")</f>
        <v>31</v>
      </c>
      <c r="P1175">
        <f>IFERROR(VLOOKUP(D1175,Products!A:F,4,0),"")</f>
        <v>2027</v>
      </c>
      <c r="Q1175" t="b">
        <f>IFERROR(VLOOKUP(D1175,Products!A:F,6,0),"")</f>
        <v>1</v>
      </c>
      <c r="R1175">
        <f t="shared" si="54"/>
        <v>0.50196560196560192</v>
      </c>
      <c r="S1175">
        <f t="shared" si="55"/>
        <v>1</v>
      </c>
      <c r="T1175">
        <f>IF(AND(S1175&gt;1,COUNTIF($A$2:A1175,A1175)=1),1,0)</f>
        <v>0</v>
      </c>
      <c r="U1175">
        <f>COUNTIF(Customers!$A$2:$A$301,C1175)</f>
        <v>1</v>
      </c>
      <c r="V1175">
        <f t="shared" si="56"/>
        <v>0</v>
      </c>
    </row>
    <row r="1176" spans="1:22" ht="14.25" customHeight="1" x14ac:dyDescent="0.35">
      <c r="A1176" s="10" t="s">
        <v>1626</v>
      </c>
      <c r="B1176" s="11">
        <v>45372</v>
      </c>
      <c r="C1176" s="10" t="s">
        <v>386</v>
      </c>
      <c r="D1176" s="10" t="s">
        <v>223</v>
      </c>
      <c r="E1176" s="10" t="s">
        <v>56</v>
      </c>
      <c r="F1176" s="12">
        <v>1</v>
      </c>
      <c r="G1176" s="12">
        <v>1540</v>
      </c>
      <c r="H1176" s="12">
        <v>0.9</v>
      </c>
      <c r="I1176" s="12">
        <v>1526.14</v>
      </c>
      <c r="J1176" s="10" t="s">
        <v>51</v>
      </c>
      <c r="K1176" s="10" t="s">
        <v>58</v>
      </c>
      <c r="L1176" t="str">
        <f>IFERROR(VLOOKUP(D1176,Products!A:F,3,0),"")</f>
        <v>Beauty</v>
      </c>
      <c r="M1176" t="str">
        <f>IFERROR(VLOOKUP(E1176,Sales_Reps!A:E,3,0),"")</f>
        <v>North</v>
      </c>
      <c r="N1176" t="str">
        <f>IFERROR(VLOOKUP(C1176,Customers!A:F,5,0),"")</f>
        <v>SMB</v>
      </c>
      <c r="O1176">
        <f>IFERROR(VLOOKUP(C1176,Customers!A:F,3,0),"")</f>
        <v>64</v>
      </c>
      <c r="P1176">
        <f>IFERROR(VLOOKUP(D1176,Products!A:F,4,0),"")</f>
        <v>647</v>
      </c>
      <c r="Q1176" t="b">
        <f>IFERROR(VLOOKUP(D1176,Products!A:F,6,0),"")</f>
        <v>0</v>
      </c>
      <c r="R1176">
        <f t="shared" si="54"/>
        <v>0.57987012987012987</v>
      </c>
      <c r="S1176">
        <f t="shared" si="55"/>
        <v>1</v>
      </c>
      <c r="T1176">
        <f>IF(AND(S1176&gt;1,COUNTIF($A$2:A1176,A1176)=1),1,0)</f>
        <v>0</v>
      </c>
      <c r="U1176">
        <f>COUNTIF(Customers!$A$2:$A$301,C1176)</f>
        <v>1</v>
      </c>
      <c r="V1176">
        <f t="shared" si="56"/>
        <v>0</v>
      </c>
    </row>
    <row r="1177" spans="1:22" ht="14.25" customHeight="1" x14ac:dyDescent="0.35">
      <c r="A1177" s="10" t="s">
        <v>1627</v>
      </c>
      <c r="B1177" s="11">
        <v>45416</v>
      </c>
      <c r="C1177" s="10" t="s">
        <v>1628</v>
      </c>
      <c r="D1177" s="10" t="s">
        <v>155</v>
      </c>
      <c r="E1177" s="10" t="s">
        <v>80</v>
      </c>
      <c r="F1177" s="12">
        <v>10</v>
      </c>
      <c r="G1177" s="12">
        <v>5100</v>
      </c>
      <c r="H1177" s="12">
        <v>3</v>
      </c>
      <c r="I1177" s="12">
        <v>49470</v>
      </c>
      <c r="J1177" s="10" t="s">
        <v>51</v>
      </c>
      <c r="K1177" s="10" t="s">
        <v>81</v>
      </c>
      <c r="L1177" t="str">
        <f>IFERROR(VLOOKUP(D1177,Products!A:F,3,0),"")</f>
        <v>Beauty</v>
      </c>
      <c r="M1177" t="str">
        <f>IFERROR(VLOOKUP(E1177,Sales_Reps!A:E,3,0),"")</f>
        <v>West</v>
      </c>
      <c r="N1177" t="str">
        <f>IFERROR(VLOOKUP(C1177,Customers!A:F,5,0),"")</f>
        <v>Retail</v>
      </c>
      <c r="O1177">
        <f>IFERROR(VLOOKUP(C1177,Customers!A:F,3,0),"")</f>
        <v>48</v>
      </c>
      <c r="P1177">
        <f>IFERROR(VLOOKUP(D1177,Products!A:F,4,0),"")</f>
        <v>2237</v>
      </c>
      <c r="Q1177" t="b">
        <f>IFERROR(VLOOKUP(D1177,Products!A:F,6,0),"")</f>
        <v>1</v>
      </c>
      <c r="R1177">
        <f t="shared" si="54"/>
        <v>0.56137254901960787</v>
      </c>
      <c r="S1177">
        <f t="shared" si="55"/>
        <v>1</v>
      </c>
      <c r="T1177">
        <f>IF(AND(S1177&gt;1,COUNTIF($A$2:A1177,A1177)=1),1,0)</f>
        <v>0</v>
      </c>
      <c r="U1177">
        <f>COUNTIF(Customers!$A$2:$A$301,C1177)</f>
        <v>1</v>
      </c>
      <c r="V1177">
        <f t="shared" si="56"/>
        <v>0</v>
      </c>
    </row>
    <row r="1178" spans="1:22" ht="14.25" customHeight="1" x14ac:dyDescent="0.35">
      <c r="A1178" s="10" t="s">
        <v>1629</v>
      </c>
      <c r="B1178" s="11">
        <v>45656</v>
      </c>
      <c r="C1178" s="10" t="s">
        <v>544</v>
      </c>
      <c r="D1178" s="10" t="s">
        <v>49</v>
      </c>
      <c r="E1178" s="10" t="s">
        <v>67</v>
      </c>
      <c r="F1178" s="12">
        <v>6</v>
      </c>
      <c r="G1178" s="12">
        <v>3620</v>
      </c>
      <c r="H1178" s="12">
        <v>20.2</v>
      </c>
      <c r="I1178" s="12">
        <v>17332.560000000001</v>
      </c>
      <c r="J1178" s="10" t="s">
        <v>51</v>
      </c>
      <c r="K1178" s="10" t="s">
        <v>52</v>
      </c>
      <c r="L1178" t="str">
        <f>IFERROR(VLOOKUP(D1178,Products!A:F,3,0),"")</f>
        <v>Apparel</v>
      </c>
      <c r="M1178" t="str">
        <f>IFERROR(VLOOKUP(E1178,Sales_Reps!A:E,3,0),"")</f>
        <v>North</v>
      </c>
      <c r="N1178" t="str">
        <f>IFERROR(VLOOKUP(C1178,Customers!A:F,5,0),"")</f>
        <v>Corporate</v>
      </c>
      <c r="O1178">
        <f>IFERROR(VLOOKUP(C1178,Customers!A:F,3,0),"")</f>
        <v>40</v>
      </c>
      <c r="P1178">
        <f>IFERROR(VLOOKUP(D1178,Products!A:F,4,0),"")</f>
        <v>2509</v>
      </c>
      <c r="Q1178" t="b">
        <f>IFERROR(VLOOKUP(D1178,Products!A:F,6,0),"")</f>
        <v>1</v>
      </c>
      <c r="R1178">
        <f t="shared" si="54"/>
        <v>0.3069060773480663</v>
      </c>
      <c r="S1178">
        <f t="shared" si="55"/>
        <v>1</v>
      </c>
      <c r="T1178">
        <f>IF(AND(S1178&gt;1,COUNTIF($A$2:A1178,A1178)=1),1,0)</f>
        <v>0</v>
      </c>
      <c r="U1178">
        <f>COUNTIF(Customers!$A$2:$A$301,C1178)</f>
        <v>1</v>
      </c>
      <c r="V1178">
        <f t="shared" si="56"/>
        <v>0</v>
      </c>
    </row>
    <row r="1179" spans="1:22" ht="14.25" customHeight="1" x14ac:dyDescent="0.35">
      <c r="A1179" s="10" t="s">
        <v>1630</v>
      </c>
      <c r="B1179" s="11">
        <v>45324</v>
      </c>
      <c r="C1179" s="10" t="s">
        <v>90</v>
      </c>
      <c r="D1179" s="10" t="s">
        <v>148</v>
      </c>
      <c r="E1179" s="10" t="s">
        <v>112</v>
      </c>
      <c r="F1179" s="12">
        <v>7</v>
      </c>
      <c r="G1179" s="12">
        <v>4880</v>
      </c>
      <c r="H1179" s="12">
        <v>5</v>
      </c>
      <c r="I1179" s="12">
        <v>32452</v>
      </c>
      <c r="J1179" s="10" t="s">
        <v>51</v>
      </c>
      <c r="K1179" s="10" t="s">
        <v>52</v>
      </c>
      <c r="L1179" t="str">
        <f>IFERROR(VLOOKUP(D1179,Products!A:F,3,0),"")</f>
        <v>Beauty</v>
      </c>
      <c r="M1179" t="str">
        <f>IFERROR(VLOOKUP(E1179,Sales_Reps!A:E,3,0),"")</f>
        <v>North</v>
      </c>
      <c r="N1179" t="str">
        <f>IFERROR(VLOOKUP(C1179,Customers!A:F,5,0),"")</f>
        <v>Retail</v>
      </c>
      <c r="O1179">
        <f>IFERROR(VLOOKUP(C1179,Customers!A:F,3,0),"")</f>
        <v>56</v>
      </c>
      <c r="P1179">
        <f>IFERROR(VLOOKUP(D1179,Products!A:F,4,0),"")</f>
        <v>2768</v>
      </c>
      <c r="Q1179" t="b">
        <f>IFERROR(VLOOKUP(D1179,Products!A:F,6,0),"")</f>
        <v>1</v>
      </c>
      <c r="R1179">
        <f t="shared" si="54"/>
        <v>0.43278688524590164</v>
      </c>
      <c r="S1179">
        <f t="shared" si="55"/>
        <v>1</v>
      </c>
      <c r="T1179">
        <f>IF(AND(S1179&gt;1,COUNTIF($A$2:A1179,A1179)=1),1,0)</f>
        <v>0</v>
      </c>
      <c r="U1179">
        <f>COUNTIF(Customers!$A$2:$A$301,C1179)</f>
        <v>1</v>
      </c>
      <c r="V1179">
        <f t="shared" si="56"/>
        <v>0</v>
      </c>
    </row>
    <row r="1180" spans="1:22" ht="14.25" customHeight="1" x14ac:dyDescent="0.35">
      <c r="A1180" s="10" t="s">
        <v>1631</v>
      </c>
      <c r="B1180" s="11">
        <v>45472</v>
      </c>
      <c r="C1180" s="10" t="s">
        <v>158</v>
      </c>
      <c r="D1180" s="10" t="s">
        <v>99</v>
      </c>
      <c r="E1180" s="10" t="s">
        <v>80</v>
      </c>
      <c r="F1180" s="12">
        <v>1</v>
      </c>
      <c r="G1180" s="12">
        <v>2640</v>
      </c>
      <c r="H1180" s="12">
        <v>4.0999999999999996</v>
      </c>
      <c r="I1180" s="12">
        <v>2531.7600000000002</v>
      </c>
      <c r="J1180" s="10" t="s">
        <v>51</v>
      </c>
      <c r="K1180" s="10" t="s">
        <v>52</v>
      </c>
      <c r="L1180" t="str">
        <f>IFERROR(VLOOKUP(D1180,Products!A:F,3,0),"")</f>
        <v>Electronics</v>
      </c>
      <c r="M1180" t="str">
        <f>IFERROR(VLOOKUP(E1180,Sales_Reps!A:E,3,0),"")</f>
        <v>West</v>
      </c>
      <c r="N1180" t="str">
        <f>IFERROR(VLOOKUP(C1180,Customers!A:F,5,0),"")</f>
        <v>SMB</v>
      </c>
      <c r="O1180">
        <f>IFERROR(VLOOKUP(C1180,Customers!A:F,3,0),"")</f>
        <v>44</v>
      </c>
      <c r="P1180">
        <f>IFERROR(VLOOKUP(D1180,Products!A:F,4,0),"")</f>
        <v>1149</v>
      </c>
      <c r="Q1180" t="b">
        <f>IFERROR(VLOOKUP(D1180,Products!A:F,6,0),"")</f>
        <v>1</v>
      </c>
      <c r="R1180">
        <f t="shared" si="54"/>
        <v>0.56477272727272732</v>
      </c>
      <c r="S1180">
        <f t="shared" si="55"/>
        <v>1</v>
      </c>
      <c r="T1180">
        <f>IF(AND(S1180&gt;1,COUNTIF($A$2:A1180,A1180)=1),1,0)</f>
        <v>0</v>
      </c>
      <c r="U1180">
        <f>COUNTIF(Customers!$A$2:$A$301,C1180)</f>
        <v>1</v>
      </c>
      <c r="V1180">
        <f t="shared" si="56"/>
        <v>0</v>
      </c>
    </row>
    <row r="1181" spans="1:22" ht="14.25" customHeight="1" x14ac:dyDescent="0.35">
      <c r="A1181" s="10" t="s">
        <v>1632</v>
      </c>
      <c r="B1181" s="11">
        <v>45508</v>
      </c>
      <c r="C1181" s="10" t="s">
        <v>227</v>
      </c>
      <c r="D1181" s="10" t="s">
        <v>228</v>
      </c>
      <c r="E1181" s="10" t="s">
        <v>156</v>
      </c>
      <c r="F1181" s="12">
        <v>9</v>
      </c>
      <c r="G1181" s="12">
        <v>4070</v>
      </c>
      <c r="H1181" s="12">
        <v>4.4000000000000004</v>
      </c>
      <c r="I1181" s="12">
        <v>35018.28</v>
      </c>
      <c r="J1181" s="10" t="s">
        <v>51</v>
      </c>
      <c r="K1181" s="10" t="s">
        <v>97</v>
      </c>
      <c r="L1181" t="str">
        <f>IFERROR(VLOOKUP(D1181,Products!A:F,3,0),"")</f>
        <v>Grocery</v>
      </c>
      <c r="M1181" t="str">
        <f>IFERROR(VLOOKUP(E1181,Sales_Reps!A:E,3,0),"")</f>
        <v>East</v>
      </c>
      <c r="N1181" t="str">
        <f>IFERROR(VLOOKUP(C1181,Customers!A:F,5,0),"")</f>
        <v>Retail</v>
      </c>
      <c r="O1181">
        <f>IFERROR(VLOOKUP(C1181,Customers!A:F,3,0),"")</f>
        <v>53</v>
      </c>
      <c r="P1181">
        <f>IFERROR(VLOOKUP(D1181,Products!A:F,4,0),"")</f>
        <v>2027</v>
      </c>
      <c r="Q1181" t="b">
        <f>IFERROR(VLOOKUP(D1181,Products!A:F,6,0),"")</f>
        <v>1</v>
      </c>
      <c r="R1181">
        <f t="shared" si="54"/>
        <v>0.50196560196560192</v>
      </c>
      <c r="S1181">
        <f t="shared" si="55"/>
        <v>1</v>
      </c>
      <c r="T1181">
        <f>IF(AND(S1181&gt;1,COUNTIF($A$2:A1181,A1181)=1),1,0)</f>
        <v>0</v>
      </c>
      <c r="U1181">
        <f>COUNTIF(Customers!$A$2:$A$301,C1181)</f>
        <v>1</v>
      </c>
      <c r="V1181">
        <f t="shared" si="56"/>
        <v>0</v>
      </c>
    </row>
    <row r="1182" spans="1:22" ht="14.25" customHeight="1" x14ac:dyDescent="0.35">
      <c r="A1182" s="10" t="s">
        <v>1633</v>
      </c>
      <c r="B1182" s="11">
        <v>45617</v>
      </c>
      <c r="C1182" s="10" t="s">
        <v>292</v>
      </c>
      <c r="D1182" s="10" t="s">
        <v>151</v>
      </c>
      <c r="E1182" s="10" t="s">
        <v>75</v>
      </c>
      <c r="F1182" s="12">
        <v>9</v>
      </c>
      <c r="G1182" s="12">
        <v>3570</v>
      </c>
      <c r="H1182" s="12">
        <v>24.8</v>
      </c>
      <c r="I1182" s="12">
        <v>24161.759999999998</v>
      </c>
      <c r="J1182" s="10" t="s">
        <v>51</v>
      </c>
      <c r="K1182" s="10" t="s">
        <v>58</v>
      </c>
      <c r="L1182" t="str">
        <f>IFERROR(VLOOKUP(D1182,Products!A:F,3,0),"")</f>
        <v>Electronics</v>
      </c>
      <c r="M1182" t="str">
        <f>IFERROR(VLOOKUP(E1182,Sales_Reps!A:E,3,0),"")</f>
        <v>West</v>
      </c>
      <c r="N1182" t="str">
        <f>IFERROR(VLOOKUP(C1182,Customers!A:F,5,0),"")</f>
        <v>Retail</v>
      </c>
      <c r="O1182">
        <f>IFERROR(VLOOKUP(C1182,Customers!A:F,3,0),"")</f>
        <v>28</v>
      </c>
      <c r="P1182">
        <f>IFERROR(VLOOKUP(D1182,Products!A:F,4,0),"")</f>
        <v>1665</v>
      </c>
      <c r="Q1182" t="b">
        <f>IFERROR(VLOOKUP(D1182,Products!A:F,6,0),"")</f>
        <v>1</v>
      </c>
      <c r="R1182">
        <f t="shared" si="54"/>
        <v>0.53361344537815125</v>
      </c>
      <c r="S1182">
        <f t="shared" si="55"/>
        <v>1</v>
      </c>
      <c r="T1182">
        <f>IF(AND(S1182&gt;1,COUNTIF($A$2:A1182,A1182)=1),1,0)</f>
        <v>0</v>
      </c>
      <c r="U1182">
        <f>COUNTIF(Customers!$A$2:$A$301,C1182)</f>
        <v>1</v>
      </c>
      <c r="V1182">
        <f t="shared" si="56"/>
        <v>0</v>
      </c>
    </row>
    <row r="1183" spans="1:22" ht="14.25" customHeight="1" x14ac:dyDescent="0.35">
      <c r="A1183" s="10" t="s">
        <v>1634</v>
      </c>
      <c r="B1183" s="11">
        <v>45470</v>
      </c>
      <c r="C1183" s="10" t="s">
        <v>236</v>
      </c>
      <c r="D1183" s="10" t="s">
        <v>143</v>
      </c>
      <c r="E1183" s="10" t="s">
        <v>56</v>
      </c>
      <c r="F1183" s="12">
        <v>10</v>
      </c>
      <c r="G1183" s="12">
        <v>3350</v>
      </c>
      <c r="H1183" s="12">
        <v>25.1</v>
      </c>
      <c r="I1183" s="12">
        <v>25091.5</v>
      </c>
      <c r="J1183" s="10" t="s">
        <v>104</v>
      </c>
      <c r="K1183" s="10" t="s">
        <v>58</v>
      </c>
      <c r="L1183" t="str">
        <f>IFERROR(VLOOKUP(D1183,Products!A:F,3,0),"")</f>
        <v>Beauty</v>
      </c>
      <c r="M1183" t="str">
        <f>IFERROR(VLOOKUP(E1183,Sales_Reps!A:E,3,0),"")</f>
        <v>North</v>
      </c>
      <c r="N1183" t="str">
        <f>IFERROR(VLOOKUP(C1183,Customers!A:F,5,0),"")</f>
        <v>SMB</v>
      </c>
      <c r="O1183">
        <f>IFERROR(VLOOKUP(C1183,Customers!A:F,3,0),"")</f>
        <v>55</v>
      </c>
      <c r="P1183">
        <f>IFERROR(VLOOKUP(D1183,Products!A:F,4,0),"")</f>
        <v>1728</v>
      </c>
      <c r="Q1183" t="b">
        <f>IFERROR(VLOOKUP(D1183,Products!A:F,6,0),"")</f>
        <v>1</v>
      </c>
      <c r="R1183">
        <f t="shared" si="54"/>
        <v>0.48417910447761192</v>
      </c>
      <c r="S1183">
        <f t="shared" si="55"/>
        <v>1</v>
      </c>
      <c r="T1183">
        <f>IF(AND(S1183&gt;1,COUNTIF($A$2:A1183,A1183)=1),1,0)</f>
        <v>0</v>
      </c>
      <c r="U1183">
        <f>COUNTIF(Customers!$A$2:$A$301,C1183)</f>
        <v>1</v>
      </c>
      <c r="V1183">
        <f t="shared" si="56"/>
        <v>0</v>
      </c>
    </row>
    <row r="1184" spans="1:22" ht="14.25" customHeight="1" x14ac:dyDescent="0.35">
      <c r="A1184" s="10" t="s">
        <v>1635</v>
      </c>
      <c r="B1184" s="11">
        <v>45307</v>
      </c>
      <c r="C1184" s="10" t="s">
        <v>681</v>
      </c>
      <c r="D1184" s="10" t="s">
        <v>425</v>
      </c>
      <c r="E1184" s="10" t="s">
        <v>75</v>
      </c>
      <c r="F1184" s="12">
        <v>3</v>
      </c>
      <c r="G1184" s="12">
        <v>3780</v>
      </c>
      <c r="H1184" s="12">
        <v>3.8</v>
      </c>
      <c r="I1184" s="12">
        <v>10909.08</v>
      </c>
      <c r="J1184" s="10" t="s">
        <v>51</v>
      </c>
      <c r="K1184" s="10" t="s">
        <v>58</v>
      </c>
      <c r="L1184" t="str">
        <f>IFERROR(VLOOKUP(D1184,Products!A:F,3,0),"")</f>
        <v>Sports</v>
      </c>
      <c r="M1184" t="str">
        <f>IFERROR(VLOOKUP(E1184,Sales_Reps!A:E,3,0),"")</f>
        <v>West</v>
      </c>
      <c r="N1184" t="str">
        <f>IFERROR(VLOOKUP(C1184,Customers!A:F,5,0),"")</f>
        <v>Retail</v>
      </c>
      <c r="O1184">
        <f>IFERROR(VLOOKUP(C1184,Customers!A:F,3,0),"")</f>
        <v>24</v>
      </c>
      <c r="P1184">
        <f>IFERROR(VLOOKUP(D1184,Products!A:F,4,0),"")</f>
        <v>1860</v>
      </c>
      <c r="Q1184" t="b">
        <f>IFERROR(VLOOKUP(D1184,Products!A:F,6,0),"")</f>
        <v>1</v>
      </c>
      <c r="R1184">
        <f t="shared" si="54"/>
        <v>0.50793650793650791</v>
      </c>
      <c r="S1184">
        <f t="shared" si="55"/>
        <v>1</v>
      </c>
      <c r="T1184">
        <f>IF(AND(S1184&gt;1,COUNTIF($A$2:A1184,A1184)=1),1,0)</f>
        <v>0</v>
      </c>
      <c r="U1184">
        <f>COUNTIF(Customers!$A$2:$A$301,C1184)</f>
        <v>1</v>
      </c>
      <c r="V1184">
        <f t="shared" si="56"/>
        <v>0</v>
      </c>
    </row>
    <row r="1185" spans="1:22" ht="14.25" customHeight="1" x14ac:dyDescent="0.35">
      <c r="A1185" s="10" t="s">
        <v>1636</v>
      </c>
      <c r="B1185" s="11">
        <v>45651</v>
      </c>
      <c r="C1185" s="10" t="s">
        <v>667</v>
      </c>
      <c r="D1185" s="10" t="s">
        <v>151</v>
      </c>
      <c r="E1185" s="10" t="s">
        <v>71</v>
      </c>
      <c r="F1185" s="12">
        <v>4</v>
      </c>
      <c r="G1185" s="12">
        <v>3570</v>
      </c>
      <c r="H1185" s="12">
        <v>0.9</v>
      </c>
      <c r="I1185" s="12">
        <v>14151.48</v>
      </c>
      <c r="J1185" s="10" t="s">
        <v>57</v>
      </c>
      <c r="K1185" s="10" t="s">
        <v>52</v>
      </c>
      <c r="L1185" t="str">
        <f>IFERROR(VLOOKUP(D1185,Products!A:F,3,0),"")</f>
        <v>Electronics</v>
      </c>
      <c r="M1185" t="str">
        <f>IFERROR(VLOOKUP(E1185,Sales_Reps!A:E,3,0),"")</f>
        <v>North</v>
      </c>
      <c r="N1185" t="str">
        <f>IFERROR(VLOOKUP(C1185,Customers!A:F,5,0),"")</f>
        <v>Corporate</v>
      </c>
      <c r="O1185">
        <f>IFERROR(VLOOKUP(C1185,Customers!A:F,3,0),"")</f>
        <v>52</v>
      </c>
      <c r="P1185">
        <f>IFERROR(VLOOKUP(D1185,Products!A:F,4,0),"")</f>
        <v>1665</v>
      </c>
      <c r="Q1185" t="b">
        <f>IFERROR(VLOOKUP(D1185,Products!A:F,6,0),"")</f>
        <v>1</v>
      </c>
      <c r="R1185">
        <f t="shared" si="54"/>
        <v>0.53361344537815125</v>
      </c>
      <c r="S1185">
        <f t="shared" si="55"/>
        <v>1</v>
      </c>
      <c r="T1185">
        <f>IF(AND(S1185&gt;1,COUNTIF($A$2:A1185,A1185)=1),1,0)</f>
        <v>0</v>
      </c>
      <c r="U1185">
        <f>COUNTIF(Customers!$A$2:$A$301,C1185)</f>
        <v>1</v>
      </c>
      <c r="V1185">
        <f t="shared" si="56"/>
        <v>0</v>
      </c>
    </row>
    <row r="1186" spans="1:22" ht="14.25" customHeight="1" x14ac:dyDescent="0.35">
      <c r="A1186" s="10" t="s">
        <v>1127</v>
      </c>
      <c r="B1186" s="11">
        <v>45436</v>
      </c>
      <c r="C1186" s="10" t="s">
        <v>384</v>
      </c>
      <c r="D1186" s="10" t="s">
        <v>159</v>
      </c>
      <c r="E1186" s="10" t="s">
        <v>80</v>
      </c>
      <c r="F1186" s="12">
        <v>5</v>
      </c>
      <c r="G1186" s="12">
        <v>2860</v>
      </c>
      <c r="H1186" s="12">
        <v>20.100000000000001</v>
      </c>
      <c r="I1186" s="12">
        <v>11425.7</v>
      </c>
      <c r="J1186" s="10" t="s">
        <v>51</v>
      </c>
      <c r="K1186" s="10" t="s">
        <v>63</v>
      </c>
      <c r="L1186" t="str">
        <f>IFERROR(VLOOKUP(D1186,Products!A:F,3,0),"")</f>
        <v>Sports</v>
      </c>
      <c r="M1186" t="str">
        <f>IFERROR(VLOOKUP(E1186,Sales_Reps!A:E,3,0),"")</f>
        <v>West</v>
      </c>
      <c r="N1186" t="str">
        <f>IFERROR(VLOOKUP(C1186,Customers!A:F,5,0),"")</f>
        <v>Retail</v>
      </c>
      <c r="O1186">
        <f>IFERROR(VLOOKUP(C1186,Customers!A:F,3,0),"")</f>
        <v>44</v>
      </c>
      <c r="P1186">
        <f>IFERROR(VLOOKUP(D1186,Products!A:F,4,0),"")</f>
        <v>2028</v>
      </c>
      <c r="Q1186" t="b">
        <f>IFERROR(VLOOKUP(D1186,Products!A:F,6,0),"")</f>
        <v>1</v>
      </c>
      <c r="R1186">
        <f t="shared" si="54"/>
        <v>0.29090909090909089</v>
      </c>
      <c r="S1186">
        <f t="shared" si="55"/>
        <v>2</v>
      </c>
      <c r="T1186">
        <f>IF(AND(S1186&gt;1,COUNTIF($A$2:A1186,A1186)=1),1,0)</f>
        <v>0</v>
      </c>
      <c r="U1186">
        <f>COUNTIF(Customers!$A$2:$A$301,C1186)</f>
        <v>1</v>
      </c>
      <c r="V1186">
        <f t="shared" si="56"/>
        <v>0</v>
      </c>
    </row>
    <row r="1187" spans="1:22" ht="14.25" customHeight="1" x14ac:dyDescent="0.35">
      <c r="A1187" s="10" t="s">
        <v>1637</v>
      </c>
      <c r="B1187" s="11">
        <v>45518</v>
      </c>
      <c r="C1187" s="10" t="s">
        <v>648</v>
      </c>
      <c r="D1187" s="10" t="s">
        <v>256</v>
      </c>
      <c r="E1187" s="10" t="s">
        <v>112</v>
      </c>
      <c r="F1187" s="12">
        <v>1</v>
      </c>
      <c r="G1187" s="12">
        <v>620</v>
      </c>
      <c r="H1187" s="12">
        <v>1.1000000000000001</v>
      </c>
      <c r="I1187" s="12">
        <v>613.17999999999995</v>
      </c>
      <c r="J1187" s="10" t="s">
        <v>104</v>
      </c>
      <c r="K1187" s="10" t="s">
        <v>63</v>
      </c>
      <c r="L1187" t="str">
        <f>IFERROR(VLOOKUP(D1187,Products!A:F,3,0),"")</f>
        <v>Apparel</v>
      </c>
      <c r="M1187" t="str">
        <f>IFERROR(VLOOKUP(E1187,Sales_Reps!A:E,3,0),"")</f>
        <v>North</v>
      </c>
      <c r="N1187" t="str">
        <f>IFERROR(VLOOKUP(C1187,Customers!A:F,5,0),"")</f>
        <v>Retail</v>
      </c>
      <c r="O1187">
        <f>IFERROR(VLOOKUP(C1187,Customers!A:F,3,0),"")</f>
        <v>41</v>
      </c>
      <c r="P1187">
        <f>IFERROR(VLOOKUP(D1187,Products!A:F,4,0),"")</f>
        <v>396</v>
      </c>
      <c r="Q1187" t="b">
        <f>IFERROR(VLOOKUP(D1187,Products!A:F,6,0),"")</f>
        <v>1</v>
      </c>
      <c r="R1187">
        <f t="shared" si="54"/>
        <v>0.36129032258064514</v>
      </c>
      <c r="S1187">
        <f t="shared" si="55"/>
        <v>1</v>
      </c>
      <c r="T1187">
        <f>IF(AND(S1187&gt;1,COUNTIF($A$2:A1187,A1187)=1),1,0)</f>
        <v>0</v>
      </c>
      <c r="U1187">
        <f>COUNTIF(Customers!$A$2:$A$301,C1187)</f>
        <v>1</v>
      </c>
      <c r="V1187">
        <f t="shared" si="56"/>
        <v>0</v>
      </c>
    </row>
    <row r="1188" spans="1:22" ht="14.25" customHeight="1" x14ac:dyDescent="0.35">
      <c r="A1188" s="10" t="s">
        <v>1638</v>
      </c>
      <c r="B1188" s="11">
        <v>45432</v>
      </c>
      <c r="C1188" s="10" t="s">
        <v>158</v>
      </c>
      <c r="D1188" s="10" t="s">
        <v>151</v>
      </c>
      <c r="E1188" s="10" t="s">
        <v>289</v>
      </c>
      <c r="F1188" s="12">
        <v>1</v>
      </c>
      <c r="G1188" s="12">
        <v>3570</v>
      </c>
      <c r="H1188" s="12">
        <v>11.1</v>
      </c>
      <c r="I1188" s="12">
        <v>3173.73</v>
      </c>
      <c r="J1188" s="10" t="s">
        <v>104</v>
      </c>
      <c r="K1188" s="10" t="s">
        <v>52</v>
      </c>
      <c r="L1188" t="str">
        <f>IFERROR(VLOOKUP(D1188,Products!A:F,3,0),"")</f>
        <v>Electronics</v>
      </c>
      <c r="M1188" t="str">
        <f>IFERROR(VLOOKUP(E1188,Sales_Reps!A:E,3,0),"")</f>
        <v>South</v>
      </c>
      <c r="N1188" t="str">
        <f>IFERROR(VLOOKUP(C1188,Customers!A:F,5,0),"")</f>
        <v>SMB</v>
      </c>
      <c r="O1188">
        <f>IFERROR(VLOOKUP(C1188,Customers!A:F,3,0),"")</f>
        <v>44</v>
      </c>
      <c r="P1188">
        <f>IFERROR(VLOOKUP(D1188,Products!A:F,4,0),"")</f>
        <v>1665</v>
      </c>
      <c r="Q1188" t="b">
        <f>IFERROR(VLOOKUP(D1188,Products!A:F,6,0),"")</f>
        <v>1</v>
      </c>
      <c r="R1188">
        <f t="shared" si="54"/>
        <v>0.53361344537815125</v>
      </c>
      <c r="S1188">
        <f t="shared" si="55"/>
        <v>1</v>
      </c>
      <c r="T1188">
        <f>IF(AND(S1188&gt;1,COUNTIF($A$2:A1188,A1188)=1),1,0)</f>
        <v>0</v>
      </c>
      <c r="U1188">
        <f>COUNTIF(Customers!$A$2:$A$301,C1188)</f>
        <v>1</v>
      </c>
      <c r="V1188">
        <f t="shared" si="56"/>
        <v>0</v>
      </c>
    </row>
    <row r="1189" spans="1:22" ht="14.25" customHeight="1" x14ac:dyDescent="0.35">
      <c r="A1189" s="10" t="s">
        <v>1639</v>
      </c>
      <c r="B1189" s="11">
        <v>45551</v>
      </c>
      <c r="C1189" s="10" t="s">
        <v>626</v>
      </c>
      <c r="D1189" s="10" t="s">
        <v>328</v>
      </c>
      <c r="E1189" s="10" t="s">
        <v>289</v>
      </c>
      <c r="F1189" s="12">
        <v>1</v>
      </c>
      <c r="G1189" s="12">
        <v>5330</v>
      </c>
      <c r="H1189" s="12">
        <v>3.5</v>
      </c>
      <c r="I1189" s="12">
        <v>5143.45</v>
      </c>
      <c r="J1189" s="10" t="s">
        <v>51</v>
      </c>
      <c r="K1189" s="10" t="s">
        <v>58</v>
      </c>
      <c r="L1189" t="str">
        <f>IFERROR(VLOOKUP(D1189,Products!A:F,3,0),"")</f>
        <v>Electronics</v>
      </c>
      <c r="M1189" t="str">
        <f>IFERROR(VLOOKUP(E1189,Sales_Reps!A:E,3,0),"")</f>
        <v>South</v>
      </c>
      <c r="N1189" t="str">
        <f>IFERROR(VLOOKUP(C1189,Customers!A:F,5,0),"")</f>
        <v>Corporate</v>
      </c>
      <c r="O1189">
        <f>IFERROR(VLOOKUP(C1189,Customers!A:F,3,0),"")</f>
        <v>41</v>
      </c>
      <c r="P1189">
        <f>IFERROR(VLOOKUP(D1189,Products!A:F,4,0),"")</f>
        <v>2405</v>
      </c>
      <c r="Q1189" t="b">
        <f>IFERROR(VLOOKUP(D1189,Products!A:F,6,0),"")</f>
        <v>1</v>
      </c>
      <c r="R1189">
        <f t="shared" si="54"/>
        <v>0.54878048780487809</v>
      </c>
      <c r="S1189">
        <f t="shared" si="55"/>
        <v>1</v>
      </c>
      <c r="T1189">
        <f>IF(AND(S1189&gt;1,COUNTIF($A$2:A1189,A1189)=1),1,0)</f>
        <v>0</v>
      </c>
      <c r="U1189">
        <f>COUNTIF(Customers!$A$2:$A$301,C1189)</f>
        <v>1</v>
      </c>
      <c r="V1189">
        <f t="shared" si="56"/>
        <v>0</v>
      </c>
    </row>
    <row r="1190" spans="1:22" ht="14.25" customHeight="1" x14ac:dyDescent="0.35">
      <c r="A1190" s="10" t="s">
        <v>1640</v>
      </c>
      <c r="B1190" s="11">
        <v>45348</v>
      </c>
      <c r="C1190" s="10" t="s">
        <v>314</v>
      </c>
      <c r="D1190" s="10" t="s">
        <v>324</v>
      </c>
      <c r="E1190" s="10" t="s">
        <v>267</v>
      </c>
      <c r="F1190" s="12">
        <v>7</v>
      </c>
      <c r="G1190" s="12">
        <v>5410</v>
      </c>
      <c r="H1190" s="12">
        <v>26.2</v>
      </c>
      <c r="I1190" s="12">
        <v>27948.06</v>
      </c>
      <c r="J1190" s="10" t="s">
        <v>51</v>
      </c>
      <c r="K1190" s="10" t="s">
        <v>76</v>
      </c>
      <c r="L1190" t="str">
        <f>IFERROR(VLOOKUP(D1190,Products!A:F,3,0),"")</f>
        <v>Sports</v>
      </c>
      <c r="M1190" t="str">
        <f>IFERROR(VLOOKUP(E1190,Sales_Reps!A:E,3,0),"")</f>
        <v>East</v>
      </c>
      <c r="N1190" t="str">
        <f>IFERROR(VLOOKUP(C1190,Customers!A:F,5,0),"")</f>
        <v>SMB</v>
      </c>
      <c r="O1190">
        <f>IFERROR(VLOOKUP(C1190,Customers!A:F,3,0),"")</f>
        <v>22</v>
      </c>
      <c r="P1190">
        <f>IFERROR(VLOOKUP(D1190,Products!A:F,4,0),"")</f>
        <v>2265</v>
      </c>
      <c r="Q1190" t="b">
        <f>IFERROR(VLOOKUP(D1190,Products!A:F,6,0),"")</f>
        <v>1</v>
      </c>
      <c r="R1190">
        <f t="shared" si="54"/>
        <v>0.58133086876155271</v>
      </c>
      <c r="S1190">
        <f t="shared" si="55"/>
        <v>1</v>
      </c>
      <c r="T1190">
        <f>IF(AND(S1190&gt;1,COUNTIF($A$2:A1190,A1190)=1),1,0)</f>
        <v>0</v>
      </c>
      <c r="U1190">
        <f>COUNTIF(Customers!$A$2:$A$301,C1190)</f>
        <v>1</v>
      </c>
      <c r="V1190">
        <f t="shared" si="56"/>
        <v>0</v>
      </c>
    </row>
    <row r="1191" spans="1:22" ht="14.25" customHeight="1" x14ac:dyDescent="0.35">
      <c r="A1191" s="10" t="s">
        <v>1641</v>
      </c>
      <c r="B1191" s="11">
        <v>45374</v>
      </c>
      <c r="C1191" s="10" t="s">
        <v>1195</v>
      </c>
      <c r="D1191" s="10" t="s">
        <v>407</v>
      </c>
      <c r="E1191" s="10" t="s">
        <v>310</v>
      </c>
      <c r="F1191" s="12">
        <v>10</v>
      </c>
      <c r="G1191" s="12">
        <v>5080</v>
      </c>
      <c r="H1191" s="12">
        <v>3.7</v>
      </c>
      <c r="I1191" s="12">
        <v>48920.4</v>
      </c>
      <c r="J1191" s="10" t="s">
        <v>57</v>
      </c>
      <c r="K1191" s="10" t="s">
        <v>52</v>
      </c>
      <c r="L1191" t="str">
        <f>IFERROR(VLOOKUP(D1191,Products!A:F,3,0),"")</f>
        <v>Home</v>
      </c>
      <c r="M1191" t="str">
        <f>IFERROR(VLOOKUP(E1191,Sales_Reps!A:E,3,0),"")</f>
        <v>South</v>
      </c>
      <c r="N1191" t="str">
        <f>IFERROR(VLOOKUP(C1191,Customers!A:F,5,0),"")</f>
        <v>Retail</v>
      </c>
      <c r="O1191">
        <f>IFERROR(VLOOKUP(C1191,Customers!A:F,3,0),"")</f>
        <v>42</v>
      </c>
      <c r="P1191">
        <f>IFERROR(VLOOKUP(D1191,Products!A:F,4,0),"")</f>
        <v>2459</v>
      </c>
      <c r="Q1191" t="b">
        <f>IFERROR(VLOOKUP(D1191,Products!A:F,6,0),"")</f>
        <v>1</v>
      </c>
      <c r="R1191">
        <f t="shared" si="54"/>
        <v>0.51594488188976373</v>
      </c>
      <c r="S1191">
        <f t="shared" si="55"/>
        <v>1</v>
      </c>
      <c r="T1191">
        <f>IF(AND(S1191&gt;1,COUNTIF($A$2:A1191,A1191)=1),1,0)</f>
        <v>0</v>
      </c>
      <c r="U1191">
        <f>COUNTIF(Customers!$A$2:$A$301,C1191)</f>
        <v>1</v>
      </c>
      <c r="V1191">
        <f t="shared" si="56"/>
        <v>0</v>
      </c>
    </row>
    <row r="1192" spans="1:22" ht="14.25" customHeight="1" x14ac:dyDescent="0.35">
      <c r="A1192" s="10" t="s">
        <v>1642</v>
      </c>
      <c r="B1192" s="11">
        <v>45370</v>
      </c>
      <c r="C1192" s="10" t="s">
        <v>678</v>
      </c>
      <c r="D1192" s="10" t="s">
        <v>151</v>
      </c>
      <c r="E1192" s="10" t="s">
        <v>56</v>
      </c>
      <c r="F1192" s="12">
        <v>9</v>
      </c>
      <c r="G1192" s="12">
        <v>3570</v>
      </c>
      <c r="H1192" s="12">
        <v>5.6</v>
      </c>
      <c r="I1192" s="12">
        <v>30330.720000000001</v>
      </c>
      <c r="J1192" s="10" t="s">
        <v>51</v>
      </c>
      <c r="K1192" s="10" t="s">
        <v>63</v>
      </c>
      <c r="L1192" t="str">
        <f>IFERROR(VLOOKUP(D1192,Products!A:F,3,0),"")</f>
        <v>Electronics</v>
      </c>
      <c r="M1192" t="str">
        <f>IFERROR(VLOOKUP(E1192,Sales_Reps!A:E,3,0),"")</f>
        <v>North</v>
      </c>
      <c r="N1192" t="str">
        <f>IFERROR(VLOOKUP(C1192,Customers!A:F,5,0),"")</f>
        <v>Retail</v>
      </c>
      <c r="O1192">
        <f>IFERROR(VLOOKUP(C1192,Customers!A:F,3,0),"")</f>
        <v>24</v>
      </c>
      <c r="P1192">
        <f>IFERROR(VLOOKUP(D1192,Products!A:F,4,0),"")</f>
        <v>1665</v>
      </c>
      <c r="Q1192" t="b">
        <f>IFERROR(VLOOKUP(D1192,Products!A:F,6,0),"")</f>
        <v>1</v>
      </c>
      <c r="R1192">
        <f t="shared" si="54"/>
        <v>0.53361344537815125</v>
      </c>
      <c r="S1192">
        <f t="shared" si="55"/>
        <v>1</v>
      </c>
      <c r="T1192">
        <f>IF(AND(S1192&gt;1,COUNTIF($A$2:A1192,A1192)=1),1,0)</f>
        <v>0</v>
      </c>
      <c r="U1192">
        <f>COUNTIF(Customers!$A$2:$A$301,C1192)</f>
        <v>1</v>
      </c>
      <c r="V1192">
        <f t="shared" si="56"/>
        <v>0</v>
      </c>
    </row>
    <row r="1193" spans="1:22" ht="14.25" customHeight="1" x14ac:dyDescent="0.35">
      <c r="A1193" s="10" t="s">
        <v>1643</v>
      </c>
      <c r="B1193" s="11">
        <v>45656</v>
      </c>
      <c r="C1193" s="10" t="s">
        <v>568</v>
      </c>
      <c r="D1193" s="10" t="s">
        <v>91</v>
      </c>
      <c r="E1193" s="10" t="s">
        <v>249</v>
      </c>
      <c r="F1193" s="12">
        <v>9</v>
      </c>
      <c r="G1193" s="12">
        <v>970</v>
      </c>
      <c r="H1193" s="12">
        <v>19.5</v>
      </c>
      <c r="I1193" s="12">
        <v>7027.65</v>
      </c>
      <c r="J1193" s="10" t="s">
        <v>51</v>
      </c>
      <c r="K1193" s="10" t="s">
        <v>81</v>
      </c>
      <c r="L1193" t="str">
        <f>IFERROR(VLOOKUP(D1193,Products!A:F,3,0),"")</f>
        <v>Grocery</v>
      </c>
      <c r="M1193" t="str">
        <f>IFERROR(VLOOKUP(E1193,Sales_Reps!A:E,3,0),"")</f>
        <v>East</v>
      </c>
      <c r="N1193" t="str">
        <f>IFERROR(VLOOKUP(C1193,Customers!A:F,5,0),"")</f>
        <v>Retail</v>
      </c>
      <c r="O1193">
        <f>IFERROR(VLOOKUP(C1193,Customers!A:F,3,0),"")</f>
        <v>34</v>
      </c>
      <c r="P1193">
        <f>IFERROR(VLOOKUP(D1193,Products!A:F,4,0),"")</f>
        <v>434</v>
      </c>
      <c r="Q1193" t="b">
        <f>IFERROR(VLOOKUP(D1193,Products!A:F,6,0),"")</f>
        <v>1</v>
      </c>
      <c r="R1193">
        <f t="shared" si="54"/>
        <v>0.5525773195876289</v>
      </c>
      <c r="S1193">
        <f t="shared" si="55"/>
        <v>1</v>
      </c>
      <c r="T1193">
        <f>IF(AND(S1193&gt;1,COUNTIF($A$2:A1193,A1193)=1),1,0)</f>
        <v>0</v>
      </c>
      <c r="U1193">
        <f>COUNTIF(Customers!$A$2:$A$301,C1193)</f>
        <v>1</v>
      </c>
      <c r="V1193">
        <f t="shared" si="56"/>
        <v>7027.65</v>
      </c>
    </row>
    <row r="1194" spans="1:22" ht="14.25" customHeight="1" x14ac:dyDescent="0.35">
      <c r="A1194" s="10" t="s">
        <v>1644</v>
      </c>
      <c r="B1194" s="11">
        <v>45357</v>
      </c>
      <c r="C1194" s="10" t="s">
        <v>384</v>
      </c>
      <c r="D1194" s="10" t="s">
        <v>246</v>
      </c>
      <c r="E1194" s="10" t="s">
        <v>168</v>
      </c>
      <c r="F1194" s="12">
        <v>10</v>
      </c>
      <c r="G1194" s="12">
        <v>300</v>
      </c>
      <c r="H1194" s="12">
        <v>23</v>
      </c>
      <c r="I1194" s="12">
        <v>2310</v>
      </c>
      <c r="J1194" s="10" t="s">
        <v>104</v>
      </c>
      <c r="K1194" s="10" t="s">
        <v>63</v>
      </c>
      <c r="L1194" t="str">
        <f>IFERROR(VLOOKUP(D1194,Products!A:F,3,0),"")</f>
        <v>Electronics</v>
      </c>
      <c r="M1194" t="str">
        <f>IFERROR(VLOOKUP(E1194,Sales_Reps!A:E,3,0),"")</f>
        <v>South</v>
      </c>
      <c r="N1194" t="str">
        <f>IFERROR(VLOOKUP(C1194,Customers!A:F,5,0),"")</f>
        <v>Retail</v>
      </c>
      <c r="O1194">
        <f>IFERROR(VLOOKUP(C1194,Customers!A:F,3,0),"")</f>
        <v>44</v>
      </c>
      <c r="P1194">
        <f>IFERROR(VLOOKUP(D1194,Products!A:F,4,0),"")</f>
        <v>128</v>
      </c>
      <c r="Q1194" t="b">
        <f>IFERROR(VLOOKUP(D1194,Products!A:F,6,0),"")</f>
        <v>1</v>
      </c>
      <c r="R1194">
        <f t="shared" si="54"/>
        <v>0.57333333333333336</v>
      </c>
      <c r="S1194">
        <f t="shared" si="55"/>
        <v>1</v>
      </c>
      <c r="T1194">
        <f>IF(AND(S1194&gt;1,COUNTIF($A$2:A1194,A1194)=1),1,0)</f>
        <v>0</v>
      </c>
      <c r="U1194">
        <f>COUNTIF(Customers!$A$2:$A$301,C1194)</f>
        <v>1</v>
      </c>
      <c r="V1194">
        <f t="shared" si="56"/>
        <v>0</v>
      </c>
    </row>
    <row r="1195" spans="1:22" ht="14.25" customHeight="1" x14ac:dyDescent="0.35">
      <c r="A1195" s="10" t="s">
        <v>1645</v>
      </c>
      <c r="B1195" s="11">
        <v>45479</v>
      </c>
      <c r="C1195" s="10" t="s">
        <v>389</v>
      </c>
      <c r="D1195" s="10" t="s">
        <v>205</v>
      </c>
      <c r="E1195" s="10" t="s">
        <v>112</v>
      </c>
      <c r="F1195" s="12">
        <v>10</v>
      </c>
      <c r="G1195" s="12">
        <v>6080</v>
      </c>
      <c r="H1195" s="12">
        <v>3.9</v>
      </c>
      <c r="I1195" s="12">
        <v>58428.800000000003</v>
      </c>
      <c r="J1195" s="10" t="s">
        <v>51</v>
      </c>
      <c r="K1195" s="10" t="s">
        <v>58</v>
      </c>
      <c r="L1195" t="str">
        <f>IFERROR(VLOOKUP(D1195,Products!A:F,3,0),"")</f>
        <v>Beauty</v>
      </c>
      <c r="M1195" t="str">
        <f>IFERROR(VLOOKUP(E1195,Sales_Reps!A:E,3,0),"")</f>
        <v>North</v>
      </c>
      <c r="N1195" t="str">
        <f>IFERROR(VLOOKUP(C1195,Customers!A:F,5,0),"")</f>
        <v>SMB</v>
      </c>
      <c r="O1195">
        <f>IFERROR(VLOOKUP(C1195,Customers!A:F,3,0),"")</f>
        <v>64</v>
      </c>
      <c r="P1195">
        <f>IFERROR(VLOOKUP(D1195,Products!A:F,4,0),"")</f>
        <v>2617</v>
      </c>
      <c r="Q1195" t="b">
        <f>IFERROR(VLOOKUP(D1195,Products!A:F,6,0),"")</f>
        <v>1</v>
      </c>
      <c r="R1195">
        <f t="shared" si="54"/>
        <v>0.56957236842105263</v>
      </c>
      <c r="S1195">
        <f t="shared" si="55"/>
        <v>1</v>
      </c>
      <c r="T1195">
        <f>IF(AND(S1195&gt;1,COUNTIF($A$2:A1195,A1195)=1),1,0)</f>
        <v>0</v>
      </c>
      <c r="U1195">
        <f>COUNTIF(Customers!$A$2:$A$301,C1195)</f>
        <v>1</v>
      </c>
      <c r="V1195">
        <f t="shared" si="56"/>
        <v>0</v>
      </c>
    </row>
    <row r="1196" spans="1:22" ht="14.25" customHeight="1" x14ac:dyDescent="0.35">
      <c r="A1196" s="10" t="s">
        <v>873</v>
      </c>
      <c r="B1196" s="11">
        <v>45539</v>
      </c>
      <c r="C1196" s="10" t="s">
        <v>106</v>
      </c>
      <c r="D1196" s="10" t="s">
        <v>155</v>
      </c>
      <c r="E1196" s="10" t="s">
        <v>237</v>
      </c>
      <c r="F1196" s="12">
        <v>2</v>
      </c>
      <c r="G1196" s="12">
        <v>5100</v>
      </c>
      <c r="H1196" s="12">
        <v>11</v>
      </c>
      <c r="I1196" s="12">
        <v>9078</v>
      </c>
      <c r="J1196" s="10" t="s">
        <v>51</v>
      </c>
      <c r="K1196" s="10" t="s">
        <v>52</v>
      </c>
      <c r="L1196" t="str">
        <f>IFERROR(VLOOKUP(D1196,Products!A:F,3,0),"")</f>
        <v>Beauty</v>
      </c>
      <c r="M1196" t="str">
        <f>IFERROR(VLOOKUP(E1196,Sales_Reps!A:E,3,0),"")</f>
        <v>South</v>
      </c>
      <c r="N1196" t="str">
        <f>IFERROR(VLOOKUP(C1196,Customers!A:F,5,0),"")</f>
        <v>SMB</v>
      </c>
      <c r="O1196">
        <f>IFERROR(VLOOKUP(C1196,Customers!A:F,3,0),"")</f>
        <v>39</v>
      </c>
      <c r="P1196">
        <f>IFERROR(VLOOKUP(D1196,Products!A:F,4,0),"")</f>
        <v>2237</v>
      </c>
      <c r="Q1196" t="b">
        <f>IFERROR(VLOOKUP(D1196,Products!A:F,6,0),"")</f>
        <v>1</v>
      </c>
      <c r="R1196">
        <f t="shared" si="54"/>
        <v>0.56137254901960787</v>
      </c>
      <c r="S1196">
        <f t="shared" si="55"/>
        <v>2</v>
      </c>
      <c r="T1196">
        <f>IF(AND(S1196&gt;1,COUNTIF($A$2:A1196,A1196)=1),1,0)</f>
        <v>0</v>
      </c>
      <c r="U1196">
        <f>COUNTIF(Customers!$A$2:$A$301,C1196)</f>
        <v>1</v>
      </c>
      <c r="V1196">
        <f t="shared" si="56"/>
        <v>0</v>
      </c>
    </row>
    <row r="1197" spans="1:22" ht="14.25" customHeight="1" x14ac:dyDescent="0.35">
      <c r="A1197" s="10" t="s">
        <v>1646</v>
      </c>
      <c r="B1197" s="11">
        <v>45394</v>
      </c>
      <c r="C1197" s="10" t="s">
        <v>335</v>
      </c>
      <c r="D1197" s="10" t="s">
        <v>416</v>
      </c>
      <c r="E1197" s="10" t="s">
        <v>85</v>
      </c>
      <c r="F1197" s="12">
        <v>9</v>
      </c>
      <c r="G1197" s="12">
        <v>3450</v>
      </c>
      <c r="H1197" s="12">
        <v>23.7</v>
      </c>
      <c r="I1197" s="12">
        <v>23691.15</v>
      </c>
      <c r="J1197" s="10" t="s">
        <v>51</v>
      </c>
      <c r="K1197" s="10" t="s">
        <v>76</v>
      </c>
      <c r="L1197" t="str">
        <f>IFERROR(VLOOKUP(D1197,Products!A:F,3,0),"")</f>
        <v>Apparel</v>
      </c>
      <c r="M1197" t="str">
        <f>IFERROR(VLOOKUP(E1197,Sales_Reps!A:E,3,0),"")</f>
        <v>East</v>
      </c>
      <c r="N1197" t="str">
        <f>IFERROR(VLOOKUP(C1197,Customers!A:F,5,0),"")</f>
        <v>Retail</v>
      </c>
      <c r="O1197">
        <f>IFERROR(VLOOKUP(C1197,Customers!A:F,3,0),"")</f>
        <v>42</v>
      </c>
      <c r="P1197">
        <f>IFERROR(VLOOKUP(D1197,Products!A:F,4,0),"")</f>
        <v>1748</v>
      </c>
      <c r="Q1197" t="b">
        <f>IFERROR(VLOOKUP(D1197,Products!A:F,6,0),"")</f>
        <v>1</v>
      </c>
      <c r="R1197">
        <f t="shared" si="54"/>
        <v>0.49333333333333335</v>
      </c>
      <c r="S1197">
        <f t="shared" si="55"/>
        <v>1</v>
      </c>
      <c r="T1197">
        <f>IF(AND(S1197&gt;1,COUNTIF($A$2:A1197,A1197)=1),1,0)</f>
        <v>0</v>
      </c>
      <c r="U1197">
        <f>COUNTIF(Customers!$A$2:$A$301,C1197)</f>
        <v>1</v>
      </c>
      <c r="V1197">
        <f t="shared" si="56"/>
        <v>0</v>
      </c>
    </row>
    <row r="1198" spans="1:22" ht="14.25" customHeight="1" x14ac:dyDescent="0.35">
      <c r="A1198" s="10" t="s">
        <v>1647</v>
      </c>
      <c r="B1198" s="11">
        <v>45335</v>
      </c>
      <c r="C1198" s="10" t="s">
        <v>723</v>
      </c>
      <c r="D1198" s="10" t="s">
        <v>131</v>
      </c>
      <c r="E1198" s="10" t="s">
        <v>237</v>
      </c>
      <c r="F1198" s="12">
        <v>5</v>
      </c>
      <c r="G1198" s="12">
        <v>2480</v>
      </c>
      <c r="H1198" s="12">
        <v>20.399999999999999</v>
      </c>
      <c r="I1198" s="12">
        <v>9870.4</v>
      </c>
      <c r="J1198" s="10" t="s">
        <v>51</v>
      </c>
      <c r="K1198" s="10" t="s">
        <v>81</v>
      </c>
      <c r="L1198" t="str">
        <f>IFERROR(VLOOKUP(D1198,Products!A:F,3,0),"")</f>
        <v>Apparel</v>
      </c>
      <c r="M1198" t="str">
        <f>IFERROR(VLOOKUP(E1198,Sales_Reps!A:E,3,0),"")</f>
        <v>South</v>
      </c>
      <c r="N1198" t="str">
        <f>IFERROR(VLOOKUP(C1198,Customers!A:F,5,0),"")</f>
        <v>Retail</v>
      </c>
      <c r="O1198">
        <f>IFERROR(VLOOKUP(C1198,Customers!A:F,3,0),"")</f>
        <v>29</v>
      </c>
      <c r="P1198">
        <f>IFERROR(VLOOKUP(D1198,Products!A:F,4,0),"")</f>
        <v>1173</v>
      </c>
      <c r="Q1198" t="b">
        <f>IFERROR(VLOOKUP(D1198,Products!A:F,6,0),"")</f>
        <v>1</v>
      </c>
      <c r="R1198">
        <f t="shared" si="54"/>
        <v>0.52701612903225803</v>
      </c>
      <c r="S1198">
        <f t="shared" si="55"/>
        <v>1</v>
      </c>
      <c r="T1198">
        <f>IF(AND(S1198&gt;1,COUNTIF($A$2:A1198,A1198)=1),1,0)</f>
        <v>0</v>
      </c>
      <c r="U1198">
        <f>COUNTIF(Customers!$A$2:$A$301,C1198)</f>
        <v>1</v>
      </c>
      <c r="V1198">
        <f t="shared" si="56"/>
        <v>0</v>
      </c>
    </row>
    <row r="1199" spans="1:22" ht="14.25" customHeight="1" x14ac:dyDescent="0.35">
      <c r="A1199" s="10" t="s">
        <v>1648</v>
      </c>
      <c r="B1199" s="11">
        <v>45334</v>
      </c>
      <c r="C1199" s="10" t="s">
        <v>230</v>
      </c>
      <c r="D1199" s="10" t="s">
        <v>111</v>
      </c>
      <c r="E1199" s="10" t="s">
        <v>96</v>
      </c>
      <c r="F1199" s="12">
        <v>4</v>
      </c>
      <c r="G1199" s="12">
        <v>190</v>
      </c>
      <c r="H1199" s="12">
        <v>2.6</v>
      </c>
      <c r="I1199" s="12">
        <v>740.24</v>
      </c>
      <c r="J1199" s="10" t="s">
        <v>51</v>
      </c>
      <c r="K1199" s="10" t="s">
        <v>63</v>
      </c>
      <c r="L1199" t="str">
        <f>IFERROR(VLOOKUP(D1199,Products!A:F,3,0),"")</f>
        <v>Sports</v>
      </c>
      <c r="M1199" t="str">
        <f>IFERROR(VLOOKUP(E1199,Sales_Reps!A:E,3,0),"")</f>
        <v>South</v>
      </c>
      <c r="N1199" t="str">
        <f>IFERROR(VLOOKUP(C1199,Customers!A:F,5,0),"")</f>
        <v>Corporate</v>
      </c>
      <c r="O1199">
        <f>IFERROR(VLOOKUP(C1199,Customers!A:F,3,0),"")</f>
        <v>55</v>
      </c>
      <c r="P1199">
        <f>IFERROR(VLOOKUP(D1199,Products!A:F,4,0),"")</f>
        <v>147</v>
      </c>
      <c r="Q1199" t="b">
        <f>IFERROR(VLOOKUP(D1199,Products!A:F,6,0),"")</f>
        <v>1</v>
      </c>
      <c r="R1199">
        <f t="shared" si="54"/>
        <v>0.22631578947368422</v>
      </c>
      <c r="S1199">
        <f t="shared" si="55"/>
        <v>1</v>
      </c>
      <c r="T1199">
        <f>IF(AND(S1199&gt;1,COUNTIF($A$2:A1199,A1199)=1),1,0)</f>
        <v>0</v>
      </c>
      <c r="U1199">
        <f>COUNTIF(Customers!$A$2:$A$301,C1199)</f>
        <v>1</v>
      </c>
      <c r="V1199">
        <f t="shared" si="56"/>
        <v>0</v>
      </c>
    </row>
    <row r="1200" spans="1:22" ht="14.25" customHeight="1" x14ac:dyDescent="0.35">
      <c r="A1200" s="10" t="s">
        <v>1649</v>
      </c>
      <c r="B1200" s="11">
        <v>45300</v>
      </c>
      <c r="C1200" s="10" t="s">
        <v>970</v>
      </c>
      <c r="D1200" s="10" t="s">
        <v>209</v>
      </c>
      <c r="E1200" s="10" t="s">
        <v>156</v>
      </c>
      <c r="F1200" s="12">
        <v>4</v>
      </c>
      <c r="G1200" s="12">
        <v>2270</v>
      </c>
      <c r="H1200" s="12">
        <v>8.1</v>
      </c>
      <c r="I1200" s="12">
        <v>8344.52</v>
      </c>
      <c r="J1200" s="10" t="s">
        <v>57</v>
      </c>
      <c r="K1200" s="10" t="s">
        <v>81</v>
      </c>
      <c r="L1200" t="str">
        <f>IFERROR(VLOOKUP(D1200,Products!A:F,3,0),"")</f>
        <v>Grocery</v>
      </c>
      <c r="M1200" t="str">
        <f>IFERROR(VLOOKUP(E1200,Sales_Reps!A:E,3,0),"")</f>
        <v>East</v>
      </c>
      <c r="N1200" t="str">
        <f>IFERROR(VLOOKUP(C1200,Customers!A:F,5,0),"")</f>
        <v>SMB</v>
      </c>
      <c r="O1200">
        <f>IFERROR(VLOOKUP(C1200,Customers!A:F,3,0),"")</f>
        <v>44</v>
      </c>
      <c r="P1200">
        <f>IFERROR(VLOOKUP(D1200,Products!A:F,4,0),"")</f>
        <v>1412</v>
      </c>
      <c r="Q1200" t="b">
        <f>IFERROR(VLOOKUP(D1200,Products!A:F,6,0),"")</f>
        <v>1</v>
      </c>
      <c r="R1200">
        <f t="shared" si="54"/>
        <v>0.37797356828193834</v>
      </c>
      <c r="S1200">
        <f t="shared" si="55"/>
        <v>1</v>
      </c>
      <c r="T1200">
        <f>IF(AND(S1200&gt;1,COUNTIF($A$2:A1200,A1200)=1),1,0)</f>
        <v>0</v>
      </c>
      <c r="U1200">
        <f>COUNTIF(Customers!$A$2:$A$301,C1200)</f>
        <v>1</v>
      </c>
      <c r="V1200">
        <f t="shared" si="56"/>
        <v>8344.52</v>
      </c>
    </row>
    <row r="1201" spans="1:22" ht="14.25" customHeight="1" x14ac:dyDescent="0.35">
      <c r="A1201" s="10" t="s">
        <v>1650</v>
      </c>
      <c r="B1201" s="11">
        <v>45400</v>
      </c>
      <c r="C1201" s="10" t="s">
        <v>474</v>
      </c>
      <c r="D1201" s="10" t="s">
        <v>319</v>
      </c>
      <c r="E1201" s="10" t="s">
        <v>92</v>
      </c>
      <c r="F1201" s="12">
        <v>7</v>
      </c>
      <c r="G1201" s="12">
        <v>2510</v>
      </c>
      <c r="H1201" s="12">
        <v>25.5</v>
      </c>
      <c r="I1201" s="12">
        <v>13089.65</v>
      </c>
      <c r="J1201" s="10" t="s">
        <v>51</v>
      </c>
      <c r="K1201" s="10" t="s">
        <v>81</v>
      </c>
      <c r="L1201" t="str">
        <f>IFERROR(VLOOKUP(D1201,Products!A:F,3,0),"")</f>
        <v>Apparel</v>
      </c>
      <c r="M1201" t="str">
        <f>IFERROR(VLOOKUP(E1201,Sales_Reps!A:E,3,0),"")</f>
        <v>West</v>
      </c>
      <c r="N1201" t="str">
        <f>IFERROR(VLOOKUP(C1201,Customers!A:F,5,0),"")</f>
        <v>SMB</v>
      </c>
      <c r="O1201">
        <f>IFERROR(VLOOKUP(C1201,Customers!A:F,3,0),"")</f>
        <v>26</v>
      </c>
      <c r="P1201">
        <f>IFERROR(VLOOKUP(D1201,Products!A:F,4,0),"")</f>
        <v>1075</v>
      </c>
      <c r="Q1201" t="b">
        <f>IFERROR(VLOOKUP(D1201,Products!A:F,6,0),"")</f>
        <v>0</v>
      </c>
      <c r="R1201">
        <f t="shared" si="54"/>
        <v>0.57171314741035861</v>
      </c>
      <c r="S1201">
        <f t="shared" si="55"/>
        <v>1</v>
      </c>
      <c r="T1201">
        <f>IF(AND(S1201&gt;1,COUNTIF($A$2:A1201,A1201)=1),1,0)</f>
        <v>0</v>
      </c>
      <c r="U1201">
        <f>COUNTIF(Customers!$A$2:$A$301,C1201)</f>
        <v>1</v>
      </c>
      <c r="V1201">
        <f t="shared" si="56"/>
        <v>0</v>
      </c>
    </row>
    <row r="1202" spans="1:22" ht="14.25" customHeight="1" x14ac:dyDescent="0.35">
      <c r="A1202" s="10" t="s">
        <v>1651</v>
      </c>
      <c r="B1202" s="11">
        <v>45423</v>
      </c>
      <c r="C1202" s="10" t="s">
        <v>90</v>
      </c>
      <c r="D1202" s="10" t="s">
        <v>425</v>
      </c>
      <c r="E1202" s="10" t="s">
        <v>103</v>
      </c>
      <c r="F1202" s="12">
        <v>3</v>
      </c>
      <c r="G1202" s="12">
        <v>3780</v>
      </c>
      <c r="H1202" s="12">
        <v>16.8</v>
      </c>
      <c r="I1202" s="12">
        <v>9434.8799999999992</v>
      </c>
      <c r="J1202" s="10" t="s">
        <v>51</v>
      </c>
      <c r="K1202" s="10" t="s">
        <v>52</v>
      </c>
      <c r="L1202" t="str">
        <f>IFERROR(VLOOKUP(D1202,Products!A:F,3,0),"")</f>
        <v>Sports</v>
      </c>
      <c r="M1202" t="str">
        <f>IFERROR(VLOOKUP(E1202,Sales_Reps!A:E,3,0),"")</f>
        <v>North</v>
      </c>
      <c r="N1202" t="str">
        <f>IFERROR(VLOOKUP(C1202,Customers!A:F,5,0),"")</f>
        <v>Retail</v>
      </c>
      <c r="O1202">
        <f>IFERROR(VLOOKUP(C1202,Customers!A:F,3,0),"")</f>
        <v>56</v>
      </c>
      <c r="P1202">
        <f>IFERROR(VLOOKUP(D1202,Products!A:F,4,0),"")</f>
        <v>1860</v>
      </c>
      <c r="Q1202" t="b">
        <f>IFERROR(VLOOKUP(D1202,Products!A:F,6,0),"")</f>
        <v>1</v>
      </c>
      <c r="R1202">
        <f t="shared" si="54"/>
        <v>0.50793650793650791</v>
      </c>
      <c r="S1202">
        <f t="shared" si="55"/>
        <v>1</v>
      </c>
      <c r="T1202">
        <f>IF(AND(S1202&gt;1,COUNTIF($A$2:A1202,A1202)=1),1,0)</f>
        <v>0</v>
      </c>
      <c r="U1202">
        <f>COUNTIF(Customers!$A$2:$A$301,C1202)</f>
        <v>1</v>
      </c>
      <c r="V1202">
        <f t="shared" si="56"/>
        <v>0</v>
      </c>
    </row>
    <row r="1203" spans="1:22" ht="14.25" customHeight="1" x14ac:dyDescent="0.35">
      <c r="A1203" s="10" t="s">
        <v>1652</v>
      </c>
      <c r="B1203" s="11">
        <v>45518</v>
      </c>
      <c r="C1203" s="10" t="s">
        <v>525</v>
      </c>
      <c r="D1203" s="10" t="s">
        <v>151</v>
      </c>
      <c r="E1203" s="10" t="s">
        <v>96</v>
      </c>
      <c r="F1203" s="12">
        <v>7</v>
      </c>
      <c r="G1203" s="12">
        <v>3570</v>
      </c>
      <c r="H1203" s="12">
        <v>23.7</v>
      </c>
      <c r="I1203" s="12">
        <v>19067.37</v>
      </c>
      <c r="J1203" s="10" t="s">
        <v>51</v>
      </c>
      <c r="K1203" s="10" t="s">
        <v>97</v>
      </c>
      <c r="L1203" t="str">
        <f>IFERROR(VLOOKUP(D1203,Products!A:F,3,0),"")</f>
        <v>Electronics</v>
      </c>
      <c r="M1203" t="str">
        <f>IFERROR(VLOOKUP(E1203,Sales_Reps!A:E,3,0),"")</f>
        <v>South</v>
      </c>
      <c r="N1203" t="str">
        <f>IFERROR(VLOOKUP(C1203,Customers!A:F,5,0),"")</f>
        <v>SMB</v>
      </c>
      <c r="O1203">
        <f>IFERROR(VLOOKUP(C1203,Customers!A:F,3,0),"")</f>
        <v>43</v>
      </c>
      <c r="P1203">
        <f>IFERROR(VLOOKUP(D1203,Products!A:F,4,0),"")</f>
        <v>1665</v>
      </c>
      <c r="Q1203" t="b">
        <f>IFERROR(VLOOKUP(D1203,Products!A:F,6,0),"")</f>
        <v>1</v>
      </c>
      <c r="R1203">
        <f t="shared" si="54"/>
        <v>0.53361344537815125</v>
      </c>
      <c r="S1203">
        <f t="shared" si="55"/>
        <v>1</v>
      </c>
      <c r="T1203">
        <f>IF(AND(S1203&gt;1,COUNTIF($A$2:A1203,A1203)=1),1,0)</f>
        <v>0</v>
      </c>
      <c r="U1203">
        <f>COUNTIF(Customers!$A$2:$A$301,C1203)</f>
        <v>1</v>
      </c>
      <c r="V1203">
        <f t="shared" si="56"/>
        <v>0</v>
      </c>
    </row>
    <row r="1204" spans="1:22" ht="14.25" customHeight="1" x14ac:dyDescent="0.35">
      <c r="A1204" s="10" t="s">
        <v>1653</v>
      </c>
      <c r="B1204" s="11">
        <v>45559</v>
      </c>
      <c r="C1204" s="10" t="s">
        <v>391</v>
      </c>
      <c r="D1204" s="10" t="s">
        <v>167</v>
      </c>
      <c r="E1204" s="10" t="s">
        <v>237</v>
      </c>
      <c r="F1204" s="12">
        <v>4</v>
      </c>
      <c r="G1204" s="12">
        <v>660</v>
      </c>
      <c r="H1204" s="12">
        <v>3.6</v>
      </c>
      <c r="I1204" s="12">
        <v>2544.96</v>
      </c>
      <c r="J1204" s="10" t="s">
        <v>51</v>
      </c>
      <c r="K1204" s="10" t="s">
        <v>52</v>
      </c>
      <c r="L1204" t="str">
        <f>IFERROR(VLOOKUP(D1204,Products!A:F,3,0),"")</f>
        <v>Home</v>
      </c>
      <c r="M1204" t="str">
        <f>IFERROR(VLOOKUP(E1204,Sales_Reps!A:E,3,0),"")</f>
        <v>South</v>
      </c>
      <c r="N1204" t="str">
        <f>IFERROR(VLOOKUP(C1204,Customers!A:F,5,0),"")</f>
        <v>Corporate</v>
      </c>
      <c r="O1204">
        <f>IFERROR(VLOOKUP(C1204,Customers!A:F,3,0),"")</f>
        <v>48</v>
      </c>
      <c r="P1204">
        <f>IFERROR(VLOOKUP(D1204,Products!A:F,4,0),"")</f>
        <v>329</v>
      </c>
      <c r="Q1204" t="b">
        <f>IFERROR(VLOOKUP(D1204,Products!A:F,6,0),"")</f>
        <v>1</v>
      </c>
      <c r="R1204">
        <f t="shared" si="54"/>
        <v>0.50151515151515147</v>
      </c>
      <c r="S1204">
        <f t="shared" si="55"/>
        <v>1</v>
      </c>
      <c r="T1204">
        <f>IF(AND(S1204&gt;1,COUNTIF($A$2:A1204,A1204)=1),1,0)</f>
        <v>0</v>
      </c>
      <c r="U1204">
        <f>COUNTIF(Customers!$A$2:$A$301,C1204)</f>
        <v>1</v>
      </c>
      <c r="V1204">
        <f t="shared" si="56"/>
        <v>0</v>
      </c>
    </row>
    <row r="1205" spans="1:22" ht="14.25" customHeight="1" x14ac:dyDescent="0.35">
      <c r="A1205" s="10" t="s">
        <v>1654</v>
      </c>
      <c r="B1205" s="11">
        <v>45501</v>
      </c>
      <c r="C1205" s="10" t="s">
        <v>1015</v>
      </c>
      <c r="D1205" s="10" t="s">
        <v>91</v>
      </c>
      <c r="E1205" s="10" t="s">
        <v>96</v>
      </c>
      <c r="F1205" s="12">
        <v>7</v>
      </c>
      <c r="G1205" s="12">
        <v>970</v>
      </c>
      <c r="H1205" s="12">
        <v>23.7</v>
      </c>
      <c r="I1205" s="12">
        <v>5180.7700000000004</v>
      </c>
      <c r="J1205" s="10" t="s">
        <v>51</v>
      </c>
      <c r="K1205" s="10" t="s">
        <v>76</v>
      </c>
      <c r="L1205" t="str">
        <f>IFERROR(VLOOKUP(D1205,Products!A:F,3,0),"")</f>
        <v>Grocery</v>
      </c>
      <c r="M1205" t="str">
        <f>IFERROR(VLOOKUP(E1205,Sales_Reps!A:E,3,0),"")</f>
        <v>South</v>
      </c>
      <c r="N1205" t="str">
        <f>IFERROR(VLOOKUP(C1205,Customers!A:F,5,0),"")</f>
        <v>Retail</v>
      </c>
      <c r="O1205">
        <f>IFERROR(VLOOKUP(C1205,Customers!A:F,3,0),"")</f>
        <v>54</v>
      </c>
      <c r="P1205">
        <f>IFERROR(VLOOKUP(D1205,Products!A:F,4,0),"")</f>
        <v>434</v>
      </c>
      <c r="Q1205" t="b">
        <f>IFERROR(VLOOKUP(D1205,Products!A:F,6,0),"")</f>
        <v>1</v>
      </c>
      <c r="R1205">
        <f t="shared" si="54"/>
        <v>0.5525773195876289</v>
      </c>
      <c r="S1205">
        <f t="shared" si="55"/>
        <v>1</v>
      </c>
      <c r="T1205">
        <f>IF(AND(S1205&gt;1,COUNTIF($A$2:A1205,A1205)=1),1,0)</f>
        <v>0</v>
      </c>
      <c r="U1205">
        <f>COUNTIF(Customers!$A$2:$A$301,C1205)</f>
        <v>1</v>
      </c>
      <c r="V1205">
        <f t="shared" si="56"/>
        <v>0</v>
      </c>
    </row>
    <row r="1206" spans="1:22" ht="14.25" customHeight="1" x14ac:dyDescent="0.35">
      <c r="A1206" s="10" t="s">
        <v>1655</v>
      </c>
      <c r="B1206" s="11">
        <v>45338</v>
      </c>
      <c r="C1206" s="10" t="s">
        <v>832</v>
      </c>
      <c r="D1206" s="10" t="s">
        <v>95</v>
      </c>
      <c r="E1206" s="10" t="s">
        <v>67</v>
      </c>
      <c r="F1206" s="12">
        <v>8</v>
      </c>
      <c r="G1206" s="12">
        <v>2270</v>
      </c>
      <c r="H1206" s="12">
        <v>6.8</v>
      </c>
      <c r="I1206" s="12">
        <v>16925.12</v>
      </c>
      <c r="J1206" s="10" t="s">
        <v>51</v>
      </c>
      <c r="K1206" s="10" t="s">
        <v>63</v>
      </c>
      <c r="L1206" t="str">
        <f>IFERROR(VLOOKUP(D1206,Products!A:F,3,0),"")</f>
        <v>Grocery</v>
      </c>
      <c r="M1206" t="str">
        <f>IFERROR(VLOOKUP(E1206,Sales_Reps!A:E,3,0),"")</f>
        <v>North</v>
      </c>
      <c r="N1206" t="str">
        <f>IFERROR(VLOOKUP(C1206,Customers!A:F,5,0),"")</f>
        <v>SMB</v>
      </c>
      <c r="O1206">
        <f>IFERROR(VLOOKUP(C1206,Customers!A:F,3,0),"")</f>
        <v>38</v>
      </c>
      <c r="P1206">
        <f>IFERROR(VLOOKUP(D1206,Products!A:F,4,0),"")</f>
        <v>1203</v>
      </c>
      <c r="Q1206" t="b">
        <f>IFERROR(VLOOKUP(D1206,Products!A:F,6,0),"")</f>
        <v>1</v>
      </c>
      <c r="R1206">
        <f t="shared" si="54"/>
        <v>0.47004405286343615</v>
      </c>
      <c r="S1206">
        <f t="shared" si="55"/>
        <v>1</v>
      </c>
      <c r="T1206">
        <f>IF(AND(S1206&gt;1,COUNTIF($A$2:A1206,A1206)=1),1,0)</f>
        <v>0</v>
      </c>
      <c r="U1206">
        <f>COUNTIF(Customers!$A$2:$A$301,C1206)</f>
        <v>1</v>
      </c>
      <c r="V1206">
        <f t="shared" si="56"/>
        <v>0</v>
      </c>
    </row>
    <row r="1207" spans="1:22" ht="14.25" customHeight="1" x14ac:dyDescent="0.35">
      <c r="A1207" s="10" t="s">
        <v>1656</v>
      </c>
      <c r="B1207" s="11">
        <v>45585</v>
      </c>
      <c r="C1207" s="10" t="s">
        <v>581</v>
      </c>
      <c r="D1207" s="10" t="s">
        <v>115</v>
      </c>
      <c r="E1207" s="10" t="s">
        <v>289</v>
      </c>
      <c r="F1207" s="12">
        <v>1</v>
      </c>
      <c r="G1207" s="12">
        <v>2400</v>
      </c>
      <c r="H1207" s="12">
        <v>26.5</v>
      </c>
      <c r="I1207" s="12">
        <v>1764</v>
      </c>
      <c r="J1207" s="10" t="s">
        <v>51</v>
      </c>
      <c r="K1207" s="10" t="s">
        <v>76</v>
      </c>
      <c r="L1207" t="str">
        <f>IFERROR(VLOOKUP(D1207,Products!A:F,3,0),"")</f>
        <v>Sports</v>
      </c>
      <c r="M1207" t="str">
        <f>IFERROR(VLOOKUP(E1207,Sales_Reps!A:E,3,0),"")</f>
        <v>South</v>
      </c>
      <c r="N1207" t="str">
        <f>IFERROR(VLOOKUP(C1207,Customers!A:F,5,0),"")</f>
        <v>SMB</v>
      </c>
      <c r="O1207">
        <f>IFERROR(VLOOKUP(C1207,Customers!A:F,3,0),"")</f>
        <v>65</v>
      </c>
      <c r="P1207">
        <f>IFERROR(VLOOKUP(D1207,Products!A:F,4,0),"")</f>
        <v>974</v>
      </c>
      <c r="Q1207" t="b">
        <f>IFERROR(VLOOKUP(D1207,Products!A:F,6,0),"")</f>
        <v>1</v>
      </c>
      <c r="R1207">
        <f t="shared" si="54"/>
        <v>0.59416666666666662</v>
      </c>
      <c r="S1207">
        <f t="shared" si="55"/>
        <v>1</v>
      </c>
      <c r="T1207">
        <f>IF(AND(S1207&gt;1,COUNTIF($A$2:A1207,A1207)=1),1,0)</f>
        <v>0</v>
      </c>
      <c r="U1207">
        <f>COUNTIF(Customers!$A$2:$A$301,C1207)</f>
        <v>1</v>
      </c>
      <c r="V1207">
        <f t="shared" si="56"/>
        <v>0</v>
      </c>
    </row>
    <row r="1208" spans="1:22" ht="14.25" customHeight="1" x14ac:dyDescent="0.35">
      <c r="A1208" s="10" t="s">
        <v>1657</v>
      </c>
      <c r="B1208" s="11">
        <v>45525</v>
      </c>
      <c r="C1208" s="10" t="s">
        <v>607</v>
      </c>
      <c r="D1208" s="10" t="s">
        <v>407</v>
      </c>
      <c r="E1208" s="10" t="s">
        <v>96</v>
      </c>
      <c r="F1208" s="12">
        <v>5</v>
      </c>
      <c r="G1208" s="12">
        <v>5080</v>
      </c>
      <c r="H1208" s="12">
        <v>29.6</v>
      </c>
      <c r="I1208" s="12">
        <v>17881.599999999999</v>
      </c>
      <c r="J1208" s="10" t="s">
        <v>51</v>
      </c>
      <c r="K1208" s="10" t="s">
        <v>76</v>
      </c>
      <c r="L1208" t="str">
        <f>IFERROR(VLOOKUP(D1208,Products!A:F,3,0),"")</f>
        <v>Home</v>
      </c>
      <c r="M1208" t="str">
        <f>IFERROR(VLOOKUP(E1208,Sales_Reps!A:E,3,0),"")</f>
        <v>South</v>
      </c>
      <c r="N1208" t="str">
        <f>IFERROR(VLOOKUP(C1208,Customers!A:F,5,0),"")</f>
        <v>SMB</v>
      </c>
      <c r="O1208">
        <f>IFERROR(VLOOKUP(C1208,Customers!A:F,3,0),"")</f>
        <v>27</v>
      </c>
      <c r="P1208">
        <f>IFERROR(VLOOKUP(D1208,Products!A:F,4,0),"")</f>
        <v>2459</v>
      </c>
      <c r="Q1208" t="b">
        <f>IFERROR(VLOOKUP(D1208,Products!A:F,6,0),"")</f>
        <v>1</v>
      </c>
      <c r="R1208">
        <f t="shared" si="54"/>
        <v>0.51594488188976373</v>
      </c>
      <c r="S1208">
        <f t="shared" si="55"/>
        <v>1</v>
      </c>
      <c r="T1208">
        <f>IF(AND(S1208&gt;1,COUNTIF($A$2:A1208,A1208)=1),1,0)</f>
        <v>0</v>
      </c>
      <c r="U1208">
        <f>COUNTIF(Customers!$A$2:$A$301,C1208)</f>
        <v>1</v>
      </c>
      <c r="V1208">
        <f t="shared" si="56"/>
        <v>0</v>
      </c>
    </row>
    <row r="1209" spans="1:22" ht="14.25" customHeight="1" x14ac:dyDescent="0.35">
      <c r="A1209" s="10" t="s">
        <v>1658</v>
      </c>
      <c r="B1209" s="11">
        <v>45351</v>
      </c>
      <c r="C1209" s="10" t="s">
        <v>274</v>
      </c>
      <c r="D1209" s="10" t="s">
        <v>143</v>
      </c>
      <c r="E1209" s="10" t="s">
        <v>62</v>
      </c>
      <c r="F1209" s="12">
        <v>9</v>
      </c>
      <c r="G1209" s="12">
        <v>3350</v>
      </c>
      <c r="H1209" s="12">
        <v>6.2</v>
      </c>
      <c r="I1209" s="12">
        <v>28280.7</v>
      </c>
      <c r="J1209" s="10" t="s">
        <v>51</v>
      </c>
      <c r="K1209" s="10" t="s">
        <v>81</v>
      </c>
      <c r="L1209" t="str">
        <f>IFERROR(VLOOKUP(D1209,Products!A:F,3,0),"")</f>
        <v>Beauty</v>
      </c>
      <c r="M1209" t="str">
        <f>IFERROR(VLOOKUP(E1209,Sales_Reps!A:E,3,0),"")</f>
        <v>South</v>
      </c>
      <c r="N1209" t="str">
        <f>IFERROR(VLOOKUP(C1209,Customers!A:F,5,0),"")</f>
        <v>Retail</v>
      </c>
      <c r="O1209">
        <f>IFERROR(VLOOKUP(C1209,Customers!A:F,3,0),"")</f>
        <v>42</v>
      </c>
      <c r="P1209">
        <f>IFERROR(VLOOKUP(D1209,Products!A:F,4,0),"")</f>
        <v>1728</v>
      </c>
      <c r="Q1209" t="b">
        <f>IFERROR(VLOOKUP(D1209,Products!A:F,6,0),"")</f>
        <v>1</v>
      </c>
      <c r="R1209">
        <f t="shared" si="54"/>
        <v>0.48417910447761192</v>
      </c>
      <c r="S1209">
        <f t="shared" si="55"/>
        <v>1</v>
      </c>
      <c r="T1209">
        <f>IF(AND(S1209&gt;1,COUNTIF($A$2:A1209,A1209)=1),1,0)</f>
        <v>0</v>
      </c>
      <c r="U1209">
        <f>COUNTIF(Customers!$A$2:$A$301,C1209)</f>
        <v>1</v>
      </c>
      <c r="V1209">
        <f t="shared" si="56"/>
        <v>0</v>
      </c>
    </row>
    <row r="1210" spans="1:22" ht="14.25" customHeight="1" x14ac:dyDescent="0.35">
      <c r="A1210" s="10" t="s">
        <v>1659</v>
      </c>
      <c r="B1210" s="11">
        <v>45560</v>
      </c>
      <c r="C1210" s="10" t="s">
        <v>759</v>
      </c>
      <c r="D1210" s="10" t="s">
        <v>223</v>
      </c>
      <c r="E1210" s="10" t="s">
        <v>179</v>
      </c>
      <c r="F1210" s="12">
        <v>4</v>
      </c>
      <c r="G1210" s="12">
        <v>1540</v>
      </c>
      <c r="H1210" s="12">
        <v>22.2</v>
      </c>
      <c r="I1210" s="12">
        <v>4792.4799999999996</v>
      </c>
      <c r="J1210" s="10" t="s">
        <v>51</v>
      </c>
      <c r="K1210" s="10" t="s">
        <v>58</v>
      </c>
      <c r="L1210" t="str">
        <f>IFERROR(VLOOKUP(D1210,Products!A:F,3,0),"")</f>
        <v>Beauty</v>
      </c>
      <c r="M1210" t="str">
        <f>IFERROR(VLOOKUP(E1210,Sales_Reps!A:E,3,0),"")</f>
        <v>North</v>
      </c>
      <c r="N1210" t="str">
        <f>IFERROR(VLOOKUP(C1210,Customers!A:F,5,0),"")</f>
        <v>Retail</v>
      </c>
      <c r="O1210">
        <f>IFERROR(VLOOKUP(C1210,Customers!A:F,3,0),"")</f>
        <v>22</v>
      </c>
      <c r="P1210">
        <f>IFERROR(VLOOKUP(D1210,Products!A:F,4,0),"")</f>
        <v>647</v>
      </c>
      <c r="Q1210" t="b">
        <f>IFERROR(VLOOKUP(D1210,Products!A:F,6,0),"")</f>
        <v>0</v>
      </c>
      <c r="R1210">
        <f t="shared" si="54"/>
        <v>0.57987012987012987</v>
      </c>
      <c r="S1210">
        <f t="shared" si="55"/>
        <v>1</v>
      </c>
      <c r="T1210">
        <f>IF(AND(S1210&gt;1,COUNTIF($A$2:A1210,A1210)=1),1,0)</f>
        <v>0</v>
      </c>
      <c r="U1210">
        <f>COUNTIF(Customers!$A$2:$A$301,C1210)</f>
        <v>1</v>
      </c>
      <c r="V1210">
        <f t="shared" si="56"/>
        <v>0</v>
      </c>
    </row>
    <row r="1211" spans="1:22" ht="14.25" customHeight="1" x14ac:dyDescent="0.35">
      <c r="A1211" s="10" t="s">
        <v>1660</v>
      </c>
      <c r="B1211" s="11">
        <v>45431</v>
      </c>
      <c r="C1211" s="10" t="s">
        <v>521</v>
      </c>
      <c r="D1211" s="10" t="s">
        <v>407</v>
      </c>
      <c r="E1211" s="10" t="s">
        <v>261</v>
      </c>
      <c r="F1211" s="12">
        <v>10</v>
      </c>
      <c r="G1211" s="12">
        <v>5080</v>
      </c>
      <c r="H1211" s="12">
        <v>11.8</v>
      </c>
      <c r="I1211" s="12">
        <v>44805.599999999999</v>
      </c>
      <c r="J1211" s="10" t="s">
        <v>51</v>
      </c>
      <c r="K1211" s="10" t="s">
        <v>76</v>
      </c>
      <c r="L1211" t="str">
        <f>IFERROR(VLOOKUP(D1211,Products!A:F,3,0),"")</f>
        <v>Home</v>
      </c>
      <c r="M1211" t="str">
        <f>IFERROR(VLOOKUP(E1211,Sales_Reps!A:E,3,0),"")</f>
        <v>North</v>
      </c>
      <c r="N1211" t="str">
        <f>IFERROR(VLOOKUP(C1211,Customers!A:F,5,0),"")</f>
        <v>Retail</v>
      </c>
      <c r="O1211">
        <f>IFERROR(VLOOKUP(C1211,Customers!A:F,3,0),"")</f>
        <v>65</v>
      </c>
      <c r="P1211">
        <f>IFERROR(VLOOKUP(D1211,Products!A:F,4,0),"")</f>
        <v>2459</v>
      </c>
      <c r="Q1211" t="b">
        <f>IFERROR(VLOOKUP(D1211,Products!A:F,6,0),"")</f>
        <v>1</v>
      </c>
      <c r="R1211">
        <f t="shared" si="54"/>
        <v>0.51594488188976373</v>
      </c>
      <c r="S1211">
        <f t="shared" si="55"/>
        <v>1</v>
      </c>
      <c r="T1211">
        <f>IF(AND(S1211&gt;1,COUNTIF($A$2:A1211,A1211)=1),1,0)</f>
        <v>0</v>
      </c>
      <c r="U1211">
        <f>COUNTIF(Customers!$A$2:$A$301,C1211)</f>
        <v>1</v>
      </c>
      <c r="V1211">
        <f t="shared" si="56"/>
        <v>0</v>
      </c>
    </row>
    <row r="1212" spans="1:22" ht="14.25" customHeight="1" x14ac:dyDescent="0.35">
      <c r="A1212" s="10" t="s">
        <v>1661</v>
      </c>
      <c r="B1212" s="11">
        <v>45296</v>
      </c>
      <c r="C1212" s="10" t="s">
        <v>920</v>
      </c>
      <c r="D1212" s="10" t="s">
        <v>623</v>
      </c>
      <c r="E1212" s="10" t="s">
        <v>289</v>
      </c>
      <c r="F1212" s="12">
        <v>9</v>
      </c>
      <c r="G1212" s="12">
        <v>3560</v>
      </c>
      <c r="H1212" s="12">
        <v>15.9</v>
      </c>
      <c r="I1212" s="12">
        <v>26945.64</v>
      </c>
      <c r="J1212" s="10" t="s">
        <v>51</v>
      </c>
      <c r="K1212" s="10" t="s">
        <v>76</v>
      </c>
      <c r="L1212" t="str">
        <f>IFERROR(VLOOKUP(D1212,Products!A:F,3,0),"")</f>
        <v>Apparel</v>
      </c>
      <c r="M1212" t="str">
        <f>IFERROR(VLOOKUP(E1212,Sales_Reps!A:E,3,0),"")</f>
        <v>South</v>
      </c>
      <c r="N1212" t="str">
        <f>IFERROR(VLOOKUP(C1212,Customers!A:F,5,0),"")</f>
        <v>Retail</v>
      </c>
      <c r="O1212">
        <f>IFERROR(VLOOKUP(C1212,Customers!A:F,3,0),"")</f>
        <v>49</v>
      </c>
      <c r="P1212">
        <f>IFERROR(VLOOKUP(D1212,Products!A:F,4,0),"")</f>
        <v>2629</v>
      </c>
      <c r="Q1212" t="b">
        <f>IFERROR(VLOOKUP(D1212,Products!A:F,6,0),"")</f>
        <v>1</v>
      </c>
      <c r="R1212">
        <f t="shared" si="54"/>
        <v>0.26151685393258428</v>
      </c>
      <c r="S1212">
        <f t="shared" si="55"/>
        <v>1</v>
      </c>
      <c r="T1212">
        <f>IF(AND(S1212&gt;1,COUNTIF($A$2:A1212,A1212)=1),1,0)</f>
        <v>0</v>
      </c>
      <c r="U1212">
        <f>COUNTIF(Customers!$A$2:$A$301,C1212)</f>
        <v>1</v>
      </c>
      <c r="V1212">
        <f t="shared" si="56"/>
        <v>0</v>
      </c>
    </row>
    <row r="1213" spans="1:22" ht="14.25" customHeight="1" x14ac:dyDescent="0.35">
      <c r="A1213" s="10" t="s">
        <v>1662</v>
      </c>
      <c r="B1213" s="11">
        <v>45629</v>
      </c>
      <c r="C1213" s="10" t="s">
        <v>964</v>
      </c>
      <c r="D1213" s="10" t="s">
        <v>128</v>
      </c>
      <c r="E1213" s="10" t="s">
        <v>168</v>
      </c>
      <c r="F1213" s="12">
        <v>2</v>
      </c>
      <c r="G1213" s="12">
        <v>1080</v>
      </c>
      <c r="H1213" s="12">
        <v>21.1</v>
      </c>
      <c r="I1213" s="12">
        <v>1704.24</v>
      </c>
      <c r="J1213" s="10" t="s">
        <v>51</v>
      </c>
      <c r="K1213" s="10" t="s">
        <v>81</v>
      </c>
      <c r="L1213" t="str">
        <f>IFERROR(VLOOKUP(D1213,Products!A:F,3,0),"")</f>
        <v>Home</v>
      </c>
      <c r="M1213" t="str">
        <f>IFERROR(VLOOKUP(E1213,Sales_Reps!A:E,3,0),"")</f>
        <v>South</v>
      </c>
      <c r="N1213" t="str">
        <f>IFERROR(VLOOKUP(C1213,Customers!A:F,5,0),"")</f>
        <v>Retail</v>
      </c>
      <c r="O1213">
        <f>IFERROR(VLOOKUP(C1213,Customers!A:F,3,0),"")</f>
        <v>27</v>
      </c>
      <c r="P1213">
        <f>IFERROR(VLOOKUP(D1213,Products!A:F,4,0),"")</f>
        <v>519</v>
      </c>
      <c r="Q1213" t="b">
        <f>IFERROR(VLOOKUP(D1213,Products!A:F,6,0),"")</f>
        <v>1</v>
      </c>
      <c r="R1213">
        <f t="shared" si="54"/>
        <v>0.51944444444444449</v>
      </c>
      <c r="S1213">
        <f t="shared" si="55"/>
        <v>1</v>
      </c>
      <c r="T1213">
        <f>IF(AND(S1213&gt;1,COUNTIF($A$2:A1213,A1213)=1),1,0)</f>
        <v>0</v>
      </c>
      <c r="U1213">
        <f>COUNTIF(Customers!$A$2:$A$301,C1213)</f>
        <v>1</v>
      </c>
      <c r="V1213">
        <f t="shared" si="56"/>
        <v>0</v>
      </c>
    </row>
    <row r="1214" spans="1:22" ht="14.25" customHeight="1" x14ac:dyDescent="0.35">
      <c r="A1214" s="10" t="s">
        <v>1663</v>
      </c>
      <c r="B1214" s="11">
        <v>45310</v>
      </c>
      <c r="C1214" s="10" t="s">
        <v>356</v>
      </c>
      <c r="D1214" s="10" t="s">
        <v>331</v>
      </c>
      <c r="E1214" s="10" t="s">
        <v>267</v>
      </c>
      <c r="F1214" s="12">
        <v>5</v>
      </c>
      <c r="G1214" s="12">
        <v>2380</v>
      </c>
      <c r="H1214" s="12">
        <v>20.5</v>
      </c>
      <c r="I1214" s="12">
        <v>9460.5</v>
      </c>
      <c r="J1214" s="10" t="s">
        <v>51</v>
      </c>
      <c r="K1214" s="10" t="s">
        <v>76</v>
      </c>
      <c r="L1214" t="str">
        <f>IFERROR(VLOOKUP(D1214,Products!A:F,3,0),"")</f>
        <v>Grocery</v>
      </c>
      <c r="M1214" t="str">
        <f>IFERROR(VLOOKUP(E1214,Sales_Reps!A:E,3,0),"")</f>
        <v>East</v>
      </c>
      <c r="N1214" t="str">
        <f>IFERROR(VLOOKUP(C1214,Customers!A:F,5,0),"")</f>
        <v>Retail</v>
      </c>
      <c r="O1214">
        <f>IFERROR(VLOOKUP(C1214,Customers!A:F,3,0),"")</f>
        <v>50</v>
      </c>
      <c r="P1214">
        <f>IFERROR(VLOOKUP(D1214,Products!A:F,4,0),"")</f>
        <v>1182</v>
      </c>
      <c r="Q1214" t="b">
        <f>IFERROR(VLOOKUP(D1214,Products!A:F,6,0),"")</f>
        <v>1</v>
      </c>
      <c r="R1214">
        <f t="shared" si="54"/>
        <v>0.50336134453781511</v>
      </c>
      <c r="S1214">
        <f t="shared" si="55"/>
        <v>1</v>
      </c>
      <c r="T1214">
        <f>IF(AND(S1214&gt;1,COUNTIF($A$2:A1214,A1214)=1),1,0)</f>
        <v>0</v>
      </c>
      <c r="U1214">
        <f>COUNTIF(Customers!$A$2:$A$301,C1214)</f>
        <v>1</v>
      </c>
      <c r="V1214">
        <f t="shared" si="56"/>
        <v>0</v>
      </c>
    </row>
    <row r="1215" spans="1:22" ht="14.25" customHeight="1" x14ac:dyDescent="0.35">
      <c r="A1215" s="10" t="s">
        <v>1664</v>
      </c>
      <c r="B1215" s="11">
        <v>45498</v>
      </c>
      <c r="C1215" s="10" t="s">
        <v>282</v>
      </c>
      <c r="D1215" s="10" t="s">
        <v>131</v>
      </c>
      <c r="E1215" s="10" t="s">
        <v>75</v>
      </c>
      <c r="F1215" s="12">
        <v>9</v>
      </c>
      <c r="G1215" s="12">
        <v>2480</v>
      </c>
      <c r="H1215" s="12">
        <v>1.2</v>
      </c>
      <c r="I1215" s="12">
        <v>22052.16</v>
      </c>
      <c r="J1215" s="10" t="s">
        <v>51</v>
      </c>
      <c r="K1215" s="10" t="s">
        <v>58</v>
      </c>
      <c r="L1215" t="str">
        <f>IFERROR(VLOOKUP(D1215,Products!A:F,3,0),"")</f>
        <v>Apparel</v>
      </c>
      <c r="M1215" t="str">
        <f>IFERROR(VLOOKUP(E1215,Sales_Reps!A:E,3,0),"")</f>
        <v>West</v>
      </c>
      <c r="N1215" t="str">
        <f>IFERROR(VLOOKUP(C1215,Customers!A:F,5,0),"")</f>
        <v>SMB</v>
      </c>
      <c r="O1215">
        <f>IFERROR(VLOOKUP(C1215,Customers!A:F,3,0),"")</f>
        <v>57</v>
      </c>
      <c r="P1215">
        <f>IFERROR(VLOOKUP(D1215,Products!A:F,4,0),"")</f>
        <v>1173</v>
      </c>
      <c r="Q1215" t="b">
        <f>IFERROR(VLOOKUP(D1215,Products!A:F,6,0),"")</f>
        <v>1</v>
      </c>
      <c r="R1215">
        <f t="shared" si="54"/>
        <v>0.52701612903225803</v>
      </c>
      <c r="S1215">
        <f t="shared" si="55"/>
        <v>1</v>
      </c>
      <c r="T1215">
        <f>IF(AND(S1215&gt;1,COUNTIF($A$2:A1215,A1215)=1),1,0)</f>
        <v>0</v>
      </c>
      <c r="U1215">
        <f>COUNTIF(Customers!$A$2:$A$301,C1215)</f>
        <v>1</v>
      </c>
      <c r="V1215">
        <f t="shared" si="56"/>
        <v>0</v>
      </c>
    </row>
    <row r="1216" spans="1:22" ht="14.25" customHeight="1" x14ac:dyDescent="0.35">
      <c r="A1216" s="10" t="s">
        <v>1665</v>
      </c>
      <c r="B1216" s="11">
        <v>45348</v>
      </c>
      <c r="C1216" s="10" t="s">
        <v>705</v>
      </c>
      <c r="D1216" s="10" t="s">
        <v>350</v>
      </c>
      <c r="E1216" s="10" t="s">
        <v>289</v>
      </c>
      <c r="F1216" s="12">
        <v>9</v>
      </c>
      <c r="G1216" s="12">
        <v>2290</v>
      </c>
      <c r="H1216" s="12">
        <v>0.9</v>
      </c>
      <c r="I1216" s="12">
        <v>20424.509999999998</v>
      </c>
      <c r="J1216" s="10" t="s">
        <v>51</v>
      </c>
      <c r="K1216" s="10" t="s">
        <v>97</v>
      </c>
      <c r="L1216" t="str">
        <f>IFERROR(VLOOKUP(D1216,Products!A:F,3,0),"")</f>
        <v>Beauty</v>
      </c>
      <c r="M1216" t="str">
        <f>IFERROR(VLOOKUP(E1216,Sales_Reps!A:E,3,0),"")</f>
        <v>South</v>
      </c>
      <c r="N1216" t="str">
        <f>IFERROR(VLOOKUP(C1216,Customers!A:F,5,0),"")</f>
        <v>SMB</v>
      </c>
      <c r="O1216">
        <f>IFERROR(VLOOKUP(C1216,Customers!A:F,3,0),"")</f>
        <v>29</v>
      </c>
      <c r="P1216">
        <f>IFERROR(VLOOKUP(D1216,Products!A:F,4,0),"")</f>
        <v>1219</v>
      </c>
      <c r="Q1216" t="b">
        <f>IFERROR(VLOOKUP(D1216,Products!A:F,6,0),"")</f>
        <v>1</v>
      </c>
      <c r="R1216">
        <f t="shared" si="54"/>
        <v>0.46768558951965067</v>
      </c>
      <c r="S1216">
        <f t="shared" si="55"/>
        <v>1</v>
      </c>
      <c r="T1216">
        <f>IF(AND(S1216&gt;1,COUNTIF($A$2:A1216,A1216)=1),1,0)</f>
        <v>0</v>
      </c>
      <c r="U1216">
        <f>COUNTIF(Customers!$A$2:$A$301,C1216)</f>
        <v>1</v>
      </c>
      <c r="V1216">
        <f t="shared" si="56"/>
        <v>0</v>
      </c>
    </row>
    <row r="1217" spans="1:22" ht="14.25" customHeight="1" x14ac:dyDescent="0.35">
      <c r="A1217" s="10" t="s">
        <v>1666</v>
      </c>
      <c r="B1217" s="11">
        <v>45382</v>
      </c>
      <c r="C1217" s="10" t="s">
        <v>492</v>
      </c>
      <c r="D1217" s="10" t="s">
        <v>416</v>
      </c>
      <c r="E1217" s="10" t="s">
        <v>237</v>
      </c>
      <c r="F1217" s="12">
        <v>3</v>
      </c>
      <c r="G1217" s="12">
        <v>3450</v>
      </c>
      <c r="H1217" s="12">
        <v>29.5</v>
      </c>
      <c r="I1217" s="12">
        <v>7296.75</v>
      </c>
      <c r="J1217" s="10" t="s">
        <v>51</v>
      </c>
      <c r="K1217" s="10" t="s">
        <v>76</v>
      </c>
      <c r="L1217" t="str">
        <f>IFERROR(VLOOKUP(D1217,Products!A:F,3,0),"")</f>
        <v>Apparel</v>
      </c>
      <c r="M1217" t="str">
        <f>IFERROR(VLOOKUP(E1217,Sales_Reps!A:E,3,0),"")</f>
        <v>South</v>
      </c>
      <c r="N1217" t="str">
        <f>IFERROR(VLOOKUP(C1217,Customers!A:F,5,0),"")</f>
        <v>Retail</v>
      </c>
      <c r="O1217">
        <f>IFERROR(VLOOKUP(C1217,Customers!A:F,3,0),"")</f>
        <v>44</v>
      </c>
      <c r="P1217">
        <f>IFERROR(VLOOKUP(D1217,Products!A:F,4,0),"")</f>
        <v>1748</v>
      </c>
      <c r="Q1217" t="b">
        <f>IFERROR(VLOOKUP(D1217,Products!A:F,6,0),"")</f>
        <v>1</v>
      </c>
      <c r="R1217">
        <f t="shared" si="54"/>
        <v>0.49333333333333335</v>
      </c>
      <c r="S1217">
        <f t="shared" si="55"/>
        <v>1</v>
      </c>
      <c r="T1217">
        <f>IF(AND(S1217&gt;1,COUNTIF($A$2:A1217,A1217)=1),1,0)</f>
        <v>0</v>
      </c>
      <c r="U1217">
        <f>COUNTIF(Customers!$A$2:$A$301,C1217)</f>
        <v>1</v>
      </c>
      <c r="V1217">
        <f t="shared" si="56"/>
        <v>0</v>
      </c>
    </row>
    <row r="1218" spans="1:22" ht="14.25" customHeight="1" x14ac:dyDescent="0.35">
      <c r="A1218" s="10" t="s">
        <v>1667</v>
      </c>
      <c r="B1218" s="11">
        <v>45569</v>
      </c>
      <c r="C1218" s="10" t="s">
        <v>101</v>
      </c>
      <c r="D1218" s="10" t="s">
        <v>121</v>
      </c>
      <c r="E1218" s="10" t="s">
        <v>80</v>
      </c>
      <c r="F1218" s="12">
        <v>9</v>
      </c>
      <c r="G1218" s="12">
        <v>3450</v>
      </c>
      <c r="H1218" s="12">
        <v>19.399999999999999</v>
      </c>
      <c r="I1218" s="12">
        <v>25026.3</v>
      </c>
      <c r="J1218" s="10" t="s">
        <v>51</v>
      </c>
      <c r="K1218" s="10" t="s">
        <v>63</v>
      </c>
      <c r="L1218" t="str">
        <f>IFERROR(VLOOKUP(D1218,Products!A:F,3,0),"")</f>
        <v>Beauty</v>
      </c>
      <c r="M1218" t="str">
        <f>IFERROR(VLOOKUP(E1218,Sales_Reps!A:E,3,0),"")</f>
        <v>West</v>
      </c>
      <c r="N1218" t="str">
        <f>IFERROR(VLOOKUP(C1218,Customers!A:F,5,0),"")</f>
        <v>SMB</v>
      </c>
      <c r="O1218">
        <f>IFERROR(VLOOKUP(C1218,Customers!A:F,3,0),"")</f>
        <v>27</v>
      </c>
      <c r="P1218">
        <f>IFERROR(VLOOKUP(D1218,Products!A:F,4,0),"")</f>
        <v>2420</v>
      </c>
      <c r="Q1218" t="b">
        <f>IFERROR(VLOOKUP(D1218,Products!A:F,6,0),"")</f>
        <v>1</v>
      </c>
      <c r="R1218">
        <f t="shared" ref="R1218:R1281" si="57">IFERROR((G1218-P1218)/G1218,"")</f>
        <v>0.29855072463768118</v>
      </c>
      <c r="S1218">
        <f t="shared" ref="S1218:S1281" si="58">COUNTIF($A$2:$A$2001,A1218)</f>
        <v>1</v>
      </c>
      <c r="T1218">
        <f>IF(AND(S1218&gt;1,COUNTIF($A$2:A1218,A1218)=1),1,0)</f>
        <v>0</v>
      </c>
      <c r="U1218">
        <f>COUNTIF(Customers!$A$2:$A$301,C1218)</f>
        <v>1</v>
      </c>
      <c r="V1218">
        <f t="shared" ref="V1218:V1281" si="59">IF(AND(K1218="Bengaluru",L1218="Grocery"),I1218,0)</f>
        <v>0</v>
      </c>
    </row>
    <row r="1219" spans="1:22" ht="14.25" customHeight="1" x14ac:dyDescent="0.35">
      <c r="A1219" s="10" t="s">
        <v>1668</v>
      </c>
      <c r="B1219" s="11">
        <v>45516</v>
      </c>
      <c r="C1219" s="10" t="s">
        <v>295</v>
      </c>
      <c r="D1219" s="10" t="s">
        <v>102</v>
      </c>
      <c r="E1219" s="10" t="s">
        <v>134</v>
      </c>
      <c r="F1219" s="12">
        <v>2</v>
      </c>
      <c r="G1219" s="12">
        <v>2600</v>
      </c>
      <c r="H1219" s="12">
        <v>20.2</v>
      </c>
      <c r="I1219" s="12">
        <v>4149.6000000000004</v>
      </c>
      <c r="J1219" s="10" t="s">
        <v>104</v>
      </c>
      <c r="K1219" s="10" t="s">
        <v>81</v>
      </c>
      <c r="L1219" t="str">
        <f>IFERROR(VLOOKUP(D1219,Products!A:F,3,0),"")</f>
        <v>Electronics</v>
      </c>
      <c r="M1219" t="str">
        <f>IFERROR(VLOOKUP(E1219,Sales_Reps!A:E,3,0),"")</f>
        <v>West</v>
      </c>
      <c r="N1219" t="str">
        <f>IFERROR(VLOOKUP(C1219,Customers!A:F,5,0),"")</f>
        <v>Corporate</v>
      </c>
      <c r="O1219">
        <f>IFERROR(VLOOKUP(C1219,Customers!A:F,3,0),"")</f>
        <v>59</v>
      </c>
      <c r="P1219">
        <f>IFERROR(VLOOKUP(D1219,Products!A:F,4,0),"")</f>
        <v>1052</v>
      </c>
      <c r="Q1219" t="b">
        <f>IFERROR(VLOOKUP(D1219,Products!A:F,6,0),"")</f>
        <v>1</v>
      </c>
      <c r="R1219">
        <f t="shared" si="57"/>
        <v>0.5953846153846154</v>
      </c>
      <c r="S1219">
        <f t="shared" si="58"/>
        <v>1</v>
      </c>
      <c r="T1219">
        <f>IF(AND(S1219&gt;1,COUNTIF($A$2:A1219,A1219)=1),1,0)</f>
        <v>0</v>
      </c>
      <c r="U1219">
        <f>COUNTIF(Customers!$A$2:$A$301,C1219)</f>
        <v>1</v>
      </c>
      <c r="V1219">
        <f t="shared" si="59"/>
        <v>0</v>
      </c>
    </row>
    <row r="1220" spans="1:22" ht="14.25" customHeight="1" x14ac:dyDescent="0.35">
      <c r="A1220" s="10" t="s">
        <v>1669</v>
      </c>
      <c r="B1220" s="11">
        <v>45519</v>
      </c>
      <c r="C1220" s="10" t="s">
        <v>980</v>
      </c>
      <c r="D1220" s="10" t="s">
        <v>164</v>
      </c>
      <c r="E1220" s="10" t="s">
        <v>75</v>
      </c>
      <c r="F1220" s="12">
        <v>1</v>
      </c>
      <c r="G1220" s="12">
        <v>2760</v>
      </c>
      <c r="H1220" s="12">
        <v>9.5</v>
      </c>
      <c r="I1220" s="12">
        <v>2497.8000000000002</v>
      </c>
      <c r="J1220" s="10" t="s">
        <v>51</v>
      </c>
      <c r="K1220" s="10" t="s">
        <v>81</v>
      </c>
      <c r="L1220" t="str">
        <f>IFERROR(VLOOKUP(D1220,Products!A:F,3,0),"")</f>
        <v>Grocery</v>
      </c>
      <c r="M1220" t="str">
        <f>IFERROR(VLOOKUP(E1220,Sales_Reps!A:E,3,0),"")</f>
        <v>West</v>
      </c>
      <c r="N1220" t="str">
        <f>IFERROR(VLOOKUP(C1220,Customers!A:F,5,0),"")</f>
        <v>SMB</v>
      </c>
      <c r="O1220">
        <f>IFERROR(VLOOKUP(C1220,Customers!A:F,3,0),"")</f>
        <v>49</v>
      </c>
      <c r="P1220">
        <f>IFERROR(VLOOKUP(D1220,Products!A:F,4,0),"")</f>
        <v>1435</v>
      </c>
      <c r="Q1220" t="b">
        <f>IFERROR(VLOOKUP(D1220,Products!A:F,6,0),"")</f>
        <v>1</v>
      </c>
      <c r="R1220">
        <f t="shared" si="57"/>
        <v>0.48007246376811596</v>
      </c>
      <c r="S1220">
        <f t="shared" si="58"/>
        <v>1</v>
      </c>
      <c r="T1220">
        <f>IF(AND(S1220&gt;1,COUNTIF($A$2:A1220,A1220)=1),1,0)</f>
        <v>0</v>
      </c>
      <c r="U1220">
        <f>COUNTIF(Customers!$A$2:$A$301,C1220)</f>
        <v>1</v>
      </c>
      <c r="V1220">
        <f t="shared" si="59"/>
        <v>2497.8000000000002</v>
      </c>
    </row>
    <row r="1221" spans="1:22" ht="14.25" customHeight="1" x14ac:dyDescent="0.35">
      <c r="A1221" s="10" t="s">
        <v>1670</v>
      </c>
      <c r="B1221" s="11">
        <v>45593</v>
      </c>
      <c r="C1221" s="10" t="s">
        <v>563</v>
      </c>
      <c r="D1221" s="10" t="s">
        <v>234</v>
      </c>
      <c r="E1221" s="10" t="s">
        <v>112</v>
      </c>
      <c r="F1221" s="12">
        <v>4</v>
      </c>
      <c r="G1221" s="12">
        <v>4610</v>
      </c>
      <c r="H1221" s="12">
        <v>14.8</v>
      </c>
      <c r="I1221" s="12">
        <v>15710.88</v>
      </c>
      <c r="J1221" s="10" t="s">
        <v>51</v>
      </c>
      <c r="K1221" s="10" t="s">
        <v>81</v>
      </c>
      <c r="L1221" t="str">
        <f>IFERROR(VLOOKUP(D1221,Products!A:F,3,0),"")</f>
        <v>Home</v>
      </c>
      <c r="M1221" t="str">
        <f>IFERROR(VLOOKUP(E1221,Sales_Reps!A:E,3,0),"")</f>
        <v>North</v>
      </c>
      <c r="N1221" t="str">
        <f>IFERROR(VLOOKUP(C1221,Customers!A:F,5,0),"")</f>
        <v>Corporate</v>
      </c>
      <c r="O1221">
        <f>IFERROR(VLOOKUP(C1221,Customers!A:F,3,0),"")</f>
        <v>26</v>
      </c>
      <c r="P1221">
        <f>IFERROR(VLOOKUP(D1221,Products!A:F,4,0),"")</f>
        <v>1850</v>
      </c>
      <c r="Q1221" t="b">
        <f>IFERROR(VLOOKUP(D1221,Products!A:F,6,0),"")</f>
        <v>1</v>
      </c>
      <c r="R1221">
        <f t="shared" si="57"/>
        <v>0.59869848156182215</v>
      </c>
      <c r="S1221">
        <f t="shared" si="58"/>
        <v>1</v>
      </c>
      <c r="T1221">
        <f>IF(AND(S1221&gt;1,COUNTIF($A$2:A1221,A1221)=1),1,0)</f>
        <v>0</v>
      </c>
      <c r="U1221">
        <f>COUNTIF(Customers!$A$2:$A$301,C1221)</f>
        <v>1</v>
      </c>
      <c r="V1221">
        <f t="shared" si="59"/>
        <v>0</v>
      </c>
    </row>
    <row r="1222" spans="1:22" ht="14.25" customHeight="1" x14ac:dyDescent="0.35">
      <c r="A1222" s="10" t="s">
        <v>1671</v>
      </c>
      <c r="B1222" s="11">
        <v>45532</v>
      </c>
      <c r="C1222" s="10" t="s">
        <v>94</v>
      </c>
      <c r="D1222" s="10" t="s">
        <v>131</v>
      </c>
      <c r="E1222" s="10" t="s">
        <v>80</v>
      </c>
      <c r="F1222" s="12">
        <v>3</v>
      </c>
      <c r="G1222" s="12">
        <v>2480</v>
      </c>
      <c r="H1222" s="12">
        <v>3.7</v>
      </c>
      <c r="I1222" s="12">
        <v>7164.72</v>
      </c>
      <c r="J1222" s="10" t="s">
        <v>51</v>
      </c>
      <c r="K1222" s="10" t="s">
        <v>97</v>
      </c>
      <c r="L1222" t="str">
        <f>IFERROR(VLOOKUP(D1222,Products!A:F,3,0),"")</f>
        <v>Apparel</v>
      </c>
      <c r="M1222" t="str">
        <f>IFERROR(VLOOKUP(E1222,Sales_Reps!A:E,3,0),"")</f>
        <v>West</v>
      </c>
      <c r="N1222" t="str">
        <f>IFERROR(VLOOKUP(C1222,Customers!A:F,5,0),"")</f>
        <v>Retail</v>
      </c>
      <c r="O1222">
        <f>IFERROR(VLOOKUP(C1222,Customers!A:F,3,0),"")</f>
        <v>60</v>
      </c>
      <c r="P1222">
        <f>IFERROR(VLOOKUP(D1222,Products!A:F,4,0),"")</f>
        <v>1173</v>
      </c>
      <c r="Q1222" t="b">
        <f>IFERROR(VLOOKUP(D1222,Products!A:F,6,0),"")</f>
        <v>1</v>
      </c>
      <c r="R1222">
        <f t="shared" si="57"/>
        <v>0.52701612903225803</v>
      </c>
      <c r="S1222">
        <f t="shared" si="58"/>
        <v>1</v>
      </c>
      <c r="T1222">
        <f>IF(AND(S1222&gt;1,COUNTIF($A$2:A1222,A1222)=1),1,0)</f>
        <v>0</v>
      </c>
      <c r="U1222">
        <f>COUNTIF(Customers!$A$2:$A$301,C1222)</f>
        <v>1</v>
      </c>
      <c r="V1222">
        <f t="shared" si="59"/>
        <v>0</v>
      </c>
    </row>
    <row r="1223" spans="1:22" ht="14.25" customHeight="1" x14ac:dyDescent="0.35">
      <c r="A1223" s="10" t="s">
        <v>1672</v>
      </c>
      <c r="B1223" s="11">
        <v>45610</v>
      </c>
      <c r="C1223" s="10" t="s">
        <v>705</v>
      </c>
      <c r="D1223" s="10" t="s">
        <v>479</v>
      </c>
      <c r="E1223" s="10" t="s">
        <v>237</v>
      </c>
      <c r="F1223" s="12">
        <v>5</v>
      </c>
      <c r="G1223" s="12">
        <v>6940</v>
      </c>
      <c r="H1223" s="12">
        <v>0.3</v>
      </c>
      <c r="I1223" s="12">
        <v>34595.9</v>
      </c>
      <c r="J1223" s="10" t="s">
        <v>51</v>
      </c>
      <c r="K1223" s="10" t="s">
        <v>97</v>
      </c>
      <c r="L1223" t="str">
        <f>IFERROR(VLOOKUP(D1223,Products!A:F,3,0),"")</f>
        <v>Sports</v>
      </c>
      <c r="M1223" t="str">
        <f>IFERROR(VLOOKUP(E1223,Sales_Reps!A:E,3,0),"")</f>
        <v>South</v>
      </c>
      <c r="N1223" t="str">
        <f>IFERROR(VLOOKUP(C1223,Customers!A:F,5,0),"")</f>
        <v>SMB</v>
      </c>
      <c r="O1223">
        <f>IFERROR(VLOOKUP(C1223,Customers!A:F,3,0),"")</f>
        <v>29</v>
      </c>
      <c r="P1223">
        <f>IFERROR(VLOOKUP(D1223,Products!A:F,4,0),"")</f>
        <v>2827</v>
      </c>
      <c r="Q1223" t="b">
        <f>IFERROR(VLOOKUP(D1223,Products!A:F,6,0),"")</f>
        <v>1</v>
      </c>
      <c r="R1223">
        <f t="shared" si="57"/>
        <v>0.5926512968299712</v>
      </c>
      <c r="S1223">
        <f t="shared" si="58"/>
        <v>1</v>
      </c>
      <c r="T1223">
        <f>IF(AND(S1223&gt;1,COUNTIF($A$2:A1223,A1223)=1),1,0)</f>
        <v>0</v>
      </c>
      <c r="U1223">
        <f>COUNTIF(Customers!$A$2:$A$301,C1223)</f>
        <v>1</v>
      </c>
      <c r="V1223">
        <f t="shared" si="59"/>
        <v>0</v>
      </c>
    </row>
    <row r="1224" spans="1:22" ht="14.25" customHeight="1" x14ac:dyDescent="0.35">
      <c r="A1224" s="10" t="s">
        <v>1673</v>
      </c>
      <c r="B1224" s="11">
        <v>45560</v>
      </c>
      <c r="C1224" s="10" t="s">
        <v>497</v>
      </c>
      <c r="D1224" s="10" t="s">
        <v>209</v>
      </c>
      <c r="E1224" s="10" t="s">
        <v>118</v>
      </c>
      <c r="F1224" s="12">
        <v>8</v>
      </c>
      <c r="G1224" s="12">
        <v>2270</v>
      </c>
      <c r="H1224" s="12">
        <v>15.6</v>
      </c>
      <c r="I1224" s="12">
        <v>15327.04</v>
      </c>
      <c r="J1224" s="10" t="s">
        <v>57</v>
      </c>
      <c r="K1224" s="10" t="s">
        <v>63</v>
      </c>
      <c r="L1224" t="str">
        <f>IFERROR(VLOOKUP(D1224,Products!A:F,3,0),"")</f>
        <v>Grocery</v>
      </c>
      <c r="M1224" t="str">
        <f>IFERROR(VLOOKUP(E1224,Sales_Reps!A:E,3,0),"")</f>
        <v>East</v>
      </c>
      <c r="N1224" t="str">
        <f>IFERROR(VLOOKUP(C1224,Customers!A:F,5,0),"")</f>
        <v>SMB</v>
      </c>
      <c r="O1224">
        <f>IFERROR(VLOOKUP(C1224,Customers!A:F,3,0),"")</f>
        <v>48</v>
      </c>
      <c r="P1224">
        <f>IFERROR(VLOOKUP(D1224,Products!A:F,4,0),"")</f>
        <v>1412</v>
      </c>
      <c r="Q1224" t="b">
        <f>IFERROR(VLOOKUP(D1224,Products!A:F,6,0),"")</f>
        <v>1</v>
      </c>
      <c r="R1224">
        <f t="shared" si="57"/>
        <v>0.37797356828193834</v>
      </c>
      <c r="S1224">
        <f t="shared" si="58"/>
        <v>1</v>
      </c>
      <c r="T1224">
        <f>IF(AND(S1224&gt;1,COUNTIF($A$2:A1224,A1224)=1),1,0)</f>
        <v>0</v>
      </c>
      <c r="U1224">
        <f>COUNTIF(Customers!$A$2:$A$301,C1224)</f>
        <v>1</v>
      </c>
      <c r="V1224">
        <f t="shared" si="59"/>
        <v>0</v>
      </c>
    </row>
    <row r="1225" spans="1:22" ht="14.25" customHeight="1" x14ac:dyDescent="0.35">
      <c r="A1225" s="10" t="s">
        <v>1674</v>
      </c>
      <c r="B1225" s="11">
        <v>45431</v>
      </c>
      <c r="C1225" s="10" t="s">
        <v>947</v>
      </c>
      <c r="D1225" s="10" t="s">
        <v>155</v>
      </c>
      <c r="E1225" s="10" t="s">
        <v>134</v>
      </c>
      <c r="F1225" s="12">
        <v>5</v>
      </c>
      <c r="G1225" s="12">
        <v>5100</v>
      </c>
      <c r="H1225" s="12">
        <v>9.5</v>
      </c>
      <c r="I1225" s="12">
        <v>23077.5</v>
      </c>
      <c r="J1225" s="10" t="s">
        <v>51</v>
      </c>
      <c r="K1225" s="10" t="s">
        <v>81</v>
      </c>
      <c r="L1225" t="str">
        <f>IFERROR(VLOOKUP(D1225,Products!A:F,3,0),"")</f>
        <v>Beauty</v>
      </c>
      <c r="M1225" t="str">
        <f>IFERROR(VLOOKUP(E1225,Sales_Reps!A:E,3,0),"")</f>
        <v>West</v>
      </c>
      <c r="N1225" t="str">
        <f>IFERROR(VLOOKUP(C1225,Customers!A:F,5,0),"")</f>
        <v>SMB</v>
      </c>
      <c r="O1225">
        <f>IFERROR(VLOOKUP(C1225,Customers!A:F,3,0),"")</f>
        <v>36</v>
      </c>
      <c r="P1225">
        <f>IFERROR(VLOOKUP(D1225,Products!A:F,4,0),"")</f>
        <v>2237</v>
      </c>
      <c r="Q1225" t="b">
        <f>IFERROR(VLOOKUP(D1225,Products!A:F,6,0),"")</f>
        <v>1</v>
      </c>
      <c r="R1225">
        <f t="shared" si="57"/>
        <v>0.56137254901960787</v>
      </c>
      <c r="S1225">
        <f t="shared" si="58"/>
        <v>1</v>
      </c>
      <c r="T1225">
        <f>IF(AND(S1225&gt;1,COUNTIF($A$2:A1225,A1225)=1),1,0)</f>
        <v>0</v>
      </c>
      <c r="U1225">
        <f>COUNTIF(Customers!$A$2:$A$301,C1225)</f>
        <v>1</v>
      </c>
      <c r="V1225">
        <f t="shared" si="59"/>
        <v>0</v>
      </c>
    </row>
    <row r="1226" spans="1:22" ht="14.25" customHeight="1" x14ac:dyDescent="0.35">
      <c r="A1226" s="10" t="s">
        <v>1675</v>
      </c>
      <c r="B1226" s="11">
        <v>45594</v>
      </c>
      <c r="C1226" s="10" t="s">
        <v>258</v>
      </c>
      <c r="D1226" s="10" t="s">
        <v>107</v>
      </c>
      <c r="E1226" s="10" t="s">
        <v>237</v>
      </c>
      <c r="F1226" s="12">
        <v>5</v>
      </c>
      <c r="G1226" s="12">
        <v>3250</v>
      </c>
      <c r="H1226" s="12">
        <v>8.1</v>
      </c>
      <c r="I1226" s="12">
        <v>14933.75</v>
      </c>
      <c r="J1226" s="10" t="s">
        <v>51</v>
      </c>
      <c r="K1226" s="10" t="s">
        <v>97</v>
      </c>
      <c r="L1226" t="str">
        <f>IFERROR(VLOOKUP(D1226,Products!A:F,3,0),"")</f>
        <v>Home</v>
      </c>
      <c r="M1226" t="str">
        <f>IFERROR(VLOOKUP(E1226,Sales_Reps!A:E,3,0),"")</f>
        <v>South</v>
      </c>
      <c r="N1226" t="str">
        <f>IFERROR(VLOOKUP(C1226,Customers!A:F,5,0),"")</f>
        <v>SMB</v>
      </c>
      <c r="O1226">
        <f>IFERROR(VLOOKUP(C1226,Customers!A:F,3,0),"")</f>
        <v>43</v>
      </c>
      <c r="P1226">
        <f>IFERROR(VLOOKUP(D1226,Products!A:F,4,0),"")</f>
        <v>1556</v>
      </c>
      <c r="Q1226" t="b">
        <f>IFERROR(VLOOKUP(D1226,Products!A:F,6,0),"")</f>
        <v>1</v>
      </c>
      <c r="R1226">
        <f t="shared" si="57"/>
        <v>0.52123076923076928</v>
      </c>
      <c r="S1226">
        <f t="shared" si="58"/>
        <v>1</v>
      </c>
      <c r="T1226">
        <f>IF(AND(S1226&gt;1,COUNTIF($A$2:A1226,A1226)=1),1,0)</f>
        <v>0</v>
      </c>
      <c r="U1226">
        <f>COUNTIF(Customers!$A$2:$A$301,C1226)</f>
        <v>1</v>
      </c>
      <c r="V1226">
        <f t="shared" si="59"/>
        <v>0</v>
      </c>
    </row>
    <row r="1227" spans="1:22" ht="14.25" customHeight="1" x14ac:dyDescent="0.35">
      <c r="A1227" s="10" t="s">
        <v>1676</v>
      </c>
      <c r="B1227" s="11">
        <v>45609</v>
      </c>
      <c r="C1227" s="10" t="s">
        <v>367</v>
      </c>
      <c r="D1227" s="10" t="s">
        <v>372</v>
      </c>
      <c r="E1227" s="10" t="s">
        <v>112</v>
      </c>
      <c r="F1227" s="12">
        <v>6</v>
      </c>
      <c r="G1227" s="12">
        <v>3970</v>
      </c>
      <c r="H1227" s="12">
        <v>18.8</v>
      </c>
      <c r="I1227" s="12">
        <v>19341.84</v>
      </c>
      <c r="J1227" s="10" t="s">
        <v>57</v>
      </c>
      <c r="K1227" s="10" t="s">
        <v>81</v>
      </c>
      <c r="L1227" t="str">
        <f>IFERROR(VLOOKUP(D1227,Products!A:F,3,0),"")</f>
        <v>Electronics</v>
      </c>
      <c r="M1227" t="str">
        <f>IFERROR(VLOOKUP(E1227,Sales_Reps!A:E,3,0),"")</f>
        <v>North</v>
      </c>
      <c r="N1227" t="str">
        <f>IFERROR(VLOOKUP(C1227,Customers!A:F,5,0),"")</f>
        <v>Retail</v>
      </c>
      <c r="O1227">
        <f>IFERROR(VLOOKUP(C1227,Customers!A:F,3,0),"")</f>
        <v>59</v>
      </c>
      <c r="P1227">
        <f>IFERROR(VLOOKUP(D1227,Products!A:F,4,0),"")</f>
        <v>2865</v>
      </c>
      <c r="Q1227" t="b">
        <f>IFERROR(VLOOKUP(D1227,Products!A:F,6,0),"")</f>
        <v>1</v>
      </c>
      <c r="R1227">
        <f t="shared" si="57"/>
        <v>0.27833753148614609</v>
      </c>
      <c r="S1227">
        <f t="shared" si="58"/>
        <v>1</v>
      </c>
      <c r="T1227">
        <f>IF(AND(S1227&gt;1,COUNTIF($A$2:A1227,A1227)=1),1,0)</f>
        <v>0</v>
      </c>
      <c r="U1227">
        <f>COUNTIF(Customers!$A$2:$A$301,C1227)</f>
        <v>1</v>
      </c>
      <c r="V1227">
        <f t="shared" si="59"/>
        <v>0</v>
      </c>
    </row>
    <row r="1228" spans="1:22" ht="14.25" customHeight="1" x14ac:dyDescent="0.35">
      <c r="A1228" s="10" t="s">
        <v>1677</v>
      </c>
      <c r="B1228" s="11">
        <v>45546</v>
      </c>
      <c r="C1228" s="10" t="s">
        <v>446</v>
      </c>
      <c r="D1228" s="10" t="s">
        <v>328</v>
      </c>
      <c r="E1228" s="10" t="s">
        <v>75</v>
      </c>
      <c r="F1228" s="12">
        <v>4</v>
      </c>
      <c r="G1228" s="12">
        <v>5330</v>
      </c>
      <c r="H1228" s="12">
        <v>19.7</v>
      </c>
      <c r="I1228" s="12">
        <v>17119.96</v>
      </c>
      <c r="J1228" s="10" t="s">
        <v>51</v>
      </c>
      <c r="K1228" s="10" t="s">
        <v>97</v>
      </c>
      <c r="L1228" t="str">
        <f>IFERROR(VLOOKUP(D1228,Products!A:F,3,0),"")</f>
        <v>Electronics</v>
      </c>
      <c r="M1228" t="str">
        <f>IFERROR(VLOOKUP(E1228,Sales_Reps!A:E,3,0),"")</f>
        <v>West</v>
      </c>
      <c r="N1228" t="str">
        <f>IFERROR(VLOOKUP(C1228,Customers!A:F,5,0),"")</f>
        <v>Corporate</v>
      </c>
      <c r="O1228">
        <f>IFERROR(VLOOKUP(C1228,Customers!A:F,3,0),"")</f>
        <v>52</v>
      </c>
      <c r="P1228">
        <f>IFERROR(VLOOKUP(D1228,Products!A:F,4,0),"")</f>
        <v>2405</v>
      </c>
      <c r="Q1228" t="b">
        <f>IFERROR(VLOOKUP(D1228,Products!A:F,6,0),"")</f>
        <v>1</v>
      </c>
      <c r="R1228">
        <f t="shared" si="57"/>
        <v>0.54878048780487809</v>
      </c>
      <c r="S1228">
        <f t="shared" si="58"/>
        <v>1</v>
      </c>
      <c r="T1228">
        <f>IF(AND(S1228&gt;1,COUNTIF($A$2:A1228,A1228)=1),1,0)</f>
        <v>0</v>
      </c>
      <c r="U1228">
        <f>COUNTIF(Customers!$A$2:$A$301,C1228)</f>
        <v>1</v>
      </c>
      <c r="V1228">
        <f t="shared" si="59"/>
        <v>0</v>
      </c>
    </row>
    <row r="1229" spans="1:22" ht="14.25" customHeight="1" x14ac:dyDescent="0.35">
      <c r="A1229" s="10" t="s">
        <v>1678</v>
      </c>
      <c r="B1229" s="11">
        <v>45607</v>
      </c>
      <c r="C1229" s="10" t="s">
        <v>274</v>
      </c>
      <c r="D1229" s="10" t="s">
        <v>243</v>
      </c>
      <c r="E1229" s="10" t="s">
        <v>103</v>
      </c>
      <c r="F1229" s="12">
        <v>7</v>
      </c>
      <c r="G1229" s="12">
        <v>2660</v>
      </c>
      <c r="H1229" s="12">
        <v>8.5</v>
      </c>
      <c r="I1229" s="12">
        <v>17037.3</v>
      </c>
      <c r="J1229" s="10" t="s">
        <v>51</v>
      </c>
      <c r="K1229" s="10" t="s">
        <v>81</v>
      </c>
      <c r="L1229" t="str">
        <f>IFERROR(VLOOKUP(D1229,Products!A:F,3,0),"")</f>
        <v>Electronics</v>
      </c>
      <c r="M1229" t="str">
        <f>IFERROR(VLOOKUP(E1229,Sales_Reps!A:E,3,0),"")</f>
        <v>North</v>
      </c>
      <c r="N1229" t="str">
        <f>IFERROR(VLOOKUP(C1229,Customers!A:F,5,0),"")</f>
        <v>Retail</v>
      </c>
      <c r="O1229">
        <f>IFERROR(VLOOKUP(C1229,Customers!A:F,3,0),"")</f>
        <v>42</v>
      </c>
      <c r="P1229">
        <f>IFERROR(VLOOKUP(D1229,Products!A:F,4,0),"")</f>
        <v>1259</v>
      </c>
      <c r="Q1229" t="b">
        <f>IFERROR(VLOOKUP(D1229,Products!A:F,6,0),"")</f>
        <v>0</v>
      </c>
      <c r="R1229">
        <f t="shared" si="57"/>
        <v>0.52669172932330832</v>
      </c>
      <c r="S1229">
        <f t="shared" si="58"/>
        <v>1</v>
      </c>
      <c r="T1229">
        <f>IF(AND(S1229&gt;1,COUNTIF($A$2:A1229,A1229)=1),1,0)</f>
        <v>0</v>
      </c>
      <c r="U1229">
        <f>COUNTIF(Customers!$A$2:$A$301,C1229)</f>
        <v>1</v>
      </c>
      <c r="V1229">
        <f t="shared" si="59"/>
        <v>0</v>
      </c>
    </row>
    <row r="1230" spans="1:22" ht="14.25" customHeight="1" x14ac:dyDescent="0.35">
      <c r="A1230" s="10" t="s">
        <v>1679</v>
      </c>
      <c r="B1230" s="11">
        <v>45422</v>
      </c>
      <c r="C1230" s="10" t="s">
        <v>54</v>
      </c>
      <c r="D1230" s="10" t="s">
        <v>70</v>
      </c>
      <c r="E1230" s="10" t="s">
        <v>193</v>
      </c>
      <c r="F1230" s="12">
        <v>5</v>
      </c>
      <c r="G1230" s="12">
        <v>3160</v>
      </c>
      <c r="H1230" s="12">
        <v>13.4</v>
      </c>
      <c r="I1230" s="12">
        <v>13682.8</v>
      </c>
      <c r="J1230" s="10" t="s">
        <v>57</v>
      </c>
      <c r="K1230" s="10" t="s">
        <v>58</v>
      </c>
      <c r="L1230" t="str">
        <f>IFERROR(VLOOKUP(D1230,Products!A:F,3,0),"")</f>
        <v>Apparel</v>
      </c>
      <c r="M1230" t="str">
        <f>IFERROR(VLOOKUP(E1230,Sales_Reps!A:E,3,0),"")</f>
        <v>West</v>
      </c>
      <c r="N1230" t="str">
        <f>IFERROR(VLOOKUP(C1230,Customers!A:F,5,0),"")</f>
        <v>Retail</v>
      </c>
      <c r="O1230">
        <f>IFERROR(VLOOKUP(C1230,Customers!A:F,3,0),"")</f>
        <v>39</v>
      </c>
      <c r="P1230">
        <f>IFERROR(VLOOKUP(D1230,Products!A:F,4,0),"")</f>
        <v>1886</v>
      </c>
      <c r="Q1230" t="b">
        <f>IFERROR(VLOOKUP(D1230,Products!A:F,6,0),"")</f>
        <v>1</v>
      </c>
      <c r="R1230">
        <f t="shared" si="57"/>
        <v>0.4031645569620253</v>
      </c>
      <c r="S1230">
        <f t="shared" si="58"/>
        <v>1</v>
      </c>
      <c r="T1230">
        <f>IF(AND(S1230&gt;1,COUNTIF($A$2:A1230,A1230)=1),1,0)</f>
        <v>0</v>
      </c>
      <c r="U1230">
        <f>COUNTIF(Customers!$A$2:$A$301,C1230)</f>
        <v>1</v>
      </c>
      <c r="V1230">
        <f t="shared" si="59"/>
        <v>0</v>
      </c>
    </row>
    <row r="1231" spans="1:22" ht="14.25" customHeight="1" x14ac:dyDescent="0.35">
      <c r="A1231" s="10" t="s">
        <v>1680</v>
      </c>
      <c r="B1231" s="11">
        <v>45634</v>
      </c>
      <c r="C1231" s="10" t="s">
        <v>278</v>
      </c>
      <c r="D1231" s="10" t="s">
        <v>146</v>
      </c>
      <c r="E1231" s="10" t="s">
        <v>85</v>
      </c>
      <c r="F1231" s="12">
        <v>10</v>
      </c>
      <c r="G1231" s="12">
        <v>1010</v>
      </c>
      <c r="H1231" s="12">
        <v>14</v>
      </c>
      <c r="I1231" s="12">
        <v>8686</v>
      </c>
      <c r="J1231" s="10" t="s">
        <v>51</v>
      </c>
      <c r="K1231" s="10" t="s">
        <v>52</v>
      </c>
      <c r="L1231" t="str">
        <f>IFERROR(VLOOKUP(D1231,Products!A:F,3,0),"")</f>
        <v>Sports</v>
      </c>
      <c r="M1231" t="str">
        <f>IFERROR(VLOOKUP(E1231,Sales_Reps!A:E,3,0),"")</f>
        <v>East</v>
      </c>
      <c r="N1231" t="str">
        <f>IFERROR(VLOOKUP(C1231,Customers!A:F,5,0),"")</f>
        <v>Corporate</v>
      </c>
      <c r="O1231">
        <f>IFERROR(VLOOKUP(C1231,Customers!A:F,3,0),"")</f>
        <v>33</v>
      </c>
      <c r="P1231">
        <f>IFERROR(VLOOKUP(D1231,Products!A:F,4,0),"")</f>
        <v>516</v>
      </c>
      <c r="Q1231" t="b">
        <f>IFERROR(VLOOKUP(D1231,Products!A:F,6,0),"")</f>
        <v>1</v>
      </c>
      <c r="R1231">
        <f t="shared" si="57"/>
        <v>0.4891089108910891</v>
      </c>
      <c r="S1231">
        <f t="shared" si="58"/>
        <v>1</v>
      </c>
      <c r="T1231">
        <f>IF(AND(S1231&gt;1,COUNTIF($A$2:A1231,A1231)=1),1,0)</f>
        <v>0</v>
      </c>
      <c r="U1231">
        <f>COUNTIF(Customers!$A$2:$A$301,C1231)</f>
        <v>1</v>
      </c>
      <c r="V1231">
        <f t="shared" si="59"/>
        <v>0</v>
      </c>
    </row>
    <row r="1232" spans="1:22" ht="14.25" customHeight="1" x14ac:dyDescent="0.35">
      <c r="A1232" s="10" t="s">
        <v>1681</v>
      </c>
      <c r="B1232" s="11">
        <v>45376</v>
      </c>
      <c r="C1232" s="10" t="s">
        <v>101</v>
      </c>
      <c r="D1232" s="10" t="s">
        <v>223</v>
      </c>
      <c r="E1232" s="10" t="s">
        <v>112</v>
      </c>
      <c r="F1232" s="12">
        <v>3</v>
      </c>
      <c r="G1232" s="12">
        <v>1540</v>
      </c>
      <c r="H1232" s="12">
        <v>13.7</v>
      </c>
      <c r="I1232" s="12">
        <v>3987.06</v>
      </c>
      <c r="J1232" s="10" t="s">
        <v>57</v>
      </c>
      <c r="K1232" s="10" t="s">
        <v>63</v>
      </c>
      <c r="L1232" t="str">
        <f>IFERROR(VLOOKUP(D1232,Products!A:F,3,0),"")</f>
        <v>Beauty</v>
      </c>
      <c r="M1232" t="str">
        <f>IFERROR(VLOOKUP(E1232,Sales_Reps!A:E,3,0),"")</f>
        <v>North</v>
      </c>
      <c r="N1232" t="str">
        <f>IFERROR(VLOOKUP(C1232,Customers!A:F,5,0),"")</f>
        <v>SMB</v>
      </c>
      <c r="O1232">
        <f>IFERROR(VLOOKUP(C1232,Customers!A:F,3,0),"")</f>
        <v>27</v>
      </c>
      <c r="P1232">
        <f>IFERROR(VLOOKUP(D1232,Products!A:F,4,0),"")</f>
        <v>647</v>
      </c>
      <c r="Q1232" t="b">
        <f>IFERROR(VLOOKUP(D1232,Products!A:F,6,0),"")</f>
        <v>0</v>
      </c>
      <c r="R1232">
        <f t="shared" si="57"/>
        <v>0.57987012987012987</v>
      </c>
      <c r="S1232">
        <f t="shared" si="58"/>
        <v>1</v>
      </c>
      <c r="T1232">
        <f>IF(AND(S1232&gt;1,COUNTIF($A$2:A1232,A1232)=1),1,0)</f>
        <v>0</v>
      </c>
      <c r="U1232">
        <f>COUNTIF(Customers!$A$2:$A$301,C1232)</f>
        <v>1</v>
      </c>
      <c r="V1232">
        <f t="shared" si="59"/>
        <v>0</v>
      </c>
    </row>
    <row r="1233" spans="1:22" ht="14.25" customHeight="1" x14ac:dyDescent="0.35">
      <c r="A1233" s="10" t="s">
        <v>1682</v>
      </c>
      <c r="B1233" s="11">
        <v>45313</v>
      </c>
      <c r="C1233" s="10" t="s">
        <v>644</v>
      </c>
      <c r="D1233" s="10" t="s">
        <v>155</v>
      </c>
      <c r="E1233" s="10" t="s">
        <v>168</v>
      </c>
      <c r="F1233" s="12">
        <v>10</v>
      </c>
      <c r="G1233" s="12">
        <v>5100</v>
      </c>
      <c r="H1233" s="12">
        <v>13.8</v>
      </c>
      <c r="I1233" s="12">
        <v>43962</v>
      </c>
      <c r="J1233" s="10" t="s">
        <v>51</v>
      </c>
      <c r="K1233" s="10" t="s">
        <v>58</v>
      </c>
      <c r="L1233" t="str">
        <f>IFERROR(VLOOKUP(D1233,Products!A:F,3,0),"")</f>
        <v>Beauty</v>
      </c>
      <c r="M1233" t="str">
        <f>IFERROR(VLOOKUP(E1233,Sales_Reps!A:E,3,0),"")</f>
        <v>South</v>
      </c>
      <c r="N1233" t="str">
        <f>IFERROR(VLOOKUP(C1233,Customers!A:F,5,0),"")</f>
        <v>Retail</v>
      </c>
      <c r="O1233">
        <f>IFERROR(VLOOKUP(C1233,Customers!A:F,3,0),"")</f>
        <v>26</v>
      </c>
      <c r="P1233">
        <f>IFERROR(VLOOKUP(D1233,Products!A:F,4,0),"")</f>
        <v>2237</v>
      </c>
      <c r="Q1233" t="b">
        <f>IFERROR(VLOOKUP(D1233,Products!A:F,6,0),"")</f>
        <v>1</v>
      </c>
      <c r="R1233">
        <f t="shared" si="57"/>
        <v>0.56137254901960787</v>
      </c>
      <c r="S1233">
        <f t="shared" si="58"/>
        <v>1</v>
      </c>
      <c r="T1233">
        <f>IF(AND(S1233&gt;1,COUNTIF($A$2:A1233,A1233)=1),1,0)</f>
        <v>0</v>
      </c>
      <c r="U1233">
        <f>COUNTIF(Customers!$A$2:$A$301,C1233)</f>
        <v>1</v>
      </c>
      <c r="V1233">
        <f t="shared" si="59"/>
        <v>0</v>
      </c>
    </row>
    <row r="1234" spans="1:22" ht="14.25" customHeight="1" x14ac:dyDescent="0.35">
      <c r="A1234" s="10" t="s">
        <v>1683</v>
      </c>
      <c r="B1234" s="11">
        <v>45457</v>
      </c>
      <c r="C1234" s="10" t="s">
        <v>759</v>
      </c>
      <c r="D1234" s="10" t="s">
        <v>84</v>
      </c>
      <c r="E1234" s="10" t="s">
        <v>134</v>
      </c>
      <c r="F1234" s="12">
        <v>3</v>
      </c>
      <c r="G1234" s="12">
        <v>1430</v>
      </c>
      <c r="H1234" s="12">
        <v>1.5</v>
      </c>
      <c r="I1234" s="12">
        <v>4225.6499999999996</v>
      </c>
      <c r="J1234" s="10" t="s">
        <v>51</v>
      </c>
      <c r="K1234" s="10" t="s">
        <v>58</v>
      </c>
      <c r="L1234" t="str">
        <f>IFERROR(VLOOKUP(D1234,Products!A:F,3,0),"")</f>
        <v>Electronics</v>
      </c>
      <c r="M1234" t="str">
        <f>IFERROR(VLOOKUP(E1234,Sales_Reps!A:E,3,0),"")</f>
        <v>West</v>
      </c>
      <c r="N1234" t="str">
        <f>IFERROR(VLOOKUP(C1234,Customers!A:F,5,0),"")</f>
        <v>Retail</v>
      </c>
      <c r="O1234">
        <f>IFERROR(VLOOKUP(C1234,Customers!A:F,3,0),"")</f>
        <v>22</v>
      </c>
      <c r="P1234">
        <f>IFERROR(VLOOKUP(D1234,Products!A:F,4,0),"")</f>
        <v>861</v>
      </c>
      <c r="Q1234" t="b">
        <f>IFERROR(VLOOKUP(D1234,Products!A:F,6,0),"")</f>
        <v>1</v>
      </c>
      <c r="R1234">
        <f t="shared" si="57"/>
        <v>0.39790209790209791</v>
      </c>
      <c r="S1234">
        <f t="shared" si="58"/>
        <v>1</v>
      </c>
      <c r="T1234">
        <f>IF(AND(S1234&gt;1,COUNTIF($A$2:A1234,A1234)=1),1,0)</f>
        <v>0</v>
      </c>
      <c r="U1234">
        <f>COUNTIF(Customers!$A$2:$A$301,C1234)</f>
        <v>1</v>
      </c>
      <c r="V1234">
        <f t="shared" si="59"/>
        <v>0</v>
      </c>
    </row>
    <row r="1235" spans="1:22" ht="14.25" customHeight="1" x14ac:dyDescent="0.35">
      <c r="A1235" s="10" t="s">
        <v>1684</v>
      </c>
      <c r="B1235" s="11">
        <v>45620</v>
      </c>
      <c r="C1235" s="10" t="s">
        <v>872</v>
      </c>
      <c r="D1235" s="10" t="s">
        <v>88</v>
      </c>
      <c r="E1235" s="10" t="s">
        <v>216</v>
      </c>
      <c r="F1235" s="12">
        <v>8</v>
      </c>
      <c r="G1235" s="12">
        <v>5490</v>
      </c>
      <c r="H1235" s="12">
        <v>23.2</v>
      </c>
      <c r="I1235" s="12">
        <v>33730.559999999998</v>
      </c>
      <c r="J1235" s="10" t="s">
        <v>51</v>
      </c>
      <c r="K1235" s="10" t="s">
        <v>97</v>
      </c>
      <c r="L1235" t="str">
        <f>IFERROR(VLOOKUP(D1235,Products!A:F,3,0),"")</f>
        <v>Home</v>
      </c>
      <c r="M1235" t="str">
        <f>IFERROR(VLOOKUP(E1235,Sales_Reps!A:E,3,0),"")</f>
        <v>South</v>
      </c>
      <c r="N1235" t="str">
        <f>IFERROR(VLOOKUP(C1235,Customers!A:F,5,0),"")</f>
        <v>Retail</v>
      </c>
      <c r="O1235">
        <f>IFERROR(VLOOKUP(C1235,Customers!A:F,3,0),"")</f>
        <v>31</v>
      </c>
      <c r="P1235">
        <f>IFERROR(VLOOKUP(D1235,Products!A:F,4,0),"")</f>
        <v>2549</v>
      </c>
      <c r="Q1235" t="b">
        <f>IFERROR(VLOOKUP(D1235,Products!A:F,6,0),"")</f>
        <v>1</v>
      </c>
      <c r="R1235">
        <f t="shared" si="57"/>
        <v>0.53570127504553733</v>
      </c>
      <c r="S1235">
        <f t="shared" si="58"/>
        <v>1</v>
      </c>
      <c r="T1235">
        <f>IF(AND(S1235&gt;1,COUNTIF($A$2:A1235,A1235)=1),1,0)</f>
        <v>0</v>
      </c>
      <c r="U1235">
        <f>COUNTIF(Customers!$A$2:$A$301,C1235)</f>
        <v>1</v>
      </c>
      <c r="V1235">
        <f t="shared" si="59"/>
        <v>0</v>
      </c>
    </row>
    <row r="1236" spans="1:22" ht="14.25" customHeight="1" x14ac:dyDescent="0.35">
      <c r="A1236" s="10" t="s">
        <v>1685</v>
      </c>
      <c r="B1236" s="11">
        <v>45495</v>
      </c>
      <c r="C1236" s="10" t="s">
        <v>382</v>
      </c>
      <c r="D1236" s="10" t="s">
        <v>140</v>
      </c>
      <c r="E1236" s="10" t="s">
        <v>71</v>
      </c>
      <c r="F1236" s="12">
        <v>6</v>
      </c>
      <c r="G1236" s="12">
        <v>1650</v>
      </c>
      <c r="H1236" s="12">
        <v>16.8</v>
      </c>
      <c r="I1236" s="12">
        <v>8236.7999999999993</v>
      </c>
      <c r="J1236" s="10" t="s">
        <v>51</v>
      </c>
      <c r="K1236" s="10" t="s">
        <v>97</v>
      </c>
      <c r="L1236" t="str">
        <f>IFERROR(VLOOKUP(D1236,Products!A:F,3,0),"")</f>
        <v>Beauty</v>
      </c>
      <c r="M1236" t="str">
        <f>IFERROR(VLOOKUP(E1236,Sales_Reps!A:E,3,0),"")</f>
        <v>North</v>
      </c>
      <c r="N1236" t="str">
        <f>IFERROR(VLOOKUP(C1236,Customers!A:F,5,0),"")</f>
        <v>Retail</v>
      </c>
      <c r="O1236">
        <f>IFERROR(VLOOKUP(C1236,Customers!A:F,3,0),"")</f>
        <v>22</v>
      </c>
      <c r="P1236">
        <f>IFERROR(VLOOKUP(D1236,Products!A:F,4,0),"")</f>
        <v>1222</v>
      </c>
      <c r="Q1236" t="b">
        <f>IFERROR(VLOOKUP(D1236,Products!A:F,6,0),"")</f>
        <v>1</v>
      </c>
      <c r="R1236">
        <f t="shared" si="57"/>
        <v>0.2593939393939394</v>
      </c>
      <c r="S1236">
        <f t="shared" si="58"/>
        <v>1</v>
      </c>
      <c r="T1236">
        <f>IF(AND(S1236&gt;1,COUNTIF($A$2:A1236,A1236)=1),1,0)</f>
        <v>0</v>
      </c>
      <c r="U1236">
        <f>COUNTIF(Customers!$A$2:$A$301,C1236)</f>
        <v>1</v>
      </c>
      <c r="V1236">
        <f t="shared" si="59"/>
        <v>0</v>
      </c>
    </row>
    <row r="1237" spans="1:22" ht="14.25" customHeight="1" x14ac:dyDescent="0.35">
      <c r="A1237" s="10" t="s">
        <v>1686</v>
      </c>
      <c r="B1237" s="11">
        <v>45460</v>
      </c>
      <c r="C1237" s="10" t="s">
        <v>930</v>
      </c>
      <c r="D1237" s="10" t="s">
        <v>240</v>
      </c>
      <c r="E1237" s="10" t="s">
        <v>267</v>
      </c>
      <c r="F1237" s="12">
        <v>3</v>
      </c>
      <c r="G1237" s="12">
        <v>3020</v>
      </c>
      <c r="H1237" s="12">
        <v>14.5</v>
      </c>
      <c r="I1237" s="12">
        <v>7746.3</v>
      </c>
      <c r="J1237" s="10" t="s">
        <v>51</v>
      </c>
      <c r="K1237" s="10" t="s">
        <v>97</v>
      </c>
      <c r="L1237" t="str">
        <f>IFERROR(VLOOKUP(D1237,Products!A:F,3,0),"")</f>
        <v>Beauty</v>
      </c>
      <c r="M1237" t="str">
        <f>IFERROR(VLOOKUP(E1237,Sales_Reps!A:E,3,0),"")</f>
        <v>East</v>
      </c>
      <c r="N1237" t="str">
        <f>IFERROR(VLOOKUP(C1237,Customers!A:F,5,0),"")</f>
        <v>SMB</v>
      </c>
      <c r="O1237">
        <f>IFERROR(VLOOKUP(C1237,Customers!A:F,3,0),"")</f>
        <v>31</v>
      </c>
      <c r="P1237">
        <f>IFERROR(VLOOKUP(D1237,Products!A:F,4,0),"")</f>
        <v>1626</v>
      </c>
      <c r="Q1237" t="b">
        <f>IFERROR(VLOOKUP(D1237,Products!A:F,6,0),"")</f>
        <v>1</v>
      </c>
      <c r="R1237">
        <f t="shared" si="57"/>
        <v>0.46158940397350995</v>
      </c>
      <c r="S1237">
        <f t="shared" si="58"/>
        <v>1</v>
      </c>
      <c r="T1237">
        <f>IF(AND(S1237&gt;1,COUNTIF($A$2:A1237,A1237)=1),1,0)</f>
        <v>0</v>
      </c>
      <c r="U1237">
        <f>COUNTIF(Customers!$A$2:$A$301,C1237)</f>
        <v>1</v>
      </c>
      <c r="V1237">
        <f t="shared" si="59"/>
        <v>0</v>
      </c>
    </row>
    <row r="1238" spans="1:22" ht="14.25" customHeight="1" x14ac:dyDescent="0.35">
      <c r="A1238" s="10" t="s">
        <v>1687</v>
      </c>
      <c r="B1238" s="11">
        <v>45438</v>
      </c>
      <c r="C1238" s="10" t="s">
        <v>1688</v>
      </c>
      <c r="D1238" s="10" t="s">
        <v>223</v>
      </c>
      <c r="E1238" s="10" t="s">
        <v>112</v>
      </c>
      <c r="F1238" s="12">
        <v>5</v>
      </c>
      <c r="G1238" s="12">
        <v>1540</v>
      </c>
      <c r="H1238" s="12">
        <v>27.2</v>
      </c>
      <c r="I1238" s="12">
        <v>5605.6</v>
      </c>
      <c r="J1238" s="10" t="s">
        <v>51</v>
      </c>
      <c r="K1238" s="10" t="s">
        <v>81</v>
      </c>
      <c r="L1238" t="str">
        <f>IFERROR(VLOOKUP(D1238,Products!A:F,3,0),"")</f>
        <v>Beauty</v>
      </c>
      <c r="M1238" t="str">
        <f>IFERROR(VLOOKUP(E1238,Sales_Reps!A:E,3,0),"")</f>
        <v>North</v>
      </c>
      <c r="N1238" t="str">
        <f>IFERROR(VLOOKUP(C1238,Customers!A:F,5,0),"")</f>
        <v>SMB</v>
      </c>
      <c r="O1238">
        <f>IFERROR(VLOOKUP(C1238,Customers!A:F,3,0),"")</f>
        <v>54</v>
      </c>
      <c r="P1238">
        <f>IFERROR(VLOOKUP(D1238,Products!A:F,4,0),"")</f>
        <v>647</v>
      </c>
      <c r="Q1238" t="b">
        <f>IFERROR(VLOOKUP(D1238,Products!A:F,6,0),"")</f>
        <v>0</v>
      </c>
      <c r="R1238">
        <f t="shared" si="57"/>
        <v>0.57987012987012987</v>
      </c>
      <c r="S1238">
        <f t="shared" si="58"/>
        <v>1</v>
      </c>
      <c r="T1238">
        <f>IF(AND(S1238&gt;1,COUNTIF($A$2:A1238,A1238)=1),1,0)</f>
        <v>0</v>
      </c>
      <c r="U1238">
        <f>COUNTIF(Customers!$A$2:$A$301,C1238)</f>
        <v>1</v>
      </c>
      <c r="V1238">
        <f t="shared" si="59"/>
        <v>0</v>
      </c>
    </row>
    <row r="1239" spans="1:22" ht="14.25" customHeight="1" x14ac:dyDescent="0.35">
      <c r="A1239" s="10" t="s">
        <v>735</v>
      </c>
      <c r="B1239" s="11">
        <v>45307</v>
      </c>
      <c r="C1239" s="10" t="s">
        <v>280</v>
      </c>
      <c r="D1239" s="10" t="s">
        <v>479</v>
      </c>
      <c r="E1239" s="10" t="s">
        <v>118</v>
      </c>
      <c r="F1239" s="12">
        <v>4</v>
      </c>
      <c r="G1239" s="12">
        <v>6940</v>
      </c>
      <c r="H1239" s="12">
        <v>3.2</v>
      </c>
      <c r="I1239" s="12">
        <v>26871.68</v>
      </c>
      <c r="J1239" s="10" t="s">
        <v>51</v>
      </c>
      <c r="K1239" s="10" t="s">
        <v>52</v>
      </c>
      <c r="L1239" t="str">
        <f>IFERROR(VLOOKUP(D1239,Products!A:F,3,0),"")</f>
        <v>Sports</v>
      </c>
      <c r="M1239" t="str">
        <f>IFERROR(VLOOKUP(E1239,Sales_Reps!A:E,3,0),"")</f>
        <v>East</v>
      </c>
      <c r="N1239" t="str">
        <f>IFERROR(VLOOKUP(C1239,Customers!A:F,5,0),"")</f>
        <v>SMB</v>
      </c>
      <c r="O1239">
        <f>IFERROR(VLOOKUP(C1239,Customers!A:F,3,0),"")</f>
        <v>60</v>
      </c>
      <c r="P1239">
        <f>IFERROR(VLOOKUP(D1239,Products!A:F,4,0),"")</f>
        <v>2827</v>
      </c>
      <c r="Q1239" t="b">
        <f>IFERROR(VLOOKUP(D1239,Products!A:F,6,0),"")</f>
        <v>1</v>
      </c>
      <c r="R1239">
        <f t="shared" si="57"/>
        <v>0.5926512968299712</v>
      </c>
      <c r="S1239">
        <f t="shared" si="58"/>
        <v>2</v>
      </c>
      <c r="T1239">
        <f>IF(AND(S1239&gt;1,COUNTIF($A$2:A1239,A1239)=1),1,0)</f>
        <v>0</v>
      </c>
      <c r="U1239">
        <f>COUNTIF(Customers!$A$2:$A$301,C1239)</f>
        <v>1</v>
      </c>
      <c r="V1239">
        <f t="shared" si="59"/>
        <v>0</v>
      </c>
    </row>
    <row r="1240" spans="1:22" ht="14.25" customHeight="1" x14ac:dyDescent="0.35">
      <c r="A1240" s="10" t="s">
        <v>1689</v>
      </c>
      <c r="B1240" s="11">
        <v>45517</v>
      </c>
      <c r="C1240" s="10" t="s">
        <v>73</v>
      </c>
      <c r="D1240" s="10" t="s">
        <v>155</v>
      </c>
      <c r="E1240" s="10" t="s">
        <v>202</v>
      </c>
      <c r="F1240" s="12">
        <v>2</v>
      </c>
      <c r="G1240" s="12">
        <v>5100</v>
      </c>
      <c r="H1240" s="12">
        <v>18.100000000000001</v>
      </c>
      <c r="I1240" s="12">
        <v>8353.7999999999993</v>
      </c>
      <c r="J1240" s="10" t="s">
        <v>51</v>
      </c>
      <c r="K1240" s="10" t="s">
        <v>76</v>
      </c>
      <c r="L1240" t="str">
        <f>IFERROR(VLOOKUP(D1240,Products!A:F,3,0),"")</f>
        <v>Beauty</v>
      </c>
      <c r="M1240" t="str">
        <f>IFERROR(VLOOKUP(E1240,Sales_Reps!A:E,3,0),"")</f>
        <v>East</v>
      </c>
      <c r="N1240" t="str">
        <f>IFERROR(VLOOKUP(C1240,Customers!A:F,5,0),"")</f>
        <v>Retail</v>
      </c>
      <c r="O1240">
        <f>IFERROR(VLOOKUP(C1240,Customers!A:F,3,0),"")</f>
        <v>36</v>
      </c>
      <c r="P1240">
        <f>IFERROR(VLOOKUP(D1240,Products!A:F,4,0),"")</f>
        <v>2237</v>
      </c>
      <c r="Q1240" t="b">
        <f>IFERROR(VLOOKUP(D1240,Products!A:F,6,0),"")</f>
        <v>1</v>
      </c>
      <c r="R1240">
        <f t="shared" si="57"/>
        <v>0.56137254901960787</v>
      </c>
      <c r="S1240">
        <f t="shared" si="58"/>
        <v>1</v>
      </c>
      <c r="T1240">
        <f>IF(AND(S1240&gt;1,COUNTIF($A$2:A1240,A1240)=1),1,0)</f>
        <v>0</v>
      </c>
      <c r="U1240">
        <f>COUNTIF(Customers!$A$2:$A$301,C1240)</f>
        <v>1</v>
      </c>
      <c r="V1240">
        <f t="shared" si="59"/>
        <v>0</v>
      </c>
    </row>
    <row r="1241" spans="1:22" ht="14.25" customHeight="1" x14ac:dyDescent="0.35">
      <c r="A1241" s="10" t="s">
        <v>1690</v>
      </c>
      <c r="B1241" s="11">
        <v>45575</v>
      </c>
      <c r="C1241" s="10" t="s">
        <v>278</v>
      </c>
      <c r="D1241" s="10" t="s">
        <v>328</v>
      </c>
      <c r="E1241" s="10" t="s">
        <v>310</v>
      </c>
      <c r="F1241" s="12">
        <v>6</v>
      </c>
      <c r="G1241" s="12">
        <v>5330</v>
      </c>
      <c r="H1241" s="12">
        <v>0.3</v>
      </c>
      <c r="I1241" s="12">
        <v>31884.06</v>
      </c>
      <c r="J1241" s="10" t="s">
        <v>57</v>
      </c>
      <c r="K1241" s="10" t="s">
        <v>52</v>
      </c>
      <c r="L1241" t="str">
        <f>IFERROR(VLOOKUP(D1241,Products!A:F,3,0),"")</f>
        <v>Electronics</v>
      </c>
      <c r="M1241" t="str">
        <f>IFERROR(VLOOKUP(E1241,Sales_Reps!A:E,3,0),"")</f>
        <v>South</v>
      </c>
      <c r="N1241" t="str">
        <f>IFERROR(VLOOKUP(C1241,Customers!A:F,5,0),"")</f>
        <v>Corporate</v>
      </c>
      <c r="O1241">
        <f>IFERROR(VLOOKUP(C1241,Customers!A:F,3,0),"")</f>
        <v>33</v>
      </c>
      <c r="P1241">
        <f>IFERROR(VLOOKUP(D1241,Products!A:F,4,0),"")</f>
        <v>2405</v>
      </c>
      <c r="Q1241" t="b">
        <f>IFERROR(VLOOKUP(D1241,Products!A:F,6,0),"")</f>
        <v>1</v>
      </c>
      <c r="R1241">
        <f t="shared" si="57"/>
        <v>0.54878048780487809</v>
      </c>
      <c r="S1241">
        <f t="shared" si="58"/>
        <v>1</v>
      </c>
      <c r="T1241">
        <f>IF(AND(S1241&gt;1,COUNTIF($A$2:A1241,A1241)=1),1,0)</f>
        <v>0</v>
      </c>
      <c r="U1241">
        <f>COUNTIF(Customers!$A$2:$A$301,C1241)</f>
        <v>1</v>
      </c>
      <c r="V1241">
        <f t="shared" si="59"/>
        <v>0</v>
      </c>
    </row>
    <row r="1242" spans="1:22" ht="14.25" customHeight="1" x14ac:dyDescent="0.35">
      <c r="A1242" s="10" t="s">
        <v>1691</v>
      </c>
      <c r="B1242" s="11">
        <v>45449</v>
      </c>
      <c r="C1242" s="10" t="s">
        <v>970</v>
      </c>
      <c r="D1242" s="10" t="s">
        <v>79</v>
      </c>
      <c r="E1242" s="10" t="s">
        <v>193</v>
      </c>
      <c r="F1242" s="12">
        <v>5</v>
      </c>
      <c r="G1242" s="12">
        <v>960</v>
      </c>
      <c r="H1242" s="12">
        <v>16.600000000000001</v>
      </c>
      <c r="I1242" s="12">
        <v>4003.2</v>
      </c>
      <c r="J1242" s="10" t="s">
        <v>51</v>
      </c>
      <c r="K1242" s="10" t="s">
        <v>81</v>
      </c>
      <c r="L1242" t="str">
        <f>IFERROR(VLOOKUP(D1242,Products!A:F,3,0),"")</f>
        <v>Sports</v>
      </c>
      <c r="M1242" t="str">
        <f>IFERROR(VLOOKUP(E1242,Sales_Reps!A:E,3,0),"")</f>
        <v>West</v>
      </c>
      <c r="N1242" t="str">
        <f>IFERROR(VLOOKUP(C1242,Customers!A:F,5,0),"")</f>
        <v>SMB</v>
      </c>
      <c r="O1242">
        <f>IFERROR(VLOOKUP(C1242,Customers!A:F,3,0),"")</f>
        <v>44</v>
      </c>
      <c r="P1242">
        <f>IFERROR(VLOOKUP(D1242,Products!A:F,4,0),"")</f>
        <v>705</v>
      </c>
      <c r="Q1242" t="b">
        <f>IFERROR(VLOOKUP(D1242,Products!A:F,6,0),"")</f>
        <v>1</v>
      </c>
      <c r="R1242">
        <f t="shared" si="57"/>
        <v>0.265625</v>
      </c>
      <c r="S1242">
        <f t="shared" si="58"/>
        <v>1</v>
      </c>
      <c r="T1242">
        <f>IF(AND(S1242&gt;1,COUNTIF($A$2:A1242,A1242)=1),1,0)</f>
        <v>0</v>
      </c>
      <c r="U1242">
        <f>COUNTIF(Customers!$A$2:$A$301,C1242)</f>
        <v>1</v>
      </c>
      <c r="V1242">
        <f t="shared" si="59"/>
        <v>0</v>
      </c>
    </row>
    <row r="1243" spans="1:22" ht="14.25" customHeight="1" x14ac:dyDescent="0.35">
      <c r="A1243" s="10" t="s">
        <v>1692</v>
      </c>
      <c r="B1243" s="11">
        <v>45481</v>
      </c>
      <c r="C1243" s="10" t="s">
        <v>269</v>
      </c>
      <c r="D1243" s="10" t="s">
        <v>49</v>
      </c>
      <c r="E1243" s="10" t="s">
        <v>249</v>
      </c>
      <c r="F1243" s="12">
        <v>7</v>
      </c>
      <c r="G1243" s="12">
        <v>3620</v>
      </c>
      <c r="H1243" s="12">
        <v>5.4</v>
      </c>
      <c r="I1243" s="12">
        <v>23971.64</v>
      </c>
      <c r="J1243" s="10" t="s">
        <v>51</v>
      </c>
      <c r="K1243" s="10" t="s">
        <v>97</v>
      </c>
      <c r="L1243" t="str">
        <f>IFERROR(VLOOKUP(D1243,Products!A:F,3,0),"")</f>
        <v>Apparel</v>
      </c>
      <c r="M1243" t="str">
        <f>IFERROR(VLOOKUP(E1243,Sales_Reps!A:E,3,0),"")</f>
        <v>East</v>
      </c>
      <c r="N1243" t="str">
        <f>IFERROR(VLOOKUP(C1243,Customers!A:F,5,0),"")</f>
        <v>Corporate</v>
      </c>
      <c r="O1243">
        <f>IFERROR(VLOOKUP(C1243,Customers!A:F,3,0),"")</f>
        <v>46</v>
      </c>
      <c r="P1243">
        <f>IFERROR(VLOOKUP(D1243,Products!A:F,4,0),"")</f>
        <v>2509</v>
      </c>
      <c r="Q1243" t="b">
        <f>IFERROR(VLOOKUP(D1243,Products!A:F,6,0),"")</f>
        <v>1</v>
      </c>
      <c r="R1243">
        <f t="shared" si="57"/>
        <v>0.3069060773480663</v>
      </c>
      <c r="S1243">
        <f t="shared" si="58"/>
        <v>2</v>
      </c>
      <c r="T1243">
        <f>IF(AND(S1243&gt;1,COUNTIF($A$2:A1243,A1243)=1),1,0)</f>
        <v>1</v>
      </c>
      <c r="U1243">
        <f>COUNTIF(Customers!$A$2:$A$301,C1243)</f>
        <v>1</v>
      </c>
      <c r="V1243">
        <f t="shared" si="59"/>
        <v>0</v>
      </c>
    </row>
    <row r="1244" spans="1:22" ht="14.25" customHeight="1" x14ac:dyDescent="0.35">
      <c r="A1244" s="10" t="s">
        <v>1693</v>
      </c>
      <c r="B1244" s="11">
        <v>45368</v>
      </c>
      <c r="C1244" s="10" t="s">
        <v>1592</v>
      </c>
      <c r="D1244" s="10" t="s">
        <v>102</v>
      </c>
      <c r="E1244" s="10" t="s">
        <v>67</v>
      </c>
      <c r="F1244" s="12">
        <v>6</v>
      </c>
      <c r="G1244" s="12">
        <v>2600</v>
      </c>
      <c r="H1244" s="12">
        <v>25.9</v>
      </c>
      <c r="I1244" s="12">
        <v>11559.6</v>
      </c>
      <c r="J1244" s="10" t="s">
        <v>51</v>
      </c>
      <c r="K1244" s="10" t="s">
        <v>58</v>
      </c>
      <c r="L1244" t="str">
        <f>IFERROR(VLOOKUP(D1244,Products!A:F,3,0),"")</f>
        <v>Electronics</v>
      </c>
      <c r="M1244" t="str">
        <f>IFERROR(VLOOKUP(E1244,Sales_Reps!A:E,3,0),"")</f>
        <v>North</v>
      </c>
      <c r="N1244" t="str">
        <f>IFERROR(VLOOKUP(C1244,Customers!A:F,5,0),"")</f>
        <v>Retail</v>
      </c>
      <c r="O1244">
        <f>IFERROR(VLOOKUP(C1244,Customers!A:F,3,0),"")</f>
        <v>35</v>
      </c>
      <c r="P1244">
        <f>IFERROR(VLOOKUP(D1244,Products!A:F,4,0),"")</f>
        <v>1052</v>
      </c>
      <c r="Q1244" t="b">
        <f>IFERROR(VLOOKUP(D1244,Products!A:F,6,0),"")</f>
        <v>1</v>
      </c>
      <c r="R1244">
        <f t="shared" si="57"/>
        <v>0.5953846153846154</v>
      </c>
      <c r="S1244">
        <f t="shared" si="58"/>
        <v>1</v>
      </c>
      <c r="T1244">
        <f>IF(AND(S1244&gt;1,COUNTIF($A$2:A1244,A1244)=1),1,0)</f>
        <v>0</v>
      </c>
      <c r="U1244">
        <f>COUNTIF(Customers!$A$2:$A$301,C1244)</f>
        <v>1</v>
      </c>
      <c r="V1244">
        <f t="shared" si="59"/>
        <v>0</v>
      </c>
    </row>
    <row r="1245" spans="1:22" ht="14.25" customHeight="1" x14ac:dyDescent="0.35">
      <c r="A1245" s="10" t="s">
        <v>1694</v>
      </c>
      <c r="B1245" s="11">
        <v>45298</v>
      </c>
      <c r="C1245" s="10" t="s">
        <v>449</v>
      </c>
      <c r="D1245" s="10" t="s">
        <v>243</v>
      </c>
      <c r="E1245" s="10" t="s">
        <v>216</v>
      </c>
      <c r="F1245" s="12">
        <v>7</v>
      </c>
      <c r="G1245" s="12">
        <v>2660</v>
      </c>
      <c r="H1245" s="12">
        <v>20.2</v>
      </c>
      <c r="I1245" s="12">
        <v>14858.76</v>
      </c>
      <c r="J1245" s="10" t="s">
        <v>51</v>
      </c>
      <c r="K1245" s="10" t="s">
        <v>52</v>
      </c>
      <c r="L1245" t="str">
        <f>IFERROR(VLOOKUP(D1245,Products!A:F,3,0),"")</f>
        <v>Electronics</v>
      </c>
      <c r="M1245" t="str">
        <f>IFERROR(VLOOKUP(E1245,Sales_Reps!A:E,3,0),"")</f>
        <v>South</v>
      </c>
      <c r="N1245" t="str">
        <f>IFERROR(VLOOKUP(C1245,Customers!A:F,5,0),"")</f>
        <v>Retail</v>
      </c>
      <c r="O1245">
        <f>IFERROR(VLOOKUP(C1245,Customers!A:F,3,0),"")</f>
        <v>49</v>
      </c>
      <c r="P1245">
        <f>IFERROR(VLOOKUP(D1245,Products!A:F,4,0),"")</f>
        <v>1259</v>
      </c>
      <c r="Q1245" t="b">
        <f>IFERROR(VLOOKUP(D1245,Products!A:F,6,0),"")</f>
        <v>0</v>
      </c>
      <c r="R1245">
        <f t="shared" si="57"/>
        <v>0.52669172932330832</v>
      </c>
      <c r="S1245">
        <f t="shared" si="58"/>
        <v>1</v>
      </c>
      <c r="T1245">
        <f>IF(AND(S1245&gt;1,COUNTIF($A$2:A1245,A1245)=1),1,0)</f>
        <v>0</v>
      </c>
      <c r="U1245">
        <f>COUNTIF(Customers!$A$2:$A$301,C1245)</f>
        <v>1</v>
      </c>
      <c r="V1245">
        <f t="shared" si="59"/>
        <v>0</v>
      </c>
    </row>
    <row r="1246" spans="1:22" ht="14.25" customHeight="1" x14ac:dyDescent="0.35">
      <c r="A1246" s="10" t="s">
        <v>1695</v>
      </c>
      <c r="B1246" s="11">
        <v>45472</v>
      </c>
      <c r="C1246" s="10" t="s">
        <v>923</v>
      </c>
      <c r="D1246" s="10" t="s">
        <v>131</v>
      </c>
      <c r="E1246" s="10" t="s">
        <v>249</v>
      </c>
      <c r="F1246" s="12">
        <v>9</v>
      </c>
      <c r="G1246" s="12">
        <v>2480</v>
      </c>
      <c r="H1246" s="12">
        <v>14.7</v>
      </c>
      <c r="I1246" s="12">
        <v>19038.96</v>
      </c>
      <c r="J1246" s="10" t="s">
        <v>51</v>
      </c>
      <c r="K1246" s="10" t="s">
        <v>76</v>
      </c>
      <c r="L1246" t="str">
        <f>IFERROR(VLOOKUP(D1246,Products!A:F,3,0),"")</f>
        <v>Apparel</v>
      </c>
      <c r="M1246" t="str">
        <f>IFERROR(VLOOKUP(E1246,Sales_Reps!A:E,3,0),"")</f>
        <v>East</v>
      </c>
      <c r="N1246" t="str">
        <f>IFERROR(VLOOKUP(C1246,Customers!A:F,5,0),"")</f>
        <v>SMB</v>
      </c>
      <c r="O1246">
        <f>IFERROR(VLOOKUP(C1246,Customers!A:F,3,0),"")</f>
        <v>65</v>
      </c>
      <c r="P1246">
        <f>IFERROR(VLOOKUP(D1246,Products!A:F,4,0),"")</f>
        <v>1173</v>
      </c>
      <c r="Q1246" t="b">
        <f>IFERROR(VLOOKUP(D1246,Products!A:F,6,0),"")</f>
        <v>1</v>
      </c>
      <c r="R1246">
        <f t="shared" si="57"/>
        <v>0.52701612903225803</v>
      </c>
      <c r="S1246">
        <f t="shared" si="58"/>
        <v>1</v>
      </c>
      <c r="T1246">
        <f>IF(AND(S1246&gt;1,COUNTIF($A$2:A1246,A1246)=1),1,0)</f>
        <v>0</v>
      </c>
      <c r="U1246">
        <f>COUNTIF(Customers!$A$2:$A$301,C1246)</f>
        <v>1</v>
      </c>
      <c r="V1246">
        <f t="shared" si="59"/>
        <v>0</v>
      </c>
    </row>
    <row r="1247" spans="1:22" ht="14.25" customHeight="1" x14ac:dyDescent="0.35">
      <c r="A1247" s="10" t="s">
        <v>1696</v>
      </c>
      <c r="B1247" s="11">
        <v>45568</v>
      </c>
      <c r="C1247" s="10" t="s">
        <v>321</v>
      </c>
      <c r="D1247" s="10" t="s">
        <v>243</v>
      </c>
      <c r="E1247" s="10" t="s">
        <v>152</v>
      </c>
      <c r="F1247" s="12">
        <v>4</v>
      </c>
      <c r="G1247" s="12">
        <v>2660</v>
      </c>
      <c r="H1247" s="12">
        <v>8.9</v>
      </c>
      <c r="I1247" s="12">
        <v>9693.0400000000009</v>
      </c>
      <c r="J1247" s="10" t="s">
        <v>51</v>
      </c>
      <c r="K1247" s="10" t="s">
        <v>63</v>
      </c>
      <c r="L1247" t="str">
        <f>IFERROR(VLOOKUP(D1247,Products!A:F,3,0),"")</f>
        <v>Electronics</v>
      </c>
      <c r="M1247" t="str">
        <f>IFERROR(VLOOKUP(E1247,Sales_Reps!A:E,3,0),"")</f>
        <v>South</v>
      </c>
      <c r="N1247" t="str">
        <f>IFERROR(VLOOKUP(C1247,Customers!A:F,5,0),"")</f>
        <v>SMB</v>
      </c>
      <c r="O1247">
        <f>IFERROR(VLOOKUP(C1247,Customers!A:F,3,0),"")</f>
        <v>38</v>
      </c>
      <c r="P1247">
        <f>IFERROR(VLOOKUP(D1247,Products!A:F,4,0),"")</f>
        <v>1259</v>
      </c>
      <c r="Q1247" t="b">
        <f>IFERROR(VLOOKUP(D1247,Products!A:F,6,0),"")</f>
        <v>0</v>
      </c>
      <c r="R1247">
        <f t="shared" si="57"/>
        <v>0.52669172932330832</v>
      </c>
      <c r="S1247">
        <f t="shared" si="58"/>
        <v>1</v>
      </c>
      <c r="T1247">
        <f>IF(AND(S1247&gt;1,COUNTIF($A$2:A1247,A1247)=1),1,0)</f>
        <v>0</v>
      </c>
      <c r="U1247">
        <f>COUNTIF(Customers!$A$2:$A$301,C1247)</f>
        <v>1</v>
      </c>
      <c r="V1247">
        <f t="shared" si="59"/>
        <v>0</v>
      </c>
    </row>
    <row r="1248" spans="1:22" ht="14.25" customHeight="1" x14ac:dyDescent="0.35">
      <c r="A1248" s="10" t="s">
        <v>1697</v>
      </c>
      <c r="B1248" s="11">
        <v>45540</v>
      </c>
      <c r="C1248" s="10" t="s">
        <v>864</v>
      </c>
      <c r="D1248" s="10" t="s">
        <v>328</v>
      </c>
      <c r="E1248" s="10" t="s">
        <v>96</v>
      </c>
      <c r="F1248" s="12">
        <v>1</v>
      </c>
      <c r="G1248" s="12">
        <v>5330</v>
      </c>
      <c r="H1248" s="12">
        <v>26.8</v>
      </c>
      <c r="I1248" s="12">
        <v>3901.56</v>
      </c>
      <c r="J1248" s="10" t="s">
        <v>51</v>
      </c>
      <c r="K1248" s="10" t="s">
        <v>81</v>
      </c>
      <c r="L1248" t="str">
        <f>IFERROR(VLOOKUP(D1248,Products!A:F,3,0),"")</f>
        <v>Electronics</v>
      </c>
      <c r="M1248" t="str">
        <f>IFERROR(VLOOKUP(E1248,Sales_Reps!A:E,3,0),"")</f>
        <v>South</v>
      </c>
      <c r="N1248" t="str">
        <f>IFERROR(VLOOKUP(C1248,Customers!A:F,5,0),"")</f>
        <v>Retail</v>
      </c>
      <c r="O1248">
        <f>IFERROR(VLOOKUP(C1248,Customers!A:F,3,0),"")</f>
        <v>35</v>
      </c>
      <c r="P1248">
        <f>IFERROR(VLOOKUP(D1248,Products!A:F,4,0),"")</f>
        <v>2405</v>
      </c>
      <c r="Q1248" t="b">
        <f>IFERROR(VLOOKUP(D1248,Products!A:F,6,0),"")</f>
        <v>1</v>
      </c>
      <c r="R1248">
        <f t="shared" si="57"/>
        <v>0.54878048780487809</v>
      </c>
      <c r="S1248">
        <f t="shared" si="58"/>
        <v>1</v>
      </c>
      <c r="T1248">
        <f>IF(AND(S1248&gt;1,COUNTIF($A$2:A1248,A1248)=1),1,0)</f>
        <v>0</v>
      </c>
      <c r="U1248">
        <f>COUNTIF(Customers!$A$2:$A$301,C1248)</f>
        <v>1</v>
      </c>
      <c r="V1248">
        <f t="shared" si="59"/>
        <v>0</v>
      </c>
    </row>
    <row r="1249" spans="1:22" ht="14.25" customHeight="1" x14ac:dyDescent="0.35">
      <c r="A1249" s="10" t="s">
        <v>1698</v>
      </c>
      <c r="B1249" s="11">
        <v>45544</v>
      </c>
      <c r="C1249" s="10" t="s">
        <v>1587</v>
      </c>
      <c r="D1249" s="10" t="s">
        <v>125</v>
      </c>
      <c r="E1249" s="10" t="s">
        <v>307</v>
      </c>
      <c r="F1249" s="12">
        <v>6</v>
      </c>
      <c r="G1249" s="12">
        <v>3450</v>
      </c>
      <c r="H1249" s="12">
        <v>19.2</v>
      </c>
      <c r="I1249" s="12">
        <v>16725.599999999999</v>
      </c>
      <c r="J1249" s="10" t="s">
        <v>57</v>
      </c>
      <c r="K1249" s="10" t="s">
        <v>81</v>
      </c>
      <c r="L1249" t="str">
        <f>IFERROR(VLOOKUP(D1249,Products!A:F,3,0),"")</f>
        <v>Sports</v>
      </c>
      <c r="M1249" t="str">
        <f>IFERROR(VLOOKUP(E1249,Sales_Reps!A:E,3,0),"")</f>
        <v>West</v>
      </c>
      <c r="N1249" t="str">
        <f>IFERROR(VLOOKUP(C1249,Customers!A:F,5,0),"")</f>
        <v>Retail</v>
      </c>
      <c r="O1249">
        <f>IFERROR(VLOOKUP(C1249,Customers!A:F,3,0),"")</f>
        <v>53</v>
      </c>
      <c r="P1249">
        <f>IFERROR(VLOOKUP(D1249,Products!A:F,4,0),"")</f>
        <v>2467</v>
      </c>
      <c r="Q1249" t="b">
        <f>IFERROR(VLOOKUP(D1249,Products!A:F,6,0),"")</f>
        <v>1</v>
      </c>
      <c r="R1249">
        <f t="shared" si="57"/>
        <v>0.28492753623188405</v>
      </c>
      <c r="S1249">
        <f t="shared" si="58"/>
        <v>1</v>
      </c>
      <c r="T1249">
        <f>IF(AND(S1249&gt;1,COUNTIF($A$2:A1249,A1249)=1),1,0)</f>
        <v>0</v>
      </c>
      <c r="U1249">
        <f>COUNTIF(Customers!$A$2:$A$301,C1249)</f>
        <v>1</v>
      </c>
      <c r="V1249">
        <f t="shared" si="59"/>
        <v>0</v>
      </c>
    </row>
    <row r="1250" spans="1:22" ht="14.25" customHeight="1" x14ac:dyDescent="0.35">
      <c r="A1250" s="10" t="s">
        <v>1699</v>
      </c>
      <c r="B1250" s="11">
        <v>45334</v>
      </c>
      <c r="C1250" s="10" t="s">
        <v>133</v>
      </c>
      <c r="D1250" s="10" t="s">
        <v>111</v>
      </c>
      <c r="E1250" s="10" t="s">
        <v>75</v>
      </c>
      <c r="F1250" s="12">
        <v>10</v>
      </c>
      <c r="G1250" s="12">
        <v>190</v>
      </c>
      <c r="H1250" s="12">
        <v>18.100000000000001</v>
      </c>
      <c r="I1250" s="12">
        <v>1556.1</v>
      </c>
      <c r="J1250" s="10" t="s">
        <v>51</v>
      </c>
      <c r="K1250" s="10" t="s">
        <v>76</v>
      </c>
      <c r="L1250" t="str">
        <f>IFERROR(VLOOKUP(D1250,Products!A:F,3,0),"")</f>
        <v>Sports</v>
      </c>
      <c r="M1250" t="str">
        <f>IFERROR(VLOOKUP(E1250,Sales_Reps!A:E,3,0),"")</f>
        <v>West</v>
      </c>
      <c r="N1250" t="str">
        <f>IFERROR(VLOOKUP(C1250,Customers!A:F,5,0),"")</f>
        <v>Retail</v>
      </c>
      <c r="O1250">
        <f>IFERROR(VLOOKUP(C1250,Customers!A:F,3,0),"")</f>
        <v>34</v>
      </c>
      <c r="P1250">
        <f>IFERROR(VLOOKUP(D1250,Products!A:F,4,0),"")</f>
        <v>147</v>
      </c>
      <c r="Q1250" t="b">
        <f>IFERROR(VLOOKUP(D1250,Products!A:F,6,0),"")</f>
        <v>1</v>
      </c>
      <c r="R1250">
        <f t="shared" si="57"/>
        <v>0.22631578947368422</v>
      </c>
      <c r="S1250">
        <f t="shared" si="58"/>
        <v>1</v>
      </c>
      <c r="T1250">
        <f>IF(AND(S1250&gt;1,COUNTIF($A$2:A1250,A1250)=1),1,0)</f>
        <v>0</v>
      </c>
      <c r="U1250">
        <f>COUNTIF(Customers!$A$2:$A$301,C1250)</f>
        <v>1</v>
      </c>
      <c r="V1250">
        <f t="shared" si="59"/>
        <v>0</v>
      </c>
    </row>
    <row r="1251" spans="1:22" ht="14.25" customHeight="1" x14ac:dyDescent="0.35">
      <c r="A1251" s="10" t="s">
        <v>1700</v>
      </c>
      <c r="B1251" s="11">
        <v>45584</v>
      </c>
      <c r="C1251" s="10" t="s">
        <v>585</v>
      </c>
      <c r="D1251" s="10" t="s">
        <v>372</v>
      </c>
      <c r="E1251" s="10" t="s">
        <v>168</v>
      </c>
      <c r="F1251" s="12">
        <v>9</v>
      </c>
      <c r="G1251" s="12">
        <v>3970</v>
      </c>
      <c r="H1251" s="12">
        <v>18.2</v>
      </c>
      <c r="I1251" s="12">
        <v>29227.14</v>
      </c>
      <c r="J1251" s="10" t="s">
        <v>57</v>
      </c>
      <c r="K1251" s="10" t="s">
        <v>58</v>
      </c>
      <c r="L1251" t="str">
        <f>IFERROR(VLOOKUP(D1251,Products!A:F,3,0),"")</f>
        <v>Electronics</v>
      </c>
      <c r="M1251" t="str">
        <f>IFERROR(VLOOKUP(E1251,Sales_Reps!A:E,3,0),"")</f>
        <v>South</v>
      </c>
      <c r="N1251" t="str">
        <f>IFERROR(VLOOKUP(C1251,Customers!A:F,5,0),"")</f>
        <v>Corporate</v>
      </c>
      <c r="O1251">
        <f>IFERROR(VLOOKUP(C1251,Customers!A:F,3,0),"")</f>
        <v>22</v>
      </c>
      <c r="P1251">
        <f>IFERROR(VLOOKUP(D1251,Products!A:F,4,0),"")</f>
        <v>2865</v>
      </c>
      <c r="Q1251" t="b">
        <f>IFERROR(VLOOKUP(D1251,Products!A:F,6,0),"")</f>
        <v>1</v>
      </c>
      <c r="R1251">
        <f t="shared" si="57"/>
        <v>0.27833753148614609</v>
      </c>
      <c r="S1251">
        <f t="shared" si="58"/>
        <v>1</v>
      </c>
      <c r="T1251">
        <f>IF(AND(S1251&gt;1,COUNTIF($A$2:A1251,A1251)=1),1,0)</f>
        <v>0</v>
      </c>
      <c r="U1251">
        <f>COUNTIF(Customers!$A$2:$A$301,C1251)</f>
        <v>1</v>
      </c>
      <c r="V1251">
        <f t="shared" si="59"/>
        <v>0</v>
      </c>
    </row>
    <row r="1252" spans="1:22" ht="14.25" customHeight="1" x14ac:dyDescent="0.35">
      <c r="A1252" s="10" t="s">
        <v>1701</v>
      </c>
      <c r="B1252" s="11">
        <v>45404</v>
      </c>
      <c r="C1252" s="10" t="s">
        <v>94</v>
      </c>
      <c r="D1252" s="10" t="s">
        <v>234</v>
      </c>
      <c r="E1252" s="10" t="s">
        <v>261</v>
      </c>
      <c r="F1252" s="12">
        <v>4</v>
      </c>
      <c r="G1252" s="12">
        <v>4610</v>
      </c>
      <c r="H1252" s="12">
        <v>15.1</v>
      </c>
      <c r="I1252" s="12">
        <v>15655.56</v>
      </c>
      <c r="J1252" s="10" t="s">
        <v>104</v>
      </c>
      <c r="K1252" s="10" t="s">
        <v>97</v>
      </c>
      <c r="L1252" t="str">
        <f>IFERROR(VLOOKUP(D1252,Products!A:F,3,0),"")</f>
        <v>Home</v>
      </c>
      <c r="M1252" t="str">
        <f>IFERROR(VLOOKUP(E1252,Sales_Reps!A:E,3,0),"")</f>
        <v>North</v>
      </c>
      <c r="N1252" t="str">
        <f>IFERROR(VLOOKUP(C1252,Customers!A:F,5,0),"")</f>
        <v>Retail</v>
      </c>
      <c r="O1252">
        <f>IFERROR(VLOOKUP(C1252,Customers!A:F,3,0),"")</f>
        <v>60</v>
      </c>
      <c r="P1252">
        <f>IFERROR(VLOOKUP(D1252,Products!A:F,4,0),"")</f>
        <v>1850</v>
      </c>
      <c r="Q1252" t="b">
        <f>IFERROR(VLOOKUP(D1252,Products!A:F,6,0),"")</f>
        <v>1</v>
      </c>
      <c r="R1252">
        <f t="shared" si="57"/>
        <v>0.59869848156182215</v>
      </c>
      <c r="S1252">
        <f t="shared" si="58"/>
        <v>1</v>
      </c>
      <c r="T1252">
        <f>IF(AND(S1252&gt;1,COUNTIF($A$2:A1252,A1252)=1),1,0)</f>
        <v>0</v>
      </c>
      <c r="U1252">
        <f>COUNTIF(Customers!$A$2:$A$301,C1252)</f>
        <v>1</v>
      </c>
      <c r="V1252">
        <f t="shared" si="59"/>
        <v>0</v>
      </c>
    </row>
    <row r="1253" spans="1:22" ht="14.25" customHeight="1" x14ac:dyDescent="0.35">
      <c r="A1253" s="10" t="s">
        <v>1702</v>
      </c>
      <c r="B1253" s="11">
        <v>45476</v>
      </c>
      <c r="C1253" s="10" t="s">
        <v>356</v>
      </c>
      <c r="D1253" s="10" t="s">
        <v>256</v>
      </c>
      <c r="E1253" s="10" t="s">
        <v>75</v>
      </c>
      <c r="F1253" s="12">
        <v>2</v>
      </c>
      <c r="G1253" s="12">
        <v>620</v>
      </c>
      <c r="H1253" s="12">
        <v>3.3</v>
      </c>
      <c r="I1253" s="12">
        <v>1199.08</v>
      </c>
      <c r="J1253" s="10" t="s">
        <v>51</v>
      </c>
      <c r="K1253" s="10" t="s">
        <v>76</v>
      </c>
      <c r="L1253" t="str">
        <f>IFERROR(VLOOKUP(D1253,Products!A:F,3,0),"")</f>
        <v>Apparel</v>
      </c>
      <c r="M1253" t="str">
        <f>IFERROR(VLOOKUP(E1253,Sales_Reps!A:E,3,0),"")</f>
        <v>West</v>
      </c>
      <c r="N1253" t="str">
        <f>IFERROR(VLOOKUP(C1253,Customers!A:F,5,0),"")</f>
        <v>Retail</v>
      </c>
      <c r="O1253">
        <f>IFERROR(VLOOKUP(C1253,Customers!A:F,3,0),"")</f>
        <v>50</v>
      </c>
      <c r="P1253">
        <f>IFERROR(VLOOKUP(D1253,Products!A:F,4,0),"")</f>
        <v>396</v>
      </c>
      <c r="Q1253" t="b">
        <f>IFERROR(VLOOKUP(D1253,Products!A:F,6,0),"")</f>
        <v>1</v>
      </c>
      <c r="R1253">
        <f t="shared" si="57"/>
        <v>0.36129032258064514</v>
      </c>
      <c r="S1253">
        <f t="shared" si="58"/>
        <v>1</v>
      </c>
      <c r="T1253">
        <f>IF(AND(S1253&gt;1,COUNTIF($A$2:A1253,A1253)=1),1,0)</f>
        <v>0</v>
      </c>
      <c r="U1253">
        <f>COUNTIF(Customers!$A$2:$A$301,C1253)</f>
        <v>1</v>
      </c>
      <c r="V1253">
        <f t="shared" si="59"/>
        <v>0</v>
      </c>
    </row>
    <row r="1254" spans="1:22" ht="14.25" customHeight="1" x14ac:dyDescent="0.35">
      <c r="A1254" s="10" t="s">
        <v>1703</v>
      </c>
      <c r="B1254" s="11">
        <v>45481</v>
      </c>
      <c r="C1254" s="10" t="s">
        <v>721</v>
      </c>
      <c r="D1254" s="10" t="s">
        <v>223</v>
      </c>
      <c r="E1254" s="10" t="s">
        <v>75</v>
      </c>
      <c r="F1254" s="12">
        <v>7</v>
      </c>
      <c r="G1254" s="12">
        <v>1540</v>
      </c>
      <c r="H1254" s="12">
        <v>27.5</v>
      </c>
      <c r="I1254" s="12">
        <v>7815.5</v>
      </c>
      <c r="J1254" s="10" t="s">
        <v>51</v>
      </c>
      <c r="K1254" s="10" t="s">
        <v>81</v>
      </c>
      <c r="L1254" t="str">
        <f>IFERROR(VLOOKUP(D1254,Products!A:F,3,0),"")</f>
        <v>Beauty</v>
      </c>
      <c r="M1254" t="str">
        <f>IFERROR(VLOOKUP(E1254,Sales_Reps!A:E,3,0),"")</f>
        <v>West</v>
      </c>
      <c r="N1254" t="str">
        <f>IFERROR(VLOOKUP(C1254,Customers!A:F,5,0),"")</f>
        <v>Corporate</v>
      </c>
      <c r="O1254">
        <f>IFERROR(VLOOKUP(C1254,Customers!A:F,3,0),"")</f>
        <v>43</v>
      </c>
      <c r="P1254">
        <f>IFERROR(VLOOKUP(D1254,Products!A:F,4,0),"")</f>
        <v>647</v>
      </c>
      <c r="Q1254" t="b">
        <f>IFERROR(VLOOKUP(D1254,Products!A:F,6,0),"")</f>
        <v>0</v>
      </c>
      <c r="R1254">
        <f t="shared" si="57"/>
        <v>0.57987012987012987</v>
      </c>
      <c r="S1254">
        <f t="shared" si="58"/>
        <v>1</v>
      </c>
      <c r="T1254">
        <f>IF(AND(S1254&gt;1,COUNTIF($A$2:A1254,A1254)=1),1,0)</f>
        <v>0</v>
      </c>
      <c r="U1254">
        <f>COUNTIF(Customers!$A$2:$A$301,C1254)</f>
        <v>1</v>
      </c>
      <c r="V1254">
        <f t="shared" si="59"/>
        <v>0</v>
      </c>
    </row>
    <row r="1255" spans="1:22" ht="14.25" customHeight="1" x14ac:dyDescent="0.35">
      <c r="A1255" s="10" t="s">
        <v>1704</v>
      </c>
      <c r="B1255" s="11">
        <v>45480</v>
      </c>
      <c r="C1255" s="10" t="s">
        <v>759</v>
      </c>
      <c r="D1255" s="10" t="s">
        <v>61</v>
      </c>
      <c r="E1255" s="10" t="s">
        <v>202</v>
      </c>
      <c r="F1255" s="12">
        <v>10</v>
      </c>
      <c r="G1255" s="12">
        <v>470</v>
      </c>
      <c r="H1255" s="12">
        <v>3.9</v>
      </c>
      <c r="I1255" s="12">
        <v>4516.7</v>
      </c>
      <c r="J1255" s="10" t="s">
        <v>51</v>
      </c>
      <c r="K1255" s="10" t="s">
        <v>58</v>
      </c>
      <c r="L1255" t="str">
        <f>IFERROR(VLOOKUP(D1255,Products!A:F,3,0),"")</f>
        <v>Sports</v>
      </c>
      <c r="M1255" t="str">
        <f>IFERROR(VLOOKUP(E1255,Sales_Reps!A:E,3,0),"")</f>
        <v>East</v>
      </c>
      <c r="N1255" t="str">
        <f>IFERROR(VLOOKUP(C1255,Customers!A:F,5,0),"")</f>
        <v>Retail</v>
      </c>
      <c r="O1255">
        <f>IFERROR(VLOOKUP(C1255,Customers!A:F,3,0),"")</f>
        <v>22</v>
      </c>
      <c r="P1255">
        <f>IFERROR(VLOOKUP(D1255,Products!A:F,4,0),"")</f>
        <v>302</v>
      </c>
      <c r="Q1255" t="b">
        <f>IFERROR(VLOOKUP(D1255,Products!A:F,6,0),"")</f>
        <v>0</v>
      </c>
      <c r="R1255">
        <f t="shared" si="57"/>
        <v>0.35744680851063831</v>
      </c>
      <c r="S1255">
        <f t="shared" si="58"/>
        <v>1</v>
      </c>
      <c r="T1255">
        <f>IF(AND(S1255&gt;1,COUNTIF($A$2:A1255,A1255)=1),1,0)</f>
        <v>0</v>
      </c>
      <c r="U1255">
        <f>COUNTIF(Customers!$A$2:$A$301,C1255)</f>
        <v>1</v>
      </c>
      <c r="V1255">
        <f t="shared" si="59"/>
        <v>0</v>
      </c>
    </row>
    <row r="1256" spans="1:22" ht="14.25" customHeight="1" x14ac:dyDescent="0.35">
      <c r="A1256" s="10" t="s">
        <v>1705</v>
      </c>
      <c r="B1256" s="11">
        <v>45603</v>
      </c>
      <c r="C1256" s="10" t="s">
        <v>932</v>
      </c>
      <c r="D1256" s="10" t="s">
        <v>148</v>
      </c>
      <c r="E1256" s="10" t="s">
        <v>261</v>
      </c>
      <c r="F1256" s="12">
        <v>5</v>
      </c>
      <c r="G1256" s="12">
        <v>4880</v>
      </c>
      <c r="H1256" s="12">
        <v>27.4</v>
      </c>
      <c r="I1256" s="12">
        <v>17714.400000000001</v>
      </c>
      <c r="J1256" s="10" t="s">
        <v>51</v>
      </c>
      <c r="K1256" s="10" t="s">
        <v>63</v>
      </c>
      <c r="L1256" t="str">
        <f>IFERROR(VLOOKUP(D1256,Products!A:F,3,0),"")</f>
        <v>Beauty</v>
      </c>
      <c r="M1256" t="str">
        <f>IFERROR(VLOOKUP(E1256,Sales_Reps!A:E,3,0),"")</f>
        <v>North</v>
      </c>
      <c r="N1256" t="str">
        <f>IFERROR(VLOOKUP(C1256,Customers!A:F,5,0),"")</f>
        <v>Retail</v>
      </c>
      <c r="O1256">
        <f>IFERROR(VLOOKUP(C1256,Customers!A:F,3,0),"")</f>
        <v>47</v>
      </c>
      <c r="P1256">
        <f>IFERROR(VLOOKUP(D1256,Products!A:F,4,0),"")</f>
        <v>2768</v>
      </c>
      <c r="Q1256" t="b">
        <f>IFERROR(VLOOKUP(D1256,Products!A:F,6,0),"")</f>
        <v>1</v>
      </c>
      <c r="R1256">
        <f t="shared" si="57"/>
        <v>0.43278688524590164</v>
      </c>
      <c r="S1256">
        <f t="shared" si="58"/>
        <v>1</v>
      </c>
      <c r="T1256">
        <f>IF(AND(S1256&gt;1,COUNTIF($A$2:A1256,A1256)=1),1,0)</f>
        <v>0</v>
      </c>
      <c r="U1256">
        <f>COUNTIF(Customers!$A$2:$A$301,C1256)</f>
        <v>1</v>
      </c>
      <c r="V1256">
        <f t="shared" si="59"/>
        <v>0</v>
      </c>
    </row>
    <row r="1257" spans="1:22" ht="14.25" customHeight="1" x14ac:dyDescent="0.35">
      <c r="A1257" s="10" t="s">
        <v>1706</v>
      </c>
      <c r="B1257" s="11">
        <v>45548</v>
      </c>
      <c r="C1257" s="10" t="s">
        <v>1036</v>
      </c>
      <c r="D1257" s="10" t="s">
        <v>324</v>
      </c>
      <c r="E1257" s="10" t="s">
        <v>193</v>
      </c>
      <c r="F1257" s="12">
        <v>1</v>
      </c>
      <c r="G1257" s="12">
        <v>5410</v>
      </c>
      <c r="H1257" s="12">
        <v>8.3000000000000007</v>
      </c>
      <c r="I1257" s="12">
        <v>4960.97</v>
      </c>
      <c r="J1257" s="10" t="s">
        <v>51</v>
      </c>
      <c r="K1257" s="10" t="s">
        <v>76</v>
      </c>
      <c r="L1257" t="str">
        <f>IFERROR(VLOOKUP(D1257,Products!A:F,3,0),"")</f>
        <v>Sports</v>
      </c>
      <c r="M1257" t="str">
        <f>IFERROR(VLOOKUP(E1257,Sales_Reps!A:E,3,0),"")</f>
        <v>West</v>
      </c>
      <c r="N1257" t="str">
        <f>IFERROR(VLOOKUP(C1257,Customers!A:F,5,0),"")</f>
        <v>SMB</v>
      </c>
      <c r="O1257">
        <f>IFERROR(VLOOKUP(C1257,Customers!A:F,3,0),"")</f>
        <v>53</v>
      </c>
      <c r="P1257">
        <f>IFERROR(VLOOKUP(D1257,Products!A:F,4,0),"")</f>
        <v>2265</v>
      </c>
      <c r="Q1257" t="b">
        <f>IFERROR(VLOOKUP(D1257,Products!A:F,6,0),"")</f>
        <v>1</v>
      </c>
      <c r="R1257">
        <f t="shared" si="57"/>
        <v>0.58133086876155271</v>
      </c>
      <c r="S1257">
        <f t="shared" si="58"/>
        <v>1</v>
      </c>
      <c r="T1257">
        <f>IF(AND(S1257&gt;1,COUNTIF($A$2:A1257,A1257)=1),1,0)</f>
        <v>0</v>
      </c>
      <c r="U1257">
        <f>COUNTIF(Customers!$A$2:$A$301,C1257)</f>
        <v>1</v>
      </c>
      <c r="V1257">
        <f t="shared" si="59"/>
        <v>0</v>
      </c>
    </row>
    <row r="1258" spans="1:22" ht="14.25" customHeight="1" x14ac:dyDescent="0.35">
      <c r="A1258" s="10" t="s">
        <v>1707</v>
      </c>
      <c r="B1258" s="11">
        <v>45482</v>
      </c>
      <c r="C1258" s="10" t="s">
        <v>236</v>
      </c>
      <c r="D1258" s="10" t="s">
        <v>212</v>
      </c>
      <c r="E1258" s="10" t="s">
        <v>249</v>
      </c>
      <c r="F1258" s="12">
        <v>8</v>
      </c>
      <c r="G1258" s="12">
        <v>3870</v>
      </c>
      <c r="H1258" s="12">
        <v>9.3000000000000007</v>
      </c>
      <c r="I1258" s="12">
        <v>28080.720000000001</v>
      </c>
      <c r="J1258" s="10" t="s">
        <v>57</v>
      </c>
      <c r="K1258" s="10" t="s">
        <v>58</v>
      </c>
      <c r="L1258" t="str">
        <f>IFERROR(VLOOKUP(D1258,Products!A:F,3,0),"")</f>
        <v>Electronics</v>
      </c>
      <c r="M1258" t="str">
        <f>IFERROR(VLOOKUP(E1258,Sales_Reps!A:E,3,0),"")</f>
        <v>East</v>
      </c>
      <c r="N1258" t="str">
        <f>IFERROR(VLOOKUP(C1258,Customers!A:F,5,0),"")</f>
        <v>SMB</v>
      </c>
      <c r="O1258">
        <f>IFERROR(VLOOKUP(C1258,Customers!A:F,3,0),"")</f>
        <v>55</v>
      </c>
      <c r="P1258">
        <f>IFERROR(VLOOKUP(D1258,Products!A:F,4,0),"")</f>
        <v>1559</v>
      </c>
      <c r="Q1258" t="b">
        <f>IFERROR(VLOOKUP(D1258,Products!A:F,6,0),"")</f>
        <v>1</v>
      </c>
      <c r="R1258">
        <f t="shared" si="57"/>
        <v>0.59715762273901807</v>
      </c>
      <c r="S1258">
        <f t="shared" si="58"/>
        <v>1</v>
      </c>
      <c r="T1258">
        <f>IF(AND(S1258&gt;1,COUNTIF($A$2:A1258,A1258)=1),1,0)</f>
        <v>0</v>
      </c>
      <c r="U1258">
        <f>COUNTIF(Customers!$A$2:$A$301,C1258)</f>
        <v>1</v>
      </c>
      <c r="V1258">
        <f t="shared" si="59"/>
        <v>0</v>
      </c>
    </row>
    <row r="1259" spans="1:22" ht="14.25" customHeight="1" x14ac:dyDescent="0.35">
      <c r="A1259" s="10" t="s">
        <v>1708</v>
      </c>
      <c r="B1259" s="11">
        <v>45457</v>
      </c>
      <c r="C1259" s="10" t="s">
        <v>689</v>
      </c>
      <c r="D1259" s="10" t="s">
        <v>99</v>
      </c>
      <c r="E1259" s="10" t="s">
        <v>202</v>
      </c>
      <c r="F1259" s="12">
        <v>10</v>
      </c>
      <c r="G1259" s="12">
        <v>2640</v>
      </c>
      <c r="H1259" s="12">
        <v>19.899999999999999</v>
      </c>
      <c r="I1259" s="12">
        <v>21146.400000000001</v>
      </c>
      <c r="J1259" s="10" t="s">
        <v>51</v>
      </c>
      <c r="K1259" s="10" t="s">
        <v>63</v>
      </c>
      <c r="L1259" t="str">
        <f>IFERROR(VLOOKUP(D1259,Products!A:F,3,0),"")</f>
        <v>Electronics</v>
      </c>
      <c r="M1259" t="str">
        <f>IFERROR(VLOOKUP(E1259,Sales_Reps!A:E,3,0),"")</f>
        <v>East</v>
      </c>
      <c r="N1259" t="str">
        <f>IFERROR(VLOOKUP(C1259,Customers!A:F,5,0),"")</f>
        <v>SMB</v>
      </c>
      <c r="O1259">
        <f>IFERROR(VLOOKUP(C1259,Customers!A:F,3,0),"")</f>
        <v>26</v>
      </c>
      <c r="P1259">
        <f>IFERROR(VLOOKUP(D1259,Products!A:F,4,0),"")</f>
        <v>1149</v>
      </c>
      <c r="Q1259" t="b">
        <f>IFERROR(VLOOKUP(D1259,Products!A:F,6,0),"")</f>
        <v>1</v>
      </c>
      <c r="R1259">
        <f t="shared" si="57"/>
        <v>0.56477272727272732</v>
      </c>
      <c r="S1259">
        <f t="shared" si="58"/>
        <v>1</v>
      </c>
      <c r="T1259">
        <f>IF(AND(S1259&gt;1,COUNTIF($A$2:A1259,A1259)=1),1,0)</f>
        <v>0</v>
      </c>
      <c r="U1259">
        <f>COUNTIF(Customers!$A$2:$A$301,C1259)</f>
        <v>1</v>
      </c>
      <c r="V1259">
        <f t="shared" si="59"/>
        <v>0</v>
      </c>
    </row>
    <row r="1260" spans="1:22" ht="14.25" customHeight="1" x14ac:dyDescent="0.35">
      <c r="A1260" s="10" t="s">
        <v>1709</v>
      </c>
      <c r="B1260" s="11">
        <v>45508</v>
      </c>
      <c r="C1260" s="10" t="s">
        <v>585</v>
      </c>
      <c r="D1260" s="10" t="s">
        <v>407</v>
      </c>
      <c r="E1260" s="10" t="s">
        <v>50</v>
      </c>
      <c r="F1260" s="12">
        <v>1</v>
      </c>
      <c r="G1260" s="12">
        <v>5080</v>
      </c>
      <c r="H1260" s="12">
        <v>8.6</v>
      </c>
      <c r="I1260" s="12">
        <v>4643.12</v>
      </c>
      <c r="J1260" s="10" t="s">
        <v>51</v>
      </c>
      <c r="K1260" s="10" t="s">
        <v>58</v>
      </c>
      <c r="L1260" t="str">
        <f>IFERROR(VLOOKUP(D1260,Products!A:F,3,0),"")</f>
        <v>Home</v>
      </c>
      <c r="M1260" t="str">
        <f>IFERROR(VLOOKUP(E1260,Sales_Reps!A:E,3,0),"")</f>
        <v>North</v>
      </c>
      <c r="N1260" t="str">
        <f>IFERROR(VLOOKUP(C1260,Customers!A:F,5,0),"")</f>
        <v>Corporate</v>
      </c>
      <c r="O1260">
        <f>IFERROR(VLOOKUP(C1260,Customers!A:F,3,0),"")</f>
        <v>22</v>
      </c>
      <c r="P1260">
        <f>IFERROR(VLOOKUP(D1260,Products!A:F,4,0),"")</f>
        <v>2459</v>
      </c>
      <c r="Q1260" t="b">
        <f>IFERROR(VLOOKUP(D1260,Products!A:F,6,0),"")</f>
        <v>1</v>
      </c>
      <c r="R1260">
        <f t="shared" si="57"/>
        <v>0.51594488188976373</v>
      </c>
      <c r="S1260">
        <f t="shared" si="58"/>
        <v>1</v>
      </c>
      <c r="T1260">
        <f>IF(AND(S1260&gt;1,COUNTIF($A$2:A1260,A1260)=1),1,0)</f>
        <v>0</v>
      </c>
      <c r="U1260">
        <f>COUNTIF(Customers!$A$2:$A$301,C1260)</f>
        <v>1</v>
      </c>
      <c r="V1260">
        <f t="shared" si="59"/>
        <v>0</v>
      </c>
    </row>
    <row r="1261" spans="1:22" ht="14.25" customHeight="1" x14ac:dyDescent="0.35">
      <c r="A1261" s="10" t="s">
        <v>1710</v>
      </c>
      <c r="B1261" s="11">
        <v>45399</v>
      </c>
      <c r="C1261" s="10" t="s">
        <v>664</v>
      </c>
      <c r="D1261" s="10" t="s">
        <v>107</v>
      </c>
      <c r="E1261" s="10" t="s">
        <v>267</v>
      </c>
      <c r="F1261" s="12">
        <v>9</v>
      </c>
      <c r="G1261" s="12">
        <v>3250</v>
      </c>
      <c r="H1261" s="12">
        <v>18.2</v>
      </c>
      <c r="I1261" s="12">
        <v>23926.5</v>
      </c>
      <c r="J1261" s="10" t="s">
        <v>57</v>
      </c>
      <c r="K1261" s="10" t="s">
        <v>58</v>
      </c>
      <c r="L1261" t="str">
        <f>IFERROR(VLOOKUP(D1261,Products!A:F,3,0),"")</f>
        <v>Home</v>
      </c>
      <c r="M1261" t="str">
        <f>IFERROR(VLOOKUP(E1261,Sales_Reps!A:E,3,0),"")</f>
        <v>East</v>
      </c>
      <c r="N1261" t="str">
        <f>IFERROR(VLOOKUP(C1261,Customers!A:F,5,0),"")</f>
        <v>SMB</v>
      </c>
      <c r="O1261">
        <f>IFERROR(VLOOKUP(C1261,Customers!A:F,3,0),"")</f>
        <v>46</v>
      </c>
      <c r="P1261">
        <f>IFERROR(VLOOKUP(D1261,Products!A:F,4,0),"")</f>
        <v>1556</v>
      </c>
      <c r="Q1261" t="b">
        <f>IFERROR(VLOOKUP(D1261,Products!A:F,6,0),"")</f>
        <v>1</v>
      </c>
      <c r="R1261">
        <f t="shared" si="57"/>
        <v>0.52123076923076928</v>
      </c>
      <c r="S1261">
        <f t="shared" si="58"/>
        <v>1</v>
      </c>
      <c r="T1261">
        <f>IF(AND(S1261&gt;1,COUNTIF($A$2:A1261,A1261)=1),1,0)</f>
        <v>0</v>
      </c>
      <c r="U1261">
        <f>COUNTIF(Customers!$A$2:$A$301,C1261)</f>
        <v>1</v>
      </c>
      <c r="V1261">
        <f t="shared" si="59"/>
        <v>0</v>
      </c>
    </row>
    <row r="1262" spans="1:22" ht="14.25" customHeight="1" x14ac:dyDescent="0.35">
      <c r="A1262" s="10" t="s">
        <v>1711</v>
      </c>
      <c r="B1262" s="11">
        <v>45607</v>
      </c>
      <c r="C1262" s="10" t="s">
        <v>127</v>
      </c>
      <c r="D1262" s="10" t="s">
        <v>372</v>
      </c>
      <c r="E1262" s="10" t="s">
        <v>261</v>
      </c>
      <c r="F1262" s="12">
        <v>8</v>
      </c>
      <c r="G1262" s="12">
        <v>3970</v>
      </c>
      <c r="H1262" s="12">
        <v>22.4</v>
      </c>
      <c r="I1262" s="12">
        <v>24645.759999999998</v>
      </c>
      <c r="J1262" s="10" t="s">
        <v>51</v>
      </c>
      <c r="K1262" s="10" t="s">
        <v>58</v>
      </c>
      <c r="L1262" t="str">
        <f>IFERROR(VLOOKUP(D1262,Products!A:F,3,0),"")</f>
        <v>Electronics</v>
      </c>
      <c r="M1262" t="str">
        <f>IFERROR(VLOOKUP(E1262,Sales_Reps!A:E,3,0),"")</f>
        <v>North</v>
      </c>
      <c r="N1262" t="str">
        <f>IFERROR(VLOOKUP(C1262,Customers!A:F,5,0),"")</f>
        <v>Retail</v>
      </c>
      <c r="O1262">
        <f>IFERROR(VLOOKUP(C1262,Customers!A:F,3,0),"")</f>
        <v>49</v>
      </c>
      <c r="P1262">
        <f>IFERROR(VLOOKUP(D1262,Products!A:F,4,0),"")</f>
        <v>2865</v>
      </c>
      <c r="Q1262" t="b">
        <f>IFERROR(VLOOKUP(D1262,Products!A:F,6,0),"")</f>
        <v>1</v>
      </c>
      <c r="R1262">
        <f t="shared" si="57"/>
        <v>0.27833753148614609</v>
      </c>
      <c r="S1262">
        <f t="shared" si="58"/>
        <v>1</v>
      </c>
      <c r="T1262">
        <f>IF(AND(S1262&gt;1,COUNTIF($A$2:A1262,A1262)=1),1,0)</f>
        <v>0</v>
      </c>
      <c r="U1262">
        <f>COUNTIF(Customers!$A$2:$A$301,C1262)</f>
        <v>1</v>
      </c>
      <c r="V1262">
        <f t="shared" si="59"/>
        <v>0</v>
      </c>
    </row>
    <row r="1263" spans="1:22" ht="14.25" customHeight="1" x14ac:dyDescent="0.35">
      <c r="A1263" s="10" t="s">
        <v>1712</v>
      </c>
      <c r="B1263" s="11">
        <v>45407</v>
      </c>
      <c r="C1263" s="10" t="s">
        <v>421</v>
      </c>
      <c r="D1263" s="10" t="s">
        <v>167</v>
      </c>
      <c r="E1263" s="10" t="s">
        <v>202</v>
      </c>
      <c r="F1263" s="12">
        <v>3</v>
      </c>
      <c r="G1263" s="12">
        <v>660</v>
      </c>
      <c r="H1263" s="12">
        <v>3.1</v>
      </c>
      <c r="I1263" s="12">
        <v>1918.62</v>
      </c>
      <c r="J1263" s="10" t="s">
        <v>51</v>
      </c>
      <c r="K1263" s="10" t="s">
        <v>52</v>
      </c>
      <c r="L1263" t="str">
        <f>IFERROR(VLOOKUP(D1263,Products!A:F,3,0),"")</f>
        <v>Home</v>
      </c>
      <c r="M1263" t="str">
        <f>IFERROR(VLOOKUP(E1263,Sales_Reps!A:E,3,0),"")</f>
        <v>East</v>
      </c>
      <c r="N1263" t="str">
        <f>IFERROR(VLOOKUP(C1263,Customers!A:F,5,0),"")</f>
        <v>Retail</v>
      </c>
      <c r="O1263">
        <f>IFERROR(VLOOKUP(C1263,Customers!A:F,3,0),"")</f>
        <v>29</v>
      </c>
      <c r="P1263">
        <f>IFERROR(VLOOKUP(D1263,Products!A:F,4,0),"")</f>
        <v>329</v>
      </c>
      <c r="Q1263" t="b">
        <f>IFERROR(VLOOKUP(D1263,Products!A:F,6,0),"")</f>
        <v>1</v>
      </c>
      <c r="R1263">
        <f t="shared" si="57"/>
        <v>0.50151515151515147</v>
      </c>
      <c r="S1263">
        <f t="shared" si="58"/>
        <v>1</v>
      </c>
      <c r="T1263">
        <f>IF(AND(S1263&gt;1,COUNTIF($A$2:A1263,A1263)=1),1,0)</f>
        <v>0</v>
      </c>
      <c r="U1263">
        <f>COUNTIF(Customers!$A$2:$A$301,C1263)</f>
        <v>1</v>
      </c>
      <c r="V1263">
        <f t="shared" si="59"/>
        <v>0</v>
      </c>
    </row>
    <row r="1264" spans="1:22" ht="14.25" customHeight="1" x14ac:dyDescent="0.35">
      <c r="A1264" s="10" t="s">
        <v>1713</v>
      </c>
      <c r="B1264" s="11">
        <v>45357</v>
      </c>
      <c r="C1264" s="10" t="s">
        <v>1195</v>
      </c>
      <c r="D1264" s="10" t="s">
        <v>102</v>
      </c>
      <c r="E1264" s="10" t="s">
        <v>249</v>
      </c>
      <c r="F1264" s="12">
        <v>7</v>
      </c>
      <c r="G1264" s="12">
        <v>2600</v>
      </c>
      <c r="H1264" s="12">
        <v>15.4</v>
      </c>
      <c r="I1264" s="12">
        <v>15397.2</v>
      </c>
      <c r="J1264" s="10" t="s">
        <v>51</v>
      </c>
      <c r="K1264" s="10" t="s">
        <v>52</v>
      </c>
      <c r="L1264" t="str">
        <f>IFERROR(VLOOKUP(D1264,Products!A:F,3,0),"")</f>
        <v>Electronics</v>
      </c>
      <c r="M1264" t="str">
        <f>IFERROR(VLOOKUP(E1264,Sales_Reps!A:E,3,0),"")</f>
        <v>East</v>
      </c>
      <c r="N1264" t="str">
        <f>IFERROR(VLOOKUP(C1264,Customers!A:F,5,0),"")</f>
        <v>Retail</v>
      </c>
      <c r="O1264">
        <f>IFERROR(VLOOKUP(C1264,Customers!A:F,3,0),"")</f>
        <v>42</v>
      </c>
      <c r="P1264">
        <f>IFERROR(VLOOKUP(D1264,Products!A:F,4,0),"")</f>
        <v>1052</v>
      </c>
      <c r="Q1264" t="b">
        <f>IFERROR(VLOOKUP(D1264,Products!A:F,6,0),"")</f>
        <v>1</v>
      </c>
      <c r="R1264">
        <f t="shared" si="57"/>
        <v>0.5953846153846154</v>
      </c>
      <c r="S1264">
        <f t="shared" si="58"/>
        <v>1</v>
      </c>
      <c r="T1264">
        <f>IF(AND(S1264&gt;1,COUNTIF($A$2:A1264,A1264)=1),1,0)</f>
        <v>0</v>
      </c>
      <c r="U1264">
        <f>COUNTIF(Customers!$A$2:$A$301,C1264)</f>
        <v>1</v>
      </c>
      <c r="V1264">
        <f t="shared" si="59"/>
        <v>0</v>
      </c>
    </row>
    <row r="1265" spans="1:22" ht="14.25" customHeight="1" x14ac:dyDescent="0.35">
      <c r="A1265" s="10" t="s">
        <v>1714</v>
      </c>
      <c r="B1265" s="11">
        <v>45565</v>
      </c>
      <c r="C1265" s="10" t="s">
        <v>572</v>
      </c>
      <c r="D1265" s="10" t="s">
        <v>167</v>
      </c>
      <c r="E1265" s="10" t="s">
        <v>152</v>
      </c>
      <c r="F1265" s="12">
        <v>9</v>
      </c>
      <c r="G1265" s="12">
        <v>660</v>
      </c>
      <c r="H1265" s="12">
        <v>23.7</v>
      </c>
      <c r="I1265" s="12">
        <v>4532.22</v>
      </c>
      <c r="J1265" s="10" t="s">
        <v>51</v>
      </c>
      <c r="K1265" s="10" t="s">
        <v>52</v>
      </c>
      <c r="L1265" t="str">
        <f>IFERROR(VLOOKUP(D1265,Products!A:F,3,0),"")</f>
        <v>Home</v>
      </c>
      <c r="M1265" t="str">
        <f>IFERROR(VLOOKUP(E1265,Sales_Reps!A:E,3,0),"")</f>
        <v>South</v>
      </c>
      <c r="N1265" t="str">
        <f>IFERROR(VLOOKUP(C1265,Customers!A:F,5,0),"")</f>
        <v>Corporate</v>
      </c>
      <c r="O1265">
        <f>IFERROR(VLOOKUP(C1265,Customers!A:F,3,0),"")</f>
        <v>40</v>
      </c>
      <c r="P1265">
        <f>IFERROR(VLOOKUP(D1265,Products!A:F,4,0),"")</f>
        <v>329</v>
      </c>
      <c r="Q1265" t="b">
        <f>IFERROR(VLOOKUP(D1265,Products!A:F,6,0),"")</f>
        <v>1</v>
      </c>
      <c r="R1265">
        <f t="shared" si="57"/>
        <v>0.50151515151515147</v>
      </c>
      <c r="S1265">
        <f t="shared" si="58"/>
        <v>1</v>
      </c>
      <c r="T1265">
        <f>IF(AND(S1265&gt;1,COUNTIF($A$2:A1265,A1265)=1),1,0)</f>
        <v>0</v>
      </c>
      <c r="U1265">
        <f>COUNTIF(Customers!$A$2:$A$301,C1265)</f>
        <v>1</v>
      </c>
      <c r="V1265">
        <f t="shared" si="59"/>
        <v>0</v>
      </c>
    </row>
    <row r="1266" spans="1:22" ht="14.25" customHeight="1" x14ac:dyDescent="0.35">
      <c r="A1266" s="10" t="s">
        <v>1715</v>
      </c>
      <c r="B1266" s="11">
        <v>45395</v>
      </c>
      <c r="C1266" s="10" t="s">
        <v>222</v>
      </c>
      <c r="D1266" s="10" t="s">
        <v>331</v>
      </c>
      <c r="E1266" s="10" t="s">
        <v>122</v>
      </c>
      <c r="F1266" s="12">
        <v>3</v>
      </c>
      <c r="G1266" s="12">
        <v>2380</v>
      </c>
      <c r="H1266" s="12">
        <v>19.5</v>
      </c>
      <c r="I1266" s="12">
        <v>5747.7</v>
      </c>
      <c r="J1266" s="10" t="s">
        <v>104</v>
      </c>
      <c r="K1266" s="10" t="s">
        <v>63</v>
      </c>
      <c r="L1266" t="str">
        <f>IFERROR(VLOOKUP(D1266,Products!A:F,3,0),"")</f>
        <v>Grocery</v>
      </c>
      <c r="M1266" t="str">
        <f>IFERROR(VLOOKUP(E1266,Sales_Reps!A:E,3,0),"")</f>
        <v>East</v>
      </c>
      <c r="N1266" t="str">
        <f>IFERROR(VLOOKUP(C1266,Customers!A:F,5,0),"")</f>
        <v>SMB</v>
      </c>
      <c r="O1266">
        <f>IFERROR(VLOOKUP(C1266,Customers!A:F,3,0),"")</f>
        <v>55</v>
      </c>
      <c r="P1266">
        <f>IFERROR(VLOOKUP(D1266,Products!A:F,4,0),"")</f>
        <v>1182</v>
      </c>
      <c r="Q1266" t="b">
        <f>IFERROR(VLOOKUP(D1266,Products!A:F,6,0),"")</f>
        <v>1</v>
      </c>
      <c r="R1266">
        <f t="shared" si="57"/>
        <v>0.50336134453781511</v>
      </c>
      <c r="S1266">
        <f t="shared" si="58"/>
        <v>1</v>
      </c>
      <c r="T1266">
        <f>IF(AND(S1266&gt;1,COUNTIF($A$2:A1266,A1266)=1),1,0)</f>
        <v>0</v>
      </c>
      <c r="U1266">
        <f>COUNTIF(Customers!$A$2:$A$301,C1266)</f>
        <v>1</v>
      </c>
      <c r="V1266">
        <f t="shared" si="59"/>
        <v>0</v>
      </c>
    </row>
    <row r="1267" spans="1:22" ht="14.25" customHeight="1" x14ac:dyDescent="0.35">
      <c r="A1267" s="10" t="s">
        <v>1716</v>
      </c>
      <c r="B1267" s="11">
        <v>45624</v>
      </c>
      <c r="C1267" s="10" t="s">
        <v>292</v>
      </c>
      <c r="D1267" s="10" t="s">
        <v>140</v>
      </c>
      <c r="E1267" s="10" t="s">
        <v>96</v>
      </c>
      <c r="F1267" s="12">
        <v>9</v>
      </c>
      <c r="G1267" s="12">
        <v>1650</v>
      </c>
      <c r="H1267" s="12">
        <v>2.5</v>
      </c>
      <c r="I1267" s="12">
        <v>14478.75</v>
      </c>
      <c r="J1267" s="10" t="s">
        <v>51</v>
      </c>
      <c r="K1267" s="10" t="s">
        <v>58</v>
      </c>
      <c r="L1267" t="str">
        <f>IFERROR(VLOOKUP(D1267,Products!A:F,3,0),"")</f>
        <v>Beauty</v>
      </c>
      <c r="M1267" t="str">
        <f>IFERROR(VLOOKUP(E1267,Sales_Reps!A:E,3,0),"")</f>
        <v>South</v>
      </c>
      <c r="N1267" t="str">
        <f>IFERROR(VLOOKUP(C1267,Customers!A:F,5,0),"")</f>
        <v>Retail</v>
      </c>
      <c r="O1267">
        <f>IFERROR(VLOOKUP(C1267,Customers!A:F,3,0),"")</f>
        <v>28</v>
      </c>
      <c r="P1267">
        <f>IFERROR(VLOOKUP(D1267,Products!A:F,4,0),"")</f>
        <v>1222</v>
      </c>
      <c r="Q1267" t="b">
        <f>IFERROR(VLOOKUP(D1267,Products!A:F,6,0),"")</f>
        <v>1</v>
      </c>
      <c r="R1267">
        <f t="shared" si="57"/>
        <v>0.2593939393939394</v>
      </c>
      <c r="S1267">
        <f t="shared" si="58"/>
        <v>1</v>
      </c>
      <c r="T1267">
        <f>IF(AND(S1267&gt;1,COUNTIF($A$2:A1267,A1267)=1),1,0)</f>
        <v>0</v>
      </c>
      <c r="U1267">
        <f>COUNTIF(Customers!$A$2:$A$301,C1267)</f>
        <v>1</v>
      </c>
      <c r="V1267">
        <f t="shared" si="59"/>
        <v>0</v>
      </c>
    </row>
    <row r="1268" spans="1:22" ht="14.25" customHeight="1" x14ac:dyDescent="0.35">
      <c r="A1268" s="10" t="s">
        <v>1717</v>
      </c>
      <c r="B1268" s="11">
        <v>45650</v>
      </c>
      <c r="C1268" s="10" t="s">
        <v>1718</v>
      </c>
      <c r="D1268" s="10" t="s">
        <v>99</v>
      </c>
      <c r="E1268" s="10" t="s">
        <v>67</v>
      </c>
      <c r="F1268" s="12">
        <v>8</v>
      </c>
      <c r="G1268" s="12">
        <v>2640</v>
      </c>
      <c r="H1268" s="12">
        <v>24.4</v>
      </c>
      <c r="I1268" s="12">
        <v>15966.72</v>
      </c>
      <c r="J1268" s="10" t="s">
        <v>51</v>
      </c>
      <c r="K1268" s="10" t="s">
        <v>76</v>
      </c>
      <c r="L1268" t="str">
        <f>IFERROR(VLOOKUP(D1268,Products!A:F,3,0),"")</f>
        <v>Electronics</v>
      </c>
      <c r="M1268" t="str">
        <f>IFERROR(VLOOKUP(E1268,Sales_Reps!A:E,3,0),"")</f>
        <v>North</v>
      </c>
      <c r="N1268" t="str">
        <f>IFERROR(VLOOKUP(C1268,Customers!A:F,5,0),"")</f>
        <v/>
      </c>
      <c r="O1268" t="str">
        <f>IFERROR(VLOOKUP(C1268,Customers!A:F,3,0),"")</f>
        <v/>
      </c>
      <c r="P1268">
        <f>IFERROR(VLOOKUP(D1268,Products!A:F,4,0),"")</f>
        <v>1149</v>
      </c>
      <c r="Q1268" t="b">
        <f>IFERROR(VLOOKUP(D1268,Products!A:F,6,0),"")</f>
        <v>1</v>
      </c>
      <c r="R1268">
        <f t="shared" si="57"/>
        <v>0.56477272727272732</v>
      </c>
      <c r="S1268">
        <f t="shared" si="58"/>
        <v>1</v>
      </c>
      <c r="T1268">
        <f>IF(AND(S1268&gt;1,COUNTIF($A$2:A1268,A1268)=1),1,0)</f>
        <v>0</v>
      </c>
      <c r="U1268">
        <f>COUNTIF(Customers!$A$2:$A$301,C1268)</f>
        <v>0</v>
      </c>
      <c r="V1268">
        <f t="shared" si="59"/>
        <v>0</v>
      </c>
    </row>
    <row r="1269" spans="1:22" ht="14.25" customHeight="1" x14ac:dyDescent="0.35">
      <c r="A1269" s="10" t="s">
        <v>1719</v>
      </c>
      <c r="B1269" s="11">
        <v>45370</v>
      </c>
      <c r="C1269" s="10" t="s">
        <v>561</v>
      </c>
      <c r="D1269" s="10" t="s">
        <v>331</v>
      </c>
      <c r="E1269" s="10" t="s">
        <v>216</v>
      </c>
      <c r="F1269" s="12">
        <v>8</v>
      </c>
      <c r="G1269" s="12">
        <v>2380</v>
      </c>
      <c r="H1269" s="12">
        <v>24.2</v>
      </c>
      <c r="I1269" s="12">
        <v>14432.32</v>
      </c>
      <c r="J1269" s="10" t="s">
        <v>51</v>
      </c>
      <c r="K1269" s="10" t="s">
        <v>76</v>
      </c>
      <c r="L1269" t="str">
        <f>IFERROR(VLOOKUP(D1269,Products!A:F,3,0),"")</f>
        <v>Grocery</v>
      </c>
      <c r="M1269" t="str">
        <f>IFERROR(VLOOKUP(E1269,Sales_Reps!A:E,3,0),"")</f>
        <v>South</v>
      </c>
      <c r="N1269" t="str">
        <f>IFERROR(VLOOKUP(C1269,Customers!A:F,5,0),"")</f>
        <v>Retail</v>
      </c>
      <c r="O1269">
        <f>IFERROR(VLOOKUP(C1269,Customers!A:F,3,0),"")</f>
        <v>39</v>
      </c>
      <c r="P1269">
        <f>IFERROR(VLOOKUP(D1269,Products!A:F,4,0),"")</f>
        <v>1182</v>
      </c>
      <c r="Q1269" t="b">
        <f>IFERROR(VLOOKUP(D1269,Products!A:F,6,0),"")</f>
        <v>1</v>
      </c>
      <c r="R1269">
        <f t="shared" si="57"/>
        <v>0.50336134453781511</v>
      </c>
      <c r="S1269">
        <f t="shared" si="58"/>
        <v>1</v>
      </c>
      <c r="T1269">
        <f>IF(AND(S1269&gt;1,COUNTIF($A$2:A1269,A1269)=1),1,0)</f>
        <v>0</v>
      </c>
      <c r="U1269">
        <f>COUNTIF(Customers!$A$2:$A$301,C1269)</f>
        <v>1</v>
      </c>
      <c r="V1269">
        <f t="shared" si="59"/>
        <v>0</v>
      </c>
    </row>
    <row r="1270" spans="1:22" ht="14.25" customHeight="1" x14ac:dyDescent="0.35">
      <c r="A1270" s="10" t="s">
        <v>1720</v>
      </c>
      <c r="B1270" s="11">
        <v>45373</v>
      </c>
      <c r="C1270" s="10" t="s">
        <v>222</v>
      </c>
      <c r="D1270" s="10" t="s">
        <v>302</v>
      </c>
      <c r="E1270" s="10" t="s">
        <v>50</v>
      </c>
      <c r="F1270" s="12">
        <v>10</v>
      </c>
      <c r="G1270" s="12">
        <v>2210</v>
      </c>
      <c r="H1270" s="12">
        <v>3.6</v>
      </c>
      <c r="I1270" s="12">
        <v>21304.400000000001</v>
      </c>
      <c r="J1270" s="10" t="s">
        <v>51</v>
      </c>
      <c r="K1270" s="10" t="s">
        <v>63</v>
      </c>
      <c r="L1270" t="str">
        <f>IFERROR(VLOOKUP(D1270,Products!A:F,3,0),"")</f>
        <v>Grocery</v>
      </c>
      <c r="M1270" t="str">
        <f>IFERROR(VLOOKUP(E1270,Sales_Reps!A:E,3,0),"")</f>
        <v>North</v>
      </c>
      <c r="N1270" t="str">
        <f>IFERROR(VLOOKUP(C1270,Customers!A:F,5,0),"")</f>
        <v>SMB</v>
      </c>
      <c r="O1270">
        <f>IFERROR(VLOOKUP(C1270,Customers!A:F,3,0),"")</f>
        <v>55</v>
      </c>
      <c r="P1270">
        <f>IFERROR(VLOOKUP(D1270,Products!A:F,4,0),"")</f>
        <v>1010</v>
      </c>
      <c r="Q1270" t="b">
        <f>IFERROR(VLOOKUP(D1270,Products!A:F,6,0),"")</f>
        <v>1</v>
      </c>
      <c r="R1270">
        <f t="shared" si="57"/>
        <v>0.54298642533936647</v>
      </c>
      <c r="S1270">
        <f t="shared" si="58"/>
        <v>1</v>
      </c>
      <c r="T1270">
        <f>IF(AND(S1270&gt;1,COUNTIF($A$2:A1270,A1270)=1),1,0)</f>
        <v>0</v>
      </c>
      <c r="U1270">
        <f>COUNTIF(Customers!$A$2:$A$301,C1270)</f>
        <v>1</v>
      </c>
      <c r="V1270">
        <f t="shared" si="59"/>
        <v>0</v>
      </c>
    </row>
    <row r="1271" spans="1:22" ht="14.25" customHeight="1" x14ac:dyDescent="0.35">
      <c r="A1271" s="10" t="s">
        <v>1721</v>
      </c>
      <c r="B1271" s="11">
        <v>45391</v>
      </c>
      <c r="C1271" s="10" t="s">
        <v>799</v>
      </c>
      <c r="D1271" s="10" t="s">
        <v>205</v>
      </c>
      <c r="E1271" s="10" t="s">
        <v>267</v>
      </c>
      <c r="F1271" s="12">
        <v>9</v>
      </c>
      <c r="G1271" s="12">
        <v>6080</v>
      </c>
      <c r="H1271" s="12">
        <v>17.2</v>
      </c>
      <c r="I1271" s="12">
        <v>45308.160000000003</v>
      </c>
      <c r="J1271" s="10" t="s">
        <v>57</v>
      </c>
      <c r="K1271" s="10" t="s">
        <v>81</v>
      </c>
      <c r="L1271" t="str">
        <f>IFERROR(VLOOKUP(D1271,Products!A:F,3,0),"")</f>
        <v>Beauty</v>
      </c>
      <c r="M1271" t="str">
        <f>IFERROR(VLOOKUP(E1271,Sales_Reps!A:E,3,0),"")</f>
        <v>East</v>
      </c>
      <c r="N1271" t="str">
        <f>IFERROR(VLOOKUP(C1271,Customers!A:F,5,0),"")</f>
        <v>Retail</v>
      </c>
      <c r="O1271">
        <f>IFERROR(VLOOKUP(C1271,Customers!A:F,3,0),"")</f>
        <v>52</v>
      </c>
      <c r="P1271">
        <f>IFERROR(VLOOKUP(D1271,Products!A:F,4,0),"")</f>
        <v>2617</v>
      </c>
      <c r="Q1271" t="b">
        <f>IFERROR(VLOOKUP(D1271,Products!A:F,6,0),"")</f>
        <v>1</v>
      </c>
      <c r="R1271">
        <f t="shared" si="57"/>
        <v>0.56957236842105263</v>
      </c>
      <c r="S1271">
        <f t="shared" si="58"/>
        <v>1</v>
      </c>
      <c r="T1271">
        <f>IF(AND(S1271&gt;1,COUNTIF($A$2:A1271,A1271)=1),1,0)</f>
        <v>0</v>
      </c>
      <c r="U1271">
        <f>COUNTIF(Customers!$A$2:$A$301,C1271)</f>
        <v>1</v>
      </c>
      <c r="V1271">
        <f t="shared" si="59"/>
        <v>0</v>
      </c>
    </row>
    <row r="1272" spans="1:22" ht="14.25" customHeight="1" x14ac:dyDescent="0.35">
      <c r="A1272" s="10" t="s">
        <v>1722</v>
      </c>
      <c r="B1272" s="11">
        <v>45332</v>
      </c>
      <c r="C1272" s="10" t="s">
        <v>661</v>
      </c>
      <c r="D1272" s="10" t="s">
        <v>146</v>
      </c>
      <c r="E1272" s="10" t="s">
        <v>249</v>
      </c>
      <c r="F1272" s="12">
        <v>8</v>
      </c>
      <c r="G1272" s="12">
        <v>1010</v>
      </c>
      <c r="H1272" s="12">
        <v>12.3</v>
      </c>
      <c r="I1272" s="12">
        <v>7086.16</v>
      </c>
      <c r="J1272" s="10" t="s">
        <v>51</v>
      </c>
      <c r="K1272" s="10" t="s">
        <v>97</v>
      </c>
      <c r="L1272" t="str">
        <f>IFERROR(VLOOKUP(D1272,Products!A:F,3,0),"")</f>
        <v>Sports</v>
      </c>
      <c r="M1272" t="str">
        <f>IFERROR(VLOOKUP(E1272,Sales_Reps!A:E,3,0),"")</f>
        <v>East</v>
      </c>
      <c r="N1272" t="str">
        <f>IFERROR(VLOOKUP(C1272,Customers!A:F,5,0),"")</f>
        <v>Retail</v>
      </c>
      <c r="O1272">
        <f>IFERROR(VLOOKUP(C1272,Customers!A:F,3,0),"")</f>
        <v>65</v>
      </c>
      <c r="P1272">
        <f>IFERROR(VLOOKUP(D1272,Products!A:F,4,0),"")</f>
        <v>516</v>
      </c>
      <c r="Q1272" t="b">
        <f>IFERROR(VLOOKUP(D1272,Products!A:F,6,0),"")</f>
        <v>1</v>
      </c>
      <c r="R1272">
        <f t="shared" si="57"/>
        <v>0.4891089108910891</v>
      </c>
      <c r="S1272">
        <f t="shared" si="58"/>
        <v>1</v>
      </c>
      <c r="T1272">
        <f>IF(AND(S1272&gt;1,COUNTIF($A$2:A1272,A1272)=1),1,0)</f>
        <v>0</v>
      </c>
      <c r="U1272">
        <f>COUNTIF(Customers!$A$2:$A$301,C1272)</f>
        <v>1</v>
      </c>
      <c r="V1272">
        <f t="shared" si="59"/>
        <v>0</v>
      </c>
    </row>
    <row r="1273" spans="1:22" ht="14.25" customHeight="1" x14ac:dyDescent="0.35">
      <c r="A1273" s="10" t="s">
        <v>1723</v>
      </c>
      <c r="B1273" s="11">
        <v>45582</v>
      </c>
      <c r="C1273" s="10" t="s">
        <v>912</v>
      </c>
      <c r="D1273" s="10" t="s">
        <v>66</v>
      </c>
      <c r="E1273" s="10" t="s">
        <v>237</v>
      </c>
      <c r="F1273" s="12">
        <v>8</v>
      </c>
      <c r="G1273" s="12">
        <v>3660</v>
      </c>
      <c r="H1273" s="12">
        <v>8.4</v>
      </c>
      <c r="I1273" s="12">
        <v>26820.48</v>
      </c>
      <c r="J1273" s="10" t="s">
        <v>51</v>
      </c>
      <c r="K1273" s="10" t="s">
        <v>52</v>
      </c>
      <c r="L1273" t="str">
        <f>IFERROR(VLOOKUP(D1273,Products!A:F,3,0),"")</f>
        <v>Grocery</v>
      </c>
      <c r="M1273" t="str">
        <f>IFERROR(VLOOKUP(E1273,Sales_Reps!A:E,3,0),"")</f>
        <v>South</v>
      </c>
      <c r="N1273" t="str">
        <f>IFERROR(VLOOKUP(C1273,Customers!A:F,5,0),"")</f>
        <v>Retail</v>
      </c>
      <c r="O1273">
        <f>IFERROR(VLOOKUP(C1273,Customers!A:F,3,0),"")</f>
        <v>65</v>
      </c>
      <c r="P1273">
        <f>IFERROR(VLOOKUP(D1273,Products!A:F,4,0),"")</f>
        <v>2214</v>
      </c>
      <c r="Q1273" t="b">
        <f>IFERROR(VLOOKUP(D1273,Products!A:F,6,0),"")</f>
        <v>0</v>
      </c>
      <c r="R1273">
        <f t="shared" si="57"/>
        <v>0.39508196721311473</v>
      </c>
      <c r="S1273">
        <f t="shared" si="58"/>
        <v>1</v>
      </c>
      <c r="T1273">
        <f>IF(AND(S1273&gt;1,COUNTIF($A$2:A1273,A1273)=1),1,0)</f>
        <v>0</v>
      </c>
      <c r="U1273">
        <f>COUNTIF(Customers!$A$2:$A$301,C1273)</f>
        <v>1</v>
      </c>
      <c r="V1273">
        <f t="shared" si="59"/>
        <v>0</v>
      </c>
    </row>
    <row r="1274" spans="1:22" ht="14.25" customHeight="1" x14ac:dyDescent="0.35">
      <c r="A1274" s="10" t="s">
        <v>1724</v>
      </c>
      <c r="B1274" s="11">
        <v>45443</v>
      </c>
      <c r="C1274" s="10" t="s">
        <v>980</v>
      </c>
      <c r="D1274" s="10" t="s">
        <v>234</v>
      </c>
      <c r="E1274" s="10" t="s">
        <v>193</v>
      </c>
      <c r="F1274" s="12">
        <v>8</v>
      </c>
      <c r="G1274" s="12">
        <v>4610</v>
      </c>
      <c r="H1274" s="12">
        <v>15.4</v>
      </c>
      <c r="I1274" s="12">
        <v>31200.48</v>
      </c>
      <c r="J1274" s="10" t="s">
        <v>104</v>
      </c>
      <c r="K1274" s="10" t="s">
        <v>81</v>
      </c>
      <c r="L1274" t="str">
        <f>IFERROR(VLOOKUP(D1274,Products!A:F,3,0),"")</f>
        <v>Home</v>
      </c>
      <c r="M1274" t="str">
        <f>IFERROR(VLOOKUP(E1274,Sales_Reps!A:E,3,0),"")</f>
        <v>West</v>
      </c>
      <c r="N1274" t="str">
        <f>IFERROR(VLOOKUP(C1274,Customers!A:F,5,0),"")</f>
        <v>SMB</v>
      </c>
      <c r="O1274">
        <f>IFERROR(VLOOKUP(C1274,Customers!A:F,3,0),"")</f>
        <v>49</v>
      </c>
      <c r="P1274">
        <f>IFERROR(VLOOKUP(D1274,Products!A:F,4,0),"")</f>
        <v>1850</v>
      </c>
      <c r="Q1274" t="b">
        <f>IFERROR(VLOOKUP(D1274,Products!A:F,6,0),"")</f>
        <v>1</v>
      </c>
      <c r="R1274">
        <f t="shared" si="57"/>
        <v>0.59869848156182215</v>
      </c>
      <c r="S1274">
        <f t="shared" si="58"/>
        <v>1</v>
      </c>
      <c r="T1274">
        <f>IF(AND(S1274&gt;1,COUNTIF($A$2:A1274,A1274)=1),1,0)</f>
        <v>0</v>
      </c>
      <c r="U1274">
        <f>COUNTIF(Customers!$A$2:$A$301,C1274)</f>
        <v>1</v>
      </c>
      <c r="V1274">
        <f t="shared" si="59"/>
        <v>0</v>
      </c>
    </row>
    <row r="1275" spans="1:22" ht="14.25" customHeight="1" x14ac:dyDescent="0.35">
      <c r="A1275" s="10" t="s">
        <v>1725</v>
      </c>
      <c r="B1275" s="11">
        <v>45525</v>
      </c>
      <c r="C1275" s="10" t="s">
        <v>980</v>
      </c>
      <c r="D1275" s="10" t="s">
        <v>155</v>
      </c>
      <c r="E1275" s="10" t="s">
        <v>67</v>
      </c>
      <c r="F1275" s="12">
        <v>9</v>
      </c>
      <c r="G1275" s="12">
        <v>5100</v>
      </c>
      <c r="H1275" s="12">
        <v>25.2</v>
      </c>
      <c r="I1275" s="12">
        <v>34333.199999999997</v>
      </c>
      <c r="J1275" s="10" t="s">
        <v>104</v>
      </c>
      <c r="K1275" s="10" t="s">
        <v>81</v>
      </c>
      <c r="L1275" t="str">
        <f>IFERROR(VLOOKUP(D1275,Products!A:F,3,0),"")</f>
        <v>Beauty</v>
      </c>
      <c r="M1275" t="str">
        <f>IFERROR(VLOOKUP(E1275,Sales_Reps!A:E,3,0),"")</f>
        <v>North</v>
      </c>
      <c r="N1275" t="str">
        <f>IFERROR(VLOOKUP(C1275,Customers!A:F,5,0),"")</f>
        <v>SMB</v>
      </c>
      <c r="O1275">
        <f>IFERROR(VLOOKUP(C1275,Customers!A:F,3,0),"")</f>
        <v>49</v>
      </c>
      <c r="P1275">
        <f>IFERROR(VLOOKUP(D1275,Products!A:F,4,0),"")</f>
        <v>2237</v>
      </c>
      <c r="Q1275" t="b">
        <f>IFERROR(VLOOKUP(D1275,Products!A:F,6,0),"")</f>
        <v>1</v>
      </c>
      <c r="R1275">
        <f t="shared" si="57"/>
        <v>0.56137254901960787</v>
      </c>
      <c r="S1275">
        <f t="shared" si="58"/>
        <v>1</v>
      </c>
      <c r="T1275">
        <f>IF(AND(S1275&gt;1,COUNTIF($A$2:A1275,A1275)=1),1,0)</f>
        <v>0</v>
      </c>
      <c r="U1275">
        <f>COUNTIF(Customers!$A$2:$A$301,C1275)</f>
        <v>1</v>
      </c>
      <c r="V1275">
        <f t="shared" si="59"/>
        <v>0</v>
      </c>
    </row>
    <row r="1276" spans="1:22" ht="14.25" customHeight="1" x14ac:dyDescent="0.35">
      <c r="A1276" s="10" t="s">
        <v>1726</v>
      </c>
      <c r="B1276" s="11">
        <v>45377</v>
      </c>
      <c r="C1276" s="10" t="s">
        <v>367</v>
      </c>
      <c r="D1276" s="10" t="s">
        <v>240</v>
      </c>
      <c r="E1276" s="10" t="s">
        <v>85</v>
      </c>
      <c r="F1276" s="12">
        <v>5</v>
      </c>
      <c r="G1276" s="12">
        <v>3020</v>
      </c>
      <c r="H1276" s="12">
        <v>23</v>
      </c>
      <c r="I1276" s="12">
        <v>11627</v>
      </c>
      <c r="J1276" s="10" t="s">
        <v>51</v>
      </c>
      <c r="K1276" s="10" t="s">
        <v>81</v>
      </c>
      <c r="L1276" t="str">
        <f>IFERROR(VLOOKUP(D1276,Products!A:F,3,0),"")</f>
        <v>Beauty</v>
      </c>
      <c r="M1276" t="str">
        <f>IFERROR(VLOOKUP(E1276,Sales_Reps!A:E,3,0),"")</f>
        <v>East</v>
      </c>
      <c r="N1276" t="str">
        <f>IFERROR(VLOOKUP(C1276,Customers!A:F,5,0),"")</f>
        <v>Retail</v>
      </c>
      <c r="O1276">
        <f>IFERROR(VLOOKUP(C1276,Customers!A:F,3,0),"")</f>
        <v>59</v>
      </c>
      <c r="P1276">
        <f>IFERROR(VLOOKUP(D1276,Products!A:F,4,0),"")</f>
        <v>1626</v>
      </c>
      <c r="Q1276" t="b">
        <f>IFERROR(VLOOKUP(D1276,Products!A:F,6,0),"")</f>
        <v>1</v>
      </c>
      <c r="R1276">
        <f t="shared" si="57"/>
        <v>0.46158940397350995</v>
      </c>
      <c r="S1276">
        <f t="shared" si="58"/>
        <v>1</v>
      </c>
      <c r="T1276">
        <f>IF(AND(S1276&gt;1,COUNTIF($A$2:A1276,A1276)=1),1,0)</f>
        <v>0</v>
      </c>
      <c r="U1276">
        <f>COUNTIF(Customers!$A$2:$A$301,C1276)</f>
        <v>1</v>
      </c>
      <c r="V1276">
        <f t="shared" si="59"/>
        <v>0</v>
      </c>
    </row>
    <row r="1277" spans="1:22" ht="14.25" customHeight="1" x14ac:dyDescent="0.35">
      <c r="A1277" s="10" t="s">
        <v>1727</v>
      </c>
      <c r="B1277" s="11">
        <v>45413</v>
      </c>
      <c r="C1277" s="10" t="s">
        <v>570</v>
      </c>
      <c r="D1277" s="10" t="s">
        <v>425</v>
      </c>
      <c r="E1277" s="10" t="s">
        <v>152</v>
      </c>
      <c r="F1277" s="12">
        <v>8</v>
      </c>
      <c r="G1277" s="12">
        <v>3780</v>
      </c>
      <c r="H1277" s="12">
        <v>17.100000000000001</v>
      </c>
      <c r="I1277" s="12">
        <v>25068.959999999999</v>
      </c>
      <c r="J1277" s="10" t="s">
        <v>51</v>
      </c>
      <c r="K1277" s="10" t="s">
        <v>76</v>
      </c>
      <c r="L1277" t="str">
        <f>IFERROR(VLOOKUP(D1277,Products!A:F,3,0),"")</f>
        <v>Sports</v>
      </c>
      <c r="M1277" t="str">
        <f>IFERROR(VLOOKUP(E1277,Sales_Reps!A:E,3,0),"")</f>
        <v>South</v>
      </c>
      <c r="N1277" t="str">
        <f>IFERROR(VLOOKUP(C1277,Customers!A:F,5,0),"")</f>
        <v>Retail</v>
      </c>
      <c r="O1277">
        <f>IFERROR(VLOOKUP(C1277,Customers!A:F,3,0),"")</f>
        <v>52</v>
      </c>
      <c r="P1277">
        <f>IFERROR(VLOOKUP(D1277,Products!A:F,4,0),"")</f>
        <v>1860</v>
      </c>
      <c r="Q1277" t="b">
        <f>IFERROR(VLOOKUP(D1277,Products!A:F,6,0),"")</f>
        <v>1</v>
      </c>
      <c r="R1277">
        <f t="shared" si="57"/>
        <v>0.50793650793650791</v>
      </c>
      <c r="S1277">
        <f t="shared" si="58"/>
        <v>1</v>
      </c>
      <c r="T1277">
        <f>IF(AND(S1277&gt;1,COUNTIF($A$2:A1277,A1277)=1),1,0)</f>
        <v>0</v>
      </c>
      <c r="U1277">
        <f>COUNTIF(Customers!$A$2:$A$301,C1277)</f>
        <v>1</v>
      </c>
      <c r="V1277">
        <f t="shared" si="59"/>
        <v>0</v>
      </c>
    </row>
    <row r="1278" spans="1:22" ht="14.25" customHeight="1" x14ac:dyDescent="0.35">
      <c r="A1278" s="10" t="s">
        <v>1728</v>
      </c>
      <c r="B1278" s="11">
        <v>45437</v>
      </c>
      <c r="C1278" s="10" t="s">
        <v>161</v>
      </c>
      <c r="D1278" s="10" t="s">
        <v>302</v>
      </c>
      <c r="E1278" s="10" t="s">
        <v>179</v>
      </c>
      <c r="F1278" s="12">
        <v>10</v>
      </c>
      <c r="G1278" s="12">
        <v>2210</v>
      </c>
      <c r="H1278" s="12">
        <v>8.5</v>
      </c>
      <c r="I1278" s="12">
        <v>20221.5</v>
      </c>
      <c r="J1278" s="10" t="s">
        <v>51</v>
      </c>
      <c r="K1278" s="10" t="s">
        <v>52</v>
      </c>
      <c r="L1278" t="str">
        <f>IFERROR(VLOOKUP(D1278,Products!A:F,3,0),"")</f>
        <v>Grocery</v>
      </c>
      <c r="M1278" t="str">
        <f>IFERROR(VLOOKUP(E1278,Sales_Reps!A:E,3,0),"")</f>
        <v>North</v>
      </c>
      <c r="N1278" t="str">
        <f>IFERROR(VLOOKUP(C1278,Customers!A:F,5,0),"")</f>
        <v>Corporate</v>
      </c>
      <c r="O1278">
        <f>IFERROR(VLOOKUP(C1278,Customers!A:F,3,0),"")</f>
        <v>47</v>
      </c>
      <c r="P1278">
        <f>IFERROR(VLOOKUP(D1278,Products!A:F,4,0),"")</f>
        <v>1010</v>
      </c>
      <c r="Q1278" t="b">
        <f>IFERROR(VLOOKUP(D1278,Products!A:F,6,0),"")</f>
        <v>1</v>
      </c>
      <c r="R1278">
        <f t="shared" si="57"/>
        <v>0.54298642533936647</v>
      </c>
      <c r="S1278">
        <f t="shared" si="58"/>
        <v>1</v>
      </c>
      <c r="T1278">
        <f>IF(AND(S1278&gt;1,COUNTIF($A$2:A1278,A1278)=1),1,0)</f>
        <v>0</v>
      </c>
      <c r="U1278">
        <f>COUNTIF(Customers!$A$2:$A$301,C1278)</f>
        <v>1</v>
      </c>
      <c r="V1278">
        <f t="shared" si="59"/>
        <v>0</v>
      </c>
    </row>
    <row r="1279" spans="1:22" ht="14.25" customHeight="1" x14ac:dyDescent="0.35">
      <c r="A1279" s="10" t="s">
        <v>1729</v>
      </c>
      <c r="B1279" s="11">
        <v>45604</v>
      </c>
      <c r="C1279" s="10" t="s">
        <v>1195</v>
      </c>
      <c r="D1279" s="10" t="s">
        <v>302</v>
      </c>
      <c r="E1279" s="10" t="s">
        <v>152</v>
      </c>
      <c r="F1279" s="12">
        <v>4</v>
      </c>
      <c r="G1279" s="12">
        <v>2210</v>
      </c>
      <c r="H1279" s="12">
        <v>3.1</v>
      </c>
      <c r="I1279" s="12">
        <v>8565.9599999999991</v>
      </c>
      <c r="J1279" s="10" t="s">
        <v>51</v>
      </c>
      <c r="K1279" s="10" t="s">
        <v>52</v>
      </c>
      <c r="L1279" t="str">
        <f>IFERROR(VLOOKUP(D1279,Products!A:F,3,0),"")</f>
        <v>Grocery</v>
      </c>
      <c r="M1279" t="str">
        <f>IFERROR(VLOOKUP(E1279,Sales_Reps!A:E,3,0),"")</f>
        <v>South</v>
      </c>
      <c r="N1279" t="str">
        <f>IFERROR(VLOOKUP(C1279,Customers!A:F,5,0),"")</f>
        <v>Retail</v>
      </c>
      <c r="O1279">
        <f>IFERROR(VLOOKUP(C1279,Customers!A:F,3,0),"")</f>
        <v>42</v>
      </c>
      <c r="P1279">
        <f>IFERROR(VLOOKUP(D1279,Products!A:F,4,0),"")</f>
        <v>1010</v>
      </c>
      <c r="Q1279" t="b">
        <f>IFERROR(VLOOKUP(D1279,Products!A:F,6,0),"")</f>
        <v>1</v>
      </c>
      <c r="R1279">
        <f t="shared" si="57"/>
        <v>0.54298642533936647</v>
      </c>
      <c r="S1279">
        <f t="shared" si="58"/>
        <v>1</v>
      </c>
      <c r="T1279">
        <f>IF(AND(S1279&gt;1,COUNTIF($A$2:A1279,A1279)=1),1,0)</f>
        <v>0</v>
      </c>
      <c r="U1279">
        <f>COUNTIF(Customers!$A$2:$A$301,C1279)</f>
        <v>1</v>
      </c>
      <c r="V1279">
        <f t="shared" si="59"/>
        <v>0</v>
      </c>
    </row>
    <row r="1280" spans="1:22" ht="14.25" customHeight="1" x14ac:dyDescent="0.35">
      <c r="A1280" s="10" t="s">
        <v>1730</v>
      </c>
      <c r="B1280" s="11">
        <v>45540</v>
      </c>
      <c r="C1280" s="10" t="s">
        <v>424</v>
      </c>
      <c r="D1280" s="10" t="s">
        <v>140</v>
      </c>
      <c r="E1280" s="10" t="s">
        <v>152</v>
      </c>
      <c r="F1280" s="12">
        <v>1</v>
      </c>
      <c r="G1280" s="12">
        <v>1650</v>
      </c>
      <c r="H1280" s="12">
        <v>10</v>
      </c>
      <c r="I1280" s="12">
        <v>1485</v>
      </c>
      <c r="J1280" s="10" t="s">
        <v>51</v>
      </c>
      <c r="K1280" s="10" t="s">
        <v>52</v>
      </c>
      <c r="L1280" t="str">
        <f>IFERROR(VLOOKUP(D1280,Products!A:F,3,0),"")</f>
        <v>Beauty</v>
      </c>
      <c r="M1280" t="str">
        <f>IFERROR(VLOOKUP(E1280,Sales_Reps!A:E,3,0),"")</f>
        <v>South</v>
      </c>
      <c r="N1280" t="str">
        <f>IFERROR(VLOOKUP(C1280,Customers!A:F,5,0),"")</f>
        <v>Corporate</v>
      </c>
      <c r="O1280">
        <f>IFERROR(VLOOKUP(C1280,Customers!A:F,3,0),"")</f>
        <v>37</v>
      </c>
      <c r="P1280">
        <f>IFERROR(VLOOKUP(D1280,Products!A:F,4,0),"")</f>
        <v>1222</v>
      </c>
      <c r="Q1280" t="b">
        <f>IFERROR(VLOOKUP(D1280,Products!A:F,6,0),"")</f>
        <v>1</v>
      </c>
      <c r="R1280">
        <f t="shared" si="57"/>
        <v>0.2593939393939394</v>
      </c>
      <c r="S1280">
        <f t="shared" si="58"/>
        <v>1</v>
      </c>
      <c r="T1280">
        <f>IF(AND(S1280&gt;1,COUNTIF($A$2:A1280,A1280)=1),1,0)</f>
        <v>0</v>
      </c>
      <c r="U1280">
        <f>COUNTIF(Customers!$A$2:$A$301,C1280)</f>
        <v>1</v>
      </c>
      <c r="V1280">
        <f t="shared" si="59"/>
        <v>0</v>
      </c>
    </row>
    <row r="1281" spans="1:22" ht="14.25" customHeight="1" x14ac:dyDescent="0.35">
      <c r="A1281" s="10" t="s">
        <v>1731</v>
      </c>
      <c r="B1281" s="11">
        <v>45597</v>
      </c>
      <c r="C1281" s="10" t="s">
        <v>375</v>
      </c>
      <c r="D1281" s="10" t="s">
        <v>111</v>
      </c>
      <c r="E1281" s="10" t="s">
        <v>56</v>
      </c>
      <c r="F1281" s="12">
        <v>6</v>
      </c>
      <c r="G1281" s="12">
        <v>190</v>
      </c>
      <c r="H1281" s="12">
        <v>3.5</v>
      </c>
      <c r="I1281" s="12">
        <v>1100.0999999999999</v>
      </c>
      <c r="J1281" s="10" t="s">
        <v>104</v>
      </c>
      <c r="K1281" s="10" t="s">
        <v>76</v>
      </c>
      <c r="L1281" t="str">
        <f>IFERROR(VLOOKUP(D1281,Products!A:F,3,0),"")</f>
        <v>Sports</v>
      </c>
      <c r="M1281" t="str">
        <f>IFERROR(VLOOKUP(E1281,Sales_Reps!A:E,3,0),"")</f>
        <v>North</v>
      </c>
      <c r="N1281" t="str">
        <f>IFERROR(VLOOKUP(C1281,Customers!A:F,5,0),"")</f>
        <v>Retail</v>
      </c>
      <c r="O1281">
        <f>IFERROR(VLOOKUP(C1281,Customers!A:F,3,0),"")</f>
        <v>61</v>
      </c>
      <c r="P1281">
        <f>IFERROR(VLOOKUP(D1281,Products!A:F,4,0),"")</f>
        <v>147</v>
      </c>
      <c r="Q1281" t="b">
        <f>IFERROR(VLOOKUP(D1281,Products!A:F,6,0),"")</f>
        <v>1</v>
      </c>
      <c r="R1281">
        <f t="shared" si="57"/>
        <v>0.22631578947368422</v>
      </c>
      <c r="S1281">
        <f t="shared" si="58"/>
        <v>1</v>
      </c>
      <c r="T1281">
        <f>IF(AND(S1281&gt;1,COUNTIF($A$2:A1281,A1281)=1),1,0)</f>
        <v>0</v>
      </c>
      <c r="U1281">
        <f>COUNTIF(Customers!$A$2:$A$301,C1281)</f>
        <v>1</v>
      </c>
      <c r="V1281">
        <f t="shared" si="59"/>
        <v>0</v>
      </c>
    </row>
    <row r="1282" spans="1:22" ht="14.25" customHeight="1" x14ac:dyDescent="0.35">
      <c r="A1282" s="10" t="s">
        <v>1732</v>
      </c>
      <c r="B1282" s="11">
        <v>45589</v>
      </c>
      <c r="C1282" s="10" t="s">
        <v>358</v>
      </c>
      <c r="D1282" s="10" t="s">
        <v>159</v>
      </c>
      <c r="E1282" s="10" t="s">
        <v>307</v>
      </c>
      <c r="F1282" s="12">
        <v>8</v>
      </c>
      <c r="G1282" s="12">
        <v>2860</v>
      </c>
      <c r="H1282" s="12">
        <v>14.7</v>
      </c>
      <c r="I1282" s="12">
        <v>19516.64</v>
      </c>
      <c r="J1282" s="10" t="s">
        <v>51</v>
      </c>
      <c r="K1282" s="10" t="s">
        <v>81</v>
      </c>
      <c r="L1282" t="str">
        <f>IFERROR(VLOOKUP(D1282,Products!A:F,3,0),"")</f>
        <v>Sports</v>
      </c>
      <c r="M1282" t="str">
        <f>IFERROR(VLOOKUP(E1282,Sales_Reps!A:E,3,0),"")</f>
        <v>West</v>
      </c>
      <c r="N1282" t="str">
        <f>IFERROR(VLOOKUP(C1282,Customers!A:F,5,0),"")</f>
        <v>SMB</v>
      </c>
      <c r="O1282">
        <f>IFERROR(VLOOKUP(C1282,Customers!A:F,3,0),"")</f>
        <v>28</v>
      </c>
      <c r="P1282">
        <f>IFERROR(VLOOKUP(D1282,Products!A:F,4,0),"")</f>
        <v>2028</v>
      </c>
      <c r="Q1282" t="b">
        <f>IFERROR(VLOOKUP(D1282,Products!A:F,6,0),"")</f>
        <v>1</v>
      </c>
      <c r="R1282">
        <f t="shared" ref="R1282:R1345" si="60">IFERROR((G1282-P1282)/G1282,"")</f>
        <v>0.29090909090909089</v>
      </c>
      <c r="S1282">
        <f t="shared" ref="S1282:S1345" si="61">COUNTIF($A$2:$A$2001,A1282)</f>
        <v>1</v>
      </c>
      <c r="T1282">
        <f>IF(AND(S1282&gt;1,COUNTIF($A$2:A1282,A1282)=1),1,0)</f>
        <v>0</v>
      </c>
      <c r="U1282">
        <f>COUNTIF(Customers!$A$2:$A$301,C1282)</f>
        <v>1</v>
      </c>
      <c r="V1282">
        <f t="shared" ref="V1282:V1345" si="62">IF(AND(K1282="Bengaluru",L1282="Grocery"),I1282,0)</f>
        <v>0</v>
      </c>
    </row>
    <row r="1283" spans="1:22" ht="14.25" customHeight="1" x14ac:dyDescent="0.35">
      <c r="A1283" s="10" t="s">
        <v>1733</v>
      </c>
      <c r="B1283" s="11">
        <v>45448</v>
      </c>
      <c r="C1283" s="10" t="s">
        <v>183</v>
      </c>
      <c r="D1283" s="10" t="s">
        <v>246</v>
      </c>
      <c r="E1283" s="10" t="s">
        <v>134</v>
      </c>
      <c r="F1283" s="12">
        <v>9</v>
      </c>
      <c r="G1283" s="12">
        <v>300</v>
      </c>
      <c r="H1283" s="12">
        <v>19.5</v>
      </c>
      <c r="I1283" s="12">
        <v>2173.5</v>
      </c>
      <c r="J1283" s="10" t="s">
        <v>51</v>
      </c>
      <c r="K1283" s="10" t="s">
        <v>63</v>
      </c>
      <c r="L1283" t="str">
        <f>IFERROR(VLOOKUP(D1283,Products!A:F,3,0),"")</f>
        <v>Electronics</v>
      </c>
      <c r="M1283" t="str">
        <f>IFERROR(VLOOKUP(E1283,Sales_Reps!A:E,3,0),"")</f>
        <v>West</v>
      </c>
      <c r="N1283" t="str">
        <f>IFERROR(VLOOKUP(C1283,Customers!A:F,5,0),"")</f>
        <v>SMB</v>
      </c>
      <c r="O1283">
        <f>IFERROR(VLOOKUP(C1283,Customers!A:F,3,0),"")</f>
        <v>50</v>
      </c>
      <c r="P1283">
        <f>IFERROR(VLOOKUP(D1283,Products!A:F,4,0),"")</f>
        <v>128</v>
      </c>
      <c r="Q1283" t="b">
        <f>IFERROR(VLOOKUP(D1283,Products!A:F,6,0),"")</f>
        <v>1</v>
      </c>
      <c r="R1283">
        <f t="shared" si="60"/>
        <v>0.57333333333333336</v>
      </c>
      <c r="S1283">
        <f t="shared" si="61"/>
        <v>1</v>
      </c>
      <c r="T1283">
        <f>IF(AND(S1283&gt;1,COUNTIF($A$2:A1283,A1283)=1),1,0)</f>
        <v>0</v>
      </c>
      <c r="U1283">
        <f>COUNTIF(Customers!$A$2:$A$301,C1283)</f>
        <v>1</v>
      </c>
      <c r="V1283">
        <f t="shared" si="62"/>
        <v>0</v>
      </c>
    </row>
    <row r="1284" spans="1:22" ht="14.25" customHeight="1" x14ac:dyDescent="0.35">
      <c r="A1284" s="10" t="s">
        <v>1734</v>
      </c>
      <c r="B1284" s="11">
        <v>45608</v>
      </c>
      <c r="C1284" s="10" t="s">
        <v>934</v>
      </c>
      <c r="D1284" s="10" t="s">
        <v>344</v>
      </c>
      <c r="E1284" s="10" t="s">
        <v>50</v>
      </c>
      <c r="F1284" s="12">
        <v>10</v>
      </c>
      <c r="G1284" s="12">
        <v>960</v>
      </c>
      <c r="H1284" s="12">
        <v>9.6999999999999993</v>
      </c>
      <c r="I1284" s="12">
        <v>8668.7999999999993</v>
      </c>
      <c r="J1284" s="10" t="s">
        <v>51</v>
      </c>
      <c r="K1284" s="10" t="s">
        <v>76</v>
      </c>
      <c r="L1284" t="str">
        <f>IFERROR(VLOOKUP(D1284,Products!A:F,3,0),"")</f>
        <v>Beauty</v>
      </c>
      <c r="M1284" t="str">
        <f>IFERROR(VLOOKUP(E1284,Sales_Reps!A:E,3,0),"")</f>
        <v>North</v>
      </c>
      <c r="N1284" t="str">
        <f>IFERROR(VLOOKUP(C1284,Customers!A:F,5,0),"")</f>
        <v>Retail</v>
      </c>
      <c r="O1284">
        <f>IFERROR(VLOOKUP(C1284,Customers!A:F,3,0),"")</f>
        <v>40</v>
      </c>
      <c r="P1284">
        <f>IFERROR(VLOOKUP(D1284,Products!A:F,4,0),"")</f>
        <v>675</v>
      </c>
      <c r="Q1284" t="b">
        <f>IFERROR(VLOOKUP(D1284,Products!A:F,6,0),"")</f>
        <v>1</v>
      </c>
      <c r="R1284">
        <f t="shared" si="60"/>
        <v>0.296875</v>
      </c>
      <c r="S1284">
        <f t="shared" si="61"/>
        <v>1</v>
      </c>
      <c r="T1284">
        <f>IF(AND(S1284&gt;1,COUNTIF($A$2:A1284,A1284)=1),1,0)</f>
        <v>0</v>
      </c>
      <c r="U1284">
        <f>COUNTIF(Customers!$A$2:$A$301,C1284)</f>
        <v>1</v>
      </c>
      <c r="V1284">
        <f t="shared" si="62"/>
        <v>0</v>
      </c>
    </row>
    <row r="1285" spans="1:22" ht="14.25" customHeight="1" x14ac:dyDescent="0.35">
      <c r="A1285" s="10" t="s">
        <v>1735</v>
      </c>
      <c r="B1285" s="11">
        <v>45421</v>
      </c>
      <c r="C1285" s="10" t="s">
        <v>909</v>
      </c>
      <c r="D1285" s="10" t="s">
        <v>55</v>
      </c>
      <c r="E1285" s="10" t="s">
        <v>216</v>
      </c>
      <c r="F1285" s="12">
        <v>5</v>
      </c>
      <c r="G1285" s="12">
        <v>820</v>
      </c>
      <c r="H1285" s="12">
        <v>0.5</v>
      </c>
      <c r="I1285" s="12">
        <v>4079.5</v>
      </c>
      <c r="J1285" s="10" t="s">
        <v>51</v>
      </c>
      <c r="K1285" s="10" t="s">
        <v>52</v>
      </c>
      <c r="L1285" t="str">
        <f>IFERROR(VLOOKUP(D1285,Products!A:F,3,0),"")</f>
        <v>Apparel</v>
      </c>
      <c r="M1285" t="str">
        <f>IFERROR(VLOOKUP(E1285,Sales_Reps!A:E,3,0),"")</f>
        <v>South</v>
      </c>
      <c r="N1285" t="str">
        <f>IFERROR(VLOOKUP(C1285,Customers!A:F,5,0),"")</f>
        <v>Retail</v>
      </c>
      <c r="O1285">
        <f>IFERROR(VLOOKUP(C1285,Customers!A:F,3,0),"")</f>
        <v>54</v>
      </c>
      <c r="P1285">
        <f>IFERROR(VLOOKUP(D1285,Products!A:F,4,0),"")</f>
        <v>391</v>
      </c>
      <c r="Q1285" t="b">
        <f>IFERROR(VLOOKUP(D1285,Products!A:F,6,0),"")</f>
        <v>1</v>
      </c>
      <c r="R1285">
        <f t="shared" si="60"/>
        <v>0.52317073170731709</v>
      </c>
      <c r="S1285">
        <f t="shared" si="61"/>
        <v>1</v>
      </c>
      <c r="T1285">
        <f>IF(AND(S1285&gt;1,COUNTIF($A$2:A1285,A1285)=1),1,0)</f>
        <v>0</v>
      </c>
      <c r="U1285">
        <f>COUNTIF(Customers!$A$2:$A$301,C1285)</f>
        <v>1</v>
      </c>
      <c r="V1285">
        <f t="shared" si="62"/>
        <v>0</v>
      </c>
    </row>
    <row r="1286" spans="1:22" ht="14.25" customHeight="1" x14ac:dyDescent="0.35">
      <c r="A1286" s="10" t="s">
        <v>1736</v>
      </c>
      <c r="B1286" s="11">
        <v>45383</v>
      </c>
      <c r="C1286" s="10" t="s">
        <v>248</v>
      </c>
      <c r="D1286" s="10" t="s">
        <v>74</v>
      </c>
      <c r="E1286" s="10" t="s">
        <v>103</v>
      </c>
      <c r="F1286" s="12">
        <v>2</v>
      </c>
      <c r="G1286" s="12">
        <v>370</v>
      </c>
      <c r="H1286" s="12">
        <v>10.5</v>
      </c>
      <c r="I1286" s="12">
        <v>662.3</v>
      </c>
      <c r="J1286" s="10" t="s">
        <v>57</v>
      </c>
      <c r="K1286" s="10" t="s">
        <v>58</v>
      </c>
      <c r="L1286" t="str">
        <f>IFERROR(VLOOKUP(D1286,Products!A:F,3,0),"")</f>
        <v>Home</v>
      </c>
      <c r="M1286" t="str">
        <f>IFERROR(VLOOKUP(E1286,Sales_Reps!A:E,3,0),"")</f>
        <v>North</v>
      </c>
      <c r="N1286" t="str">
        <f>IFERROR(VLOOKUP(C1286,Customers!A:F,5,0),"")</f>
        <v>Retail</v>
      </c>
      <c r="O1286">
        <f>IFERROR(VLOOKUP(C1286,Customers!A:F,3,0),"")</f>
        <v>28</v>
      </c>
      <c r="P1286">
        <f>IFERROR(VLOOKUP(D1286,Products!A:F,4,0),"")</f>
        <v>288</v>
      </c>
      <c r="Q1286" t="b">
        <f>IFERROR(VLOOKUP(D1286,Products!A:F,6,0),"")</f>
        <v>1</v>
      </c>
      <c r="R1286">
        <f t="shared" si="60"/>
        <v>0.22162162162162163</v>
      </c>
      <c r="S1286">
        <f t="shared" si="61"/>
        <v>1</v>
      </c>
      <c r="T1286">
        <f>IF(AND(S1286&gt;1,COUNTIF($A$2:A1286,A1286)=1),1,0)</f>
        <v>0</v>
      </c>
      <c r="U1286">
        <f>COUNTIF(Customers!$A$2:$A$301,C1286)</f>
        <v>1</v>
      </c>
      <c r="V1286">
        <f t="shared" si="62"/>
        <v>0</v>
      </c>
    </row>
    <row r="1287" spans="1:22" ht="14.25" customHeight="1" x14ac:dyDescent="0.35">
      <c r="A1287" s="10" t="s">
        <v>1737</v>
      </c>
      <c r="B1287" s="11">
        <v>45453</v>
      </c>
      <c r="C1287" s="10" t="s">
        <v>650</v>
      </c>
      <c r="D1287" s="10" t="s">
        <v>88</v>
      </c>
      <c r="E1287" s="10" t="s">
        <v>118</v>
      </c>
      <c r="F1287" s="12">
        <v>9</v>
      </c>
      <c r="G1287" s="12">
        <v>5490</v>
      </c>
      <c r="H1287" s="12">
        <v>14.2</v>
      </c>
      <c r="I1287" s="12">
        <v>42393.78</v>
      </c>
      <c r="J1287" s="10" t="s">
        <v>104</v>
      </c>
      <c r="K1287" s="10" t="s">
        <v>76</v>
      </c>
      <c r="L1287" t="str">
        <f>IFERROR(VLOOKUP(D1287,Products!A:F,3,0),"")</f>
        <v>Home</v>
      </c>
      <c r="M1287" t="str">
        <f>IFERROR(VLOOKUP(E1287,Sales_Reps!A:E,3,0),"")</f>
        <v>East</v>
      </c>
      <c r="N1287" t="str">
        <f>IFERROR(VLOOKUP(C1287,Customers!A:F,5,0),"")</f>
        <v>Retail</v>
      </c>
      <c r="O1287">
        <f>IFERROR(VLOOKUP(C1287,Customers!A:F,3,0),"")</f>
        <v>35</v>
      </c>
      <c r="P1287">
        <f>IFERROR(VLOOKUP(D1287,Products!A:F,4,0),"")</f>
        <v>2549</v>
      </c>
      <c r="Q1287" t="b">
        <f>IFERROR(VLOOKUP(D1287,Products!A:F,6,0),"")</f>
        <v>1</v>
      </c>
      <c r="R1287">
        <f t="shared" si="60"/>
        <v>0.53570127504553733</v>
      </c>
      <c r="S1287">
        <f t="shared" si="61"/>
        <v>1</v>
      </c>
      <c r="T1287">
        <f>IF(AND(S1287&gt;1,COUNTIF($A$2:A1287,A1287)=1),1,0)</f>
        <v>0</v>
      </c>
      <c r="U1287">
        <f>COUNTIF(Customers!$A$2:$A$301,C1287)</f>
        <v>1</v>
      </c>
      <c r="V1287">
        <f t="shared" si="62"/>
        <v>0</v>
      </c>
    </row>
    <row r="1288" spans="1:22" ht="14.25" customHeight="1" x14ac:dyDescent="0.35">
      <c r="A1288" s="10" t="s">
        <v>1738</v>
      </c>
      <c r="B1288" s="11">
        <v>45398</v>
      </c>
      <c r="C1288" s="10" t="s">
        <v>847</v>
      </c>
      <c r="D1288" s="10" t="s">
        <v>74</v>
      </c>
      <c r="E1288" s="10" t="s">
        <v>267</v>
      </c>
      <c r="F1288" s="12">
        <v>3</v>
      </c>
      <c r="G1288" s="12">
        <v>370</v>
      </c>
      <c r="H1288" s="12">
        <v>18.399999999999999</v>
      </c>
      <c r="I1288" s="12">
        <v>905.76</v>
      </c>
      <c r="J1288" s="10" t="s">
        <v>51</v>
      </c>
      <c r="K1288" s="10" t="s">
        <v>97</v>
      </c>
      <c r="L1288" t="str">
        <f>IFERROR(VLOOKUP(D1288,Products!A:F,3,0),"")</f>
        <v>Home</v>
      </c>
      <c r="M1288" t="str">
        <f>IFERROR(VLOOKUP(E1288,Sales_Reps!A:E,3,0),"")</f>
        <v>East</v>
      </c>
      <c r="N1288" t="str">
        <f>IFERROR(VLOOKUP(C1288,Customers!A:F,5,0),"")</f>
        <v>SMB</v>
      </c>
      <c r="O1288">
        <f>IFERROR(VLOOKUP(C1288,Customers!A:F,3,0),"")</f>
        <v>28</v>
      </c>
      <c r="P1288">
        <f>IFERROR(VLOOKUP(D1288,Products!A:F,4,0),"")</f>
        <v>288</v>
      </c>
      <c r="Q1288" t="b">
        <f>IFERROR(VLOOKUP(D1288,Products!A:F,6,0),"")</f>
        <v>1</v>
      </c>
      <c r="R1288">
        <f t="shared" si="60"/>
        <v>0.22162162162162163</v>
      </c>
      <c r="S1288">
        <f t="shared" si="61"/>
        <v>1</v>
      </c>
      <c r="T1288">
        <f>IF(AND(S1288&gt;1,COUNTIF($A$2:A1288,A1288)=1),1,0)</f>
        <v>0</v>
      </c>
      <c r="U1288">
        <f>COUNTIF(Customers!$A$2:$A$301,C1288)</f>
        <v>1</v>
      </c>
      <c r="V1288">
        <f t="shared" si="62"/>
        <v>0</v>
      </c>
    </row>
    <row r="1289" spans="1:22" ht="14.25" customHeight="1" x14ac:dyDescent="0.35">
      <c r="A1289" s="10" t="s">
        <v>1739</v>
      </c>
      <c r="B1289" s="11">
        <v>45584</v>
      </c>
      <c r="C1289" s="10" t="s">
        <v>559</v>
      </c>
      <c r="D1289" s="10" t="s">
        <v>111</v>
      </c>
      <c r="E1289" s="10" t="s">
        <v>267</v>
      </c>
      <c r="F1289" s="12">
        <v>6</v>
      </c>
      <c r="G1289" s="12">
        <v>190</v>
      </c>
      <c r="H1289" s="12">
        <v>12.9</v>
      </c>
      <c r="I1289" s="12">
        <v>992.94</v>
      </c>
      <c r="J1289" s="10" t="s">
        <v>51</v>
      </c>
      <c r="K1289" s="10" t="s">
        <v>63</v>
      </c>
      <c r="L1289" t="str">
        <f>IFERROR(VLOOKUP(D1289,Products!A:F,3,0),"")</f>
        <v>Sports</v>
      </c>
      <c r="M1289" t="str">
        <f>IFERROR(VLOOKUP(E1289,Sales_Reps!A:E,3,0),"")</f>
        <v>East</v>
      </c>
      <c r="N1289" t="str">
        <f>IFERROR(VLOOKUP(C1289,Customers!A:F,5,0),"")</f>
        <v>SMB</v>
      </c>
      <c r="O1289">
        <f>IFERROR(VLOOKUP(C1289,Customers!A:F,3,0),"")</f>
        <v>48</v>
      </c>
      <c r="P1289">
        <f>IFERROR(VLOOKUP(D1289,Products!A:F,4,0),"")</f>
        <v>147</v>
      </c>
      <c r="Q1289" t="b">
        <f>IFERROR(VLOOKUP(D1289,Products!A:F,6,0),"")</f>
        <v>1</v>
      </c>
      <c r="R1289">
        <f t="shared" si="60"/>
        <v>0.22631578947368422</v>
      </c>
      <c r="S1289">
        <f t="shared" si="61"/>
        <v>1</v>
      </c>
      <c r="T1289">
        <f>IF(AND(S1289&gt;1,COUNTIF($A$2:A1289,A1289)=1),1,0)</f>
        <v>0</v>
      </c>
      <c r="U1289">
        <f>COUNTIF(Customers!$A$2:$A$301,C1289)</f>
        <v>1</v>
      </c>
      <c r="V1289">
        <f t="shared" si="62"/>
        <v>0</v>
      </c>
    </row>
    <row r="1290" spans="1:22" ht="14.25" customHeight="1" x14ac:dyDescent="0.35">
      <c r="A1290" s="10" t="s">
        <v>1740</v>
      </c>
      <c r="B1290" s="11">
        <v>45397</v>
      </c>
      <c r="C1290" s="10" t="s">
        <v>340</v>
      </c>
      <c r="D1290" s="10" t="s">
        <v>302</v>
      </c>
      <c r="E1290" s="10" t="s">
        <v>118</v>
      </c>
      <c r="F1290" s="12">
        <v>8</v>
      </c>
      <c r="G1290" s="12">
        <v>2210</v>
      </c>
      <c r="H1290" s="12">
        <v>9.8000000000000007</v>
      </c>
      <c r="I1290" s="12">
        <v>15947.36</v>
      </c>
      <c r="J1290" s="10" t="s">
        <v>51</v>
      </c>
      <c r="K1290" s="10" t="s">
        <v>81</v>
      </c>
      <c r="L1290" t="str">
        <f>IFERROR(VLOOKUP(D1290,Products!A:F,3,0),"")</f>
        <v>Grocery</v>
      </c>
      <c r="M1290" t="str">
        <f>IFERROR(VLOOKUP(E1290,Sales_Reps!A:E,3,0),"")</f>
        <v>East</v>
      </c>
      <c r="N1290" t="str">
        <f>IFERROR(VLOOKUP(C1290,Customers!A:F,5,0),"")</f>
        <v>SMB</v>
      </c>
      <c r="O1290">
        <f>IFERROR(VLOOKUP(C1290,Customers!A:F,3,0),"")</f>
        <v>44</v>
      </c>
      <c r="P1290">
        <f>IFERROR(VLOOKUP(D1290,Products!A:F,4,0),"")</f>
        <v>1010</v>
      </c>
      <c r="Q1290" t="b">
        <f>IFERROR(VLOOKUP(D1290,Products!A:F,6,0),"")</f>
        <v>1</v>
      </c>
      <c r="R1290">
        <f t="shared" si="60"/>
        <v>0.54298642533936647</v>
      </c>
      <c r="S1290">
        <f t="shared" si="61"/>
        <v>1</v>
      </c>
      <c r="T1290">
        <f>IF(AND(S1290&gt;1,COUNTIF($A$2:A1290,A1290)=1),1,0)</f>
        <v>0</v>
      </c>
      <c r="U1290">
        <f>COUNTIF(Customers!$A$2:$A$301,C1290)</f>
        <v>1</v>
      </c>
      <c r="V1290">
        <f t="shared" si="62"/>
        <v>15947.36</v>
      </c>
    </row>
    <row r="1291" spans="1:22" ht="14.25" customHeight="1" x14ac:dyDescent="0.35">
      <c r="A1291" s="10" t="s">
        <v>1741</v>
      </c>
      <c r="B1291" s="11">
        <v>45453</v>
      </c>
      <c r="C1291" s="10" t="s">
        <v>393</v>
      </c>
      <c r="D1291" s="10" t="s">
        <v>140</v>
      </c>
      <c r="E1291" s="10" t="s">
        <v>168</v>
      </c>
      <c r="F1291" s="12">
        <v>7</v>
      </c>
      <c r="G1291" s="12">
        <v>1650</v>
      </c>
      <c r="H1291" s="12">
        <v>8.4</v>
      </c>
      <c r="I1291" s="12">
        <v>10579.8</v>
      </c>
      <c r="J1291" s="10" t="s">
        <v>51</v>
      </c>
      <c r="K1291" s="10" t="s">
        <v>81</v>
      </c>
      <c r="L1291" t="str">
        <f>IFERROR(VLOOKUP(D1291,Products!A:F,3,0),"")</f>
        <v>Beauty</v>
      </c>
      <c r="M1291" t="str">
        <f>IFERROR(VLOOKUP(E1291,Sales_Reps!A:E,3,0),"")</f>
        <v>South</v>
      </c>
      <c r="N1291" t="str">
        <f>IFERROR(VLOOKUP(C1291,Customers!A:F,5,0),"")</f>
        <v>Retail</v>
      </c>
      <c r="O1291">
        <f>IFERROR(VLOOKUP(C1291,Customers!A:F,3,0),"")</f>
        <v>55</v>
      </c>
      <c r="P1291">
        <f>IFERROR(VLOOKUP(D1291,Products!A:F,4,0),"")</f>
        <v>1222</v>
      </c>
      <c r="Q1291" t="b">
        <f>IFERROR(VLOOKUP(D1291,Products!A:F,6,0),"")</f>
        <v>1</v>
      </c>
      <c r="R1291">
        <f t="shared" si="60"/>
        <v>0.2593939393939394</v>
      </c>
      <c r="S1291">
        <f t="shared" si="61"/>
        <v>1</v>
      </c>
      <c r="T1291">
        <f>IF(AND(S1291&gt;1,COUNTIF($A$2:A1291,A1291)=1),1,0)</f>
        <v>0</v>
      </c>
      <c r="U1291">
        <f>COUNTIF(Customers!$A$2:$A$301,C1291)</f>
        <v>1</v>
      </c>
      <c r="V1291">
        <f t="shared" si="62"/>
        <v>0</v>
      </c>
    </row>
    <row r="1292" spans="1:22" ht="14.25" customHeight="1" x14ac:dyDescent="0.35">
      <c r="A1292" s="10" t="s">
        <v>1742</v>
      </c>
      <c r="B1292" s="11">
        <v>45359</v>
      </c>
      <c r="C1292" s="10" t="s">
        <v>787</v>
      </c>
      <c r="D1292" s="10" t="s">
        <v>167</v>
      </c>
      <c r="E1292" s="10" t="s">
        <v>216</v>
      </c>
      <c r="F1292" s="12">
        <v>8</v>
      </c>
      <c r="G1292" s="12">
        <v>660</v>
      </c>
      <c r="H1292" s="12">
        <v>7.5</v>
      </c>
      <c r="I1292" s="12">
        <v>4884</v>
      </c>
      <c r="J1292" s="10" t="s">
        <v>51</v>
      </c>
      <c r="K1292" s="10" t="s">
        <v>58</v>
      </c>
      <c r="L1292" t="str">
        <f>IFERROR(VLOOKUP(D1292,Products!A:F,3,0),"")</f>
        <v>Home</v>
      </c>
      <c r="M1292" t="str">
        <f>IFERROR(VLOOKUP(E1292,Sales_Reps!A:E,3,0),"")</f>
        <v>South</v>
      </c>
      <c r="N1292" t="str">
        <f>IFERROR(VLOOKUP(C1292,Customers!A:F,5,0),"")</f>
        <v>Retail</v>
      </c>
      <c r="O1292">
        <f>IFERROR(VLOOKUP(C1292,Customers!A:F,3,0),"")</f>
        <v>32</v>
      </c>
      <c r="P1292">
        <f>IFERROR(VLOOKUP(D1292,Products!A:F,4,0),"")</f>
        <v>329</v>
      </c>
      <c r="Q1292" t="b">
        <f>IFERROR(VLOOKUP(D1292,Products!A:F,6,0),"")</f>
        <v>1</v>
      </c>
      <c r="R1292">
        <f t="shared" si="60"/>
        <v>0.50151515151515147</v>
      </c>
      <c r="S1292">
        <f t="shared" si="61"/>
        <v>1</v>
      </c>
      <c r="T1292">
        <f>IF(AND(S1292&gt;1,COUNTIF($A$2:A1292,A1292)=1),1,0)</f>
        <v>0</v>
      </c>
      <c r="U1292">
        <f>COUNTIF(Customers!$A$2:$A$301,C1292)</f>
        <v>1</v>
      </c>
      <c r="V1292">
        <f t="shared" si="62"/>
        <v>0</v>
      </c>
    </row>
    <row r="1293" spans="1:22" ht="14.25" customHeight="1" x14ac:dyDescent="0.35">
      <c r="A1293" s="10" t="s">
        <v>1743</v>
      </c>
      <c r="B1293" s="11">
        <v>45644</v>
      </c>
      <c r="C1293" s="10" t="s">
        <v>970</v>
      </c>
      <c r="D1293" s="10" t="s">
        <v>234</v>
      </c>
      <c r="E1293" s="10" t="s">
        <v>103</v>
      </c>
      <c r="F1293" s="12">
        <v>3</v>
      </c>
      <c r="G1293" s="12">
        <v>4610</v>
      </c>
      <c r="H1293" s="12">
        <v>29.6</v>
      </c>
      <c r="I1293" s="12">
        <v>9736.32</v>
      </c>
      <c r="J1293" s="10" t="s">
        <v>51</v>
      </c>
      <c r="K1293" s="10" t="s">
        <v>81</v>
      </c>
      <c r="L1293" t="str">
        <f>IFERROR(VLOOKUP(D1293,Products!A:F,3,0),"")</f>
        <v>Home</v>
      </c>
      <c r="M1293" t="str">
        <f>IFERROR(VLOOKUP(E1293,Sales_Reps!A:E,3,0),"")</f>
        <v>North</v>
      </c>
      <c r="N1293" t="str">
        <f>IFERROR(VLOOKUP(C1293,Customers!A:F,5,0),"")</f>
        <v>SMB</v>
      </c>
      <c r="O1293">
        <f>IFERROR(VLOOKUP(C1293,Customers!A:F,3,0),"")</f>
        <v>44</v>
      </c>
      <c r="P1293">
        <f>IFERROR(VLOOKUP(D1293,Products!A:F,4,0),"")</f>
        <v>1850</v>
      </c>
      <c r="Q1293" t="b">
        <f>IFERROR(VLOOKUP(D1293,Products!A:F,6,0),"")</f>
        <v>1</v>
      </c>
      <c r="R1293">
        <f t="shared" si="60"/>
        <v>0.59869848156182215</v>
      </c>
      <c r="S1293">
        <f t="shared" si="61"/>
        <v>1</v>
      </c>
      <c r="T1293">
        <f>IF(AND(S1293&gt;1,COUNTIF($A$2:A1293,A1293)=1),1,0)</f>
        <v>0</v>
      </c>
      <c r="U1293">
        <f>COUNTIF(Customers!$A$2:$A$301,C1293)</f>
        <v>1</v>
      </c>
      <c r="V1293">
        <f t="shared" si="62"/>
        <v>0</v>
      </c>
    </row>
    <row r="1294" spans="1:22" ht="14.25" customHeight="1" x14ac:dyDescent="0.35">
      <c r="A1294" s="10" t="s">
        <v>1744</v>
      </c>
      <c r="B1294" s="11">
        <v>45325</v>
      </c>
      <c r="C1294" s="10" t="s">
        <v>314</v>
      </c>
      <c r="D1294" s="10" t="s">
        <v>302</v>
      </c>
      <c r="E1294" s="10" t="s">
        <v>75</v>
      </c>
      <c r="F1294" s="12">
        <v>6</v>
      </c>
      <c r="G1294" s="12">
        <v>2210</v>
      </c>
      <c r="H1294" s="12">
        <v>9.5</v>
      </c>
      <c r="I1294" s="12">
        <v>12000.3</v>
      </c>
      <c r="J1294" s="10" t="s">
        <v>51</v>
      </c>
      <c r="K1294" s="10" t="s">
        <v>76</v>
      </c>
      <c r="L1294" t="str">
        <f>IFERROR(VLOOKUP(D1294,Products!A:F,3,0),"")</f>
        <v>Grocery</v>
      </c>
      <c r="M1294" t="str">
        <f>IFERROR(VLOOKUP(E1294,Sales_Reps!A:E,3,0),"")</f>
        <v>West</v>
      </c>
      <c r="N1294" t="str">
        <f>IFERROR(VLOOKUP(C1294,Customers!A:F,5,0),"")</f>
        <v>SMB</v>
      </c>
      <c r="O1294">
        <f>IFERROR(VLOOKUP(C1294,Customers!A:F,3,0),"")</f>
        <v>22</v>
      </c>
      <c r="P1294">
        <f>IFERROR(VLOOKUP(D1294,Products!A:F,4,0),"")</f>
        <v>1010</v>
      </c>
      <c r="Q1294" t="b">
        <f>IFERROR(VLOOKUP(D1294,Products!A:F,6,0),"")</f>
        <v>1</v>
      </c>
      <c r="R1294">
        <f t="shared" si="60"/>
        <v>0.54298642533936647</v>
      </c>
      <c r="S1294">
        <f t="shared" si="61"/>
        <v>1</v>
      </c>
      <c r="T1294">
        <f>IF(AND(S1294&gt;1,COUNTIF($A$2:A1294,A1294)=1),1,0)</f>
        <v>0</v>
      </c>
      <c r="U1294">
        <f>COUNTIF(Customers!$A$2:$A$301,C1294)</f>
        <v>1</v>
      </c>
      <c r="V1294">
        <f t="shared" si="62"/>
        <v>0</v>
      </c>
    </row>
    <row r="1295" spans="1:22" ht="14.25" customHeight="1" x14ac:dyDescent="0.35">
      <c r="A1295" s="10" t="s">
        <v>1745</v>
      </c>
      <c r="B1295" s="11">
        <v>45533</v>
      </c>
      <c r="C1295" s="10" t="s">
        <v>333</v>
      </c>
      <c r="D1295" s="10" t="s">
        <v>350</v>
      </c>
      <c r="E1295" s="10" t="s">
        <v>202</v>
      </c>
      <c r="F1295" s="12">
        <v>4</v>
      </c>
      <c r="G1295" s="12">
        <v>2290</v>
      </c>
      <c r="H1295" s="12">
        <v>3.3</v>
      </c>
      <c r="I1295" s="12">
        <v>8857.7199999999993</v>
      </c>
      <c r="J1295" s="10" t="s">
        <v>51</v>
      </c>
      <c r="K1295" s="10" t="s">
        <v>58</v>
      </c>
      <c r="L1295" t="str">
        <f>IFERROR(VLOOKUP(D1295,Products!A:F,3,0),"")</f>
        <v>Beauty</v>
      </c>
      <c r="M1295" t="str">
        <f>IFERROR(VLOOKUP(E1295,Sales_Reps!A:E,3,0),"")</f>
        <v>East</v>
      </c>
      <c r="N1295" t="str">
        <f>IFERROR(VLOOKUP(C1295,Customers!A:F,5,0),"")</f>
        <v>SMB</v>
      </c>
      <c r="O1295">
        <f>IFERROR(VLOOKUP(C1295,Customers!A:F,3,0),"")</f>
        <v>62</v>
      </c>
      <c r="P1295">
        <f>IFERROR(VLOOKUP(D1295,Products!A:F,4,0),"")</f>
        <v>1219</v>
      </c>
      <c r="Q1295" t="b">
        <f>IFERROR(VLOOKUP(D1295,Products!A:F,6,0),"")</f>
        <v>1</v>
      </c>
      <c r="R1295">
        <f t="shared" si="60"/>
        <v>0.46768558951965067</v>
      </c>
      <c r="S1295">
        <f t="shared" si="61"/>
        <v>1</v>
      </c>
      <c r="T1295">
        <f>IF(AND(S1295&gt;1,COUNTIF($A$2:A1295,A1295)=1),1,0)</f>
        <v>0</v>
      </c>
      <c r="U1295">
        <f>COUNTIF(Customers!$A$2:$A$301,C1295)</f>
        <v>1</v>
      </c>
      <c r="V1295">
        <f t="shared" si="62"/>
        <v>0</v>
      </c>
    </row>
    <row r="1296" spans="1:22" ht="14.25" customHeight="1" x14ac:dyDescent="0.35">
      <c r="A1296" s="10" t="s">
        <v>1746</v>
      </c>
      <c r="B1296" s="11">
        <v>45369</v>
      </c>
      <c r="C1296" s="10" t="s">
        <v>65</v>
      </c>
      <c r="D1296" s="10" t="s">
        <v>128</v>
      </c>
      <c r="E1296" s="10" t="s">
        <v>165</v>
      </c>
      <c r="F1296" s="12">
        <v>5</v>
      </c>
      <c r="G1296" s="12">
        <v>1080</v>
      </c>
      <c r="H1296" s="12">
        <v>26.1</v>
      </c>
      <c r="I1296" s="12">
        <v>3990.6</v>
      </c>
      <c r="J1296" s="10" t="s">
        <v>51</v>
      </c>
      <c r="K1296" s="10" t="s">
        <v>63</v>
      </c>
      <c r="L1296" t="str">
        <f>IFERROR(VLOOKUP(D1296,Products!A:F,3,0),"")</f>
        <v>Home</v>
      </c>
      <c r="M1296" t="str">
        <f>IFERROR(VLOOKUP(E1296,Sales_Reps!A:E,3,0),"")</f>
        <v>West</v>
      </c>
      <c r="N1296" t="str">
        <f>IFERROR(VLOOKUP(C1296,Customers!A:F,5,0),"")</f>
        <v>Corporate</v>
      </c>
      <c r="O1296">
        <f>IFERROR(VLOOKUP(C1296,Customers!A:F,3,0),"")</f>
        <v>46</v>
      </c>
      <c r="P1296">
        <f>IFERROR(VLOOKUP(D1296,Products!A:F,4,0),"")</f>
        <v>519</v>
      </c>
      <c r="Q1296" t="b">
        <f>IFERROR(VLOOKUP(D1296,Products!A:F,6,0),"")</f>
        <v>1</v>
      </c>
      <c r="R1296">
        <f t="shared" si="60"/>
        <v>0.51944444444444449</v>
      </c>
      <c r="S1296">
        <f t="shared" si="61"/>
        <v>1</v>
      </c>
      <c r="T1296">
        <f>IF(AND(S1296&gt;1,COUNTIF($A$2:A1296,A1296)=1),1,0)</f>
        <v>0</v>
      </c>
      <c r="U1296">
        <f>COUNTIF(Customers!$A$2:$A$301,C1296)</f>
        <v>1</v>
      </c>
      <c r="V1296">
        <f t="shared" si="62"/>
        <v>0</v>
      </c>
    </row>
    <row r="1297" spans="1:22" ht="14.25" customHeight="1" x14ac:dyDescent="0.35">
      <c r="A1297" s="10" t="s">
        <v>1747</v>
      </c>
      <c r="B1297" s="11">
        <v>45312</v>
      </c>
      <c r="C1297" s="10" t="s">
        <v>404</v>
      </c>
      <c r="D1297" s="10" t="s">
        <v>79</v>
      </c>
      <c r="E1297" s="10" t="s">
        <v>96</v>
      </c>
      <c r="F1297" s="12">
        <v>7</v>
      </c>
      <c r="G1297" s="12">
        <v>960</v>
      </c>
      <c r="H1297" s="12">
        <v>17.7</v>
      </c>
      <c r="I1297" s="12">
        <v>5530.56</v>
      </c>
      <c r="J1297" s="10" t="s">
        <v>51</v>
      </c>
      <c r="K1297" s="10" t="s">
        <v>52</v>
      </c>
      <c r="L1297" t="str">
        <f>IFERROR(VLOOKUP(D1297,Products!A:F,3,0),"")</f>
        <v>Sports</v>
      </c>
      <c r="M1297" t="str">
        <f>IFERROR(VLOOKUP(E1297,Sales_Reps!A:E,3,0),"")</f>
        <v>South</v>
      </c>
      <c r="N1297" t="str">
        <f>IFERROR(VLOOKUP(C1297,Customers!A:F,5,0),"")</f>
        <v>SMB</v>
      </c>
      <c r="O1297">
        <f>IFERROR(VLOOKUP(C1297,Customers!A:F,3,0),"")</f>
        <v>30</v>
      </c>
      <c r="P1297">
        <f>IFERROR(VLOOKUP(D1297,Products!A:F,4,0),"")</f>
        <v>705</v>
      </c>
      <c r="Q1297" t="b">
        <f>IFERROR(VLOOKUP(D1297,Products!A:F,6,0),"")</f>
        <v>1</v>
      </c>
      <c r="R1297">
        <f t="shared" si="60"/>
        <v>0.265625</v>
      </c>
      <c r="S1297">
        <f t="shared" si="61"/>
        <v>1</v>
      </c>
      <c r="T1297">
        <f>IF(AND(S1297&gt;1,COUNTIF($A$2:A1297,A1297)=1),1,0)</f>
        <v>0</v>
      </c>
      <c r="U1297">
        <f>COUNTIF(Customers!$A$2:$A$301,C1297)</f>
        <v>1</v>
      </c>
      <c r="V1297">
        <f t="shared" si="62"/>
        <v>0</v>
      </c>
    </row>
    <row r="1298" spans="1:22" ht="14.25" customHeight="1" x14ac:dyDescent="0.35">
      <c r="A1298" s="10" t="s">
        <v>1748</v>
      </c>
      <c r="B1298" s="11">
        <v>45445</v>
      </c>
      <c r="C1298" s="10" t="s">
        <v>991</v>
      </c>
      <c r="D1298" s="10" t="s">
        <v>115</v>
      </c>
      <c r="E1298" s="10" t="s">
        <v>71</v>
      </c>
      <c r="F1298" s="12">
        <v>1</v>
      </c>
      <c r="G1298" s="12">
        <v>2400</v>
      </c>
      <c r="H1298" s="12">
        <v>29.9</v>
      </c>
      <c r="I1298" s="12">
        <v>1682.4</v>
      </c>
      <c r="J1298" s="10" t="s">
        <v>51</v>
      </c>
      <c r="K1298" s="10" t="s">
        <v>76</v>
      </c>
      <c r="L1298" t="str">
        <f>IFERROR(VLOOKUP(D1298,Products!A:F,3,0),"")</f>
        <v>Sports</v>
      </c>
      <c r="M1298" t="str">
        <f>IFERROR(VLOOKUP(E1298,Sales_Reps!A:E,3,0),"")</f>
        <v>North</v>
      </c>
      <c r="N1298" t="str">
        <f>IFERROR(VLOOKUP(C1298,Customers!A:F,5,0),"")</f>
        <v>SMB</v>
      </c>
      <c r="O1298">
        <f>IFERROR(VLOOKUP(C1298,Customers!A:F,3,0),"")</f>
        <v>47</v>
      </c>
      <c r="P1298">
        <f>IFERROR(VLOOKUP(D1298,Products!A:F,4,0),"")</f>
        <v>974</v>
      </c>
      <c r="Q1298" t="b">
        <f>IFERROR(VLOOKUP(D1298,Products!A:F,6,0),"")</f>
        <v>1</v>
      </c>
      <c r="R1298">
        <f t="shared" si="60"/>
        <v>0.59416666666666662</v>
      </c>
      <c r="S1298">
        <f t="shared" si="61"/>
        <v>1</v>
      </c>
      <c r="T1298">
        <f>IF(AND(S1298&gt;1,COUNTIF($A$2:A1298,A1298)=1),1,0)</f>
        <v>0</v>
      </c>
      <c r="U1298">
        <f>COUNTIF(Customers!$A$2:$A$301,C1298)</f>
        <v>1</v>
      </c>
      <c r="V1298">
        <f t="shared" si="62"/>
        <v>0</v>
      </c>
    </row>
    <row r="1299" spans="1:22" ht="14.25" customHeight="1" x14ac:dyDescent="0.35">
      <c r="A1299" s="10" t="s">
        <v>1749</v>
      </c>
      <c r="B1299" s="11">
        <v>45636</v>
      </c>
      <c r="C1299" s="10" t="s">
        <v>1314</v>
      </c>
      <c r="D1299" s="10" t="s">
        <v>350</v>
      </c>
      <c r="E1299" s="10" t="s">
        <v>96</v>
      </c>
      <c r="F1299" s="12">
        <v>9</v>
      </c>
      <c r="G1299" s="12">
        <v>2290</v>
      </c>
      <c r="H1299" s="12">
        <v>28.8</v>
      </c>
      <c r="I1299" s="12">
        <v>14674.32</v>
      </c>
      <c r="J1299" s="10" t="s">
        <v>51</v>
      </c>
      <c r="K1299" s="10" t="s">
        <v>76</v>
      </c>
      <c r="L1299" t="str">
        <f>IFERROR(VLOOKUP(D1299,Products!A:F,3,0),"")</f>
        <v>Beauty</v>
      </c>
      <c r="M1299" t="str">
        <f>IFERROR(VLOOKUP(E1299,Sales_Reps!A:E,3,0),"")</f>
        <v>South</v>
      </c>
      <c r="N1299" t="str">
        <f>IFERROR(VLOOKUP(C1299,Customers!A:F,5,0),"")</f>
        <v>Retail</v>
      </c>
      <c r="O1299">
        <f>IFERROR(VLOOKUP(C1299,Customers!A:F,3,0),"")</f>
        <v>38</v>
      </c>
      <c r="P1299">
        <f>IFERROR(VLOOKUP(D1299,Products!A:F,4,0),"")</f>
        <v>1219</v>
      </c>
      <c r="Q1299" t="b">
        <f>IFERROR(VLOOKUP(D1299,Products!A:F,6,0),"")</f>
        <v>1</v>
      </c>
      <c r="R1299">
        <f t="shared" si="60"/>
        <v>0.46768558951965067</v>
      </c>
      <c r="S1299">
        <f t="shared" si="61"/>
        <v>1</v>
      </c>
      <c r="T1299">
        <f>IF(AND(S1299&gt;1,COUNTIF($A$2:A1299,A1299)=1),1,0)</f>
        <v>0</v>
      </c>
      <c r="U1299">
        <f>COUNTIF(Customers!$A$2:$A$301,C1299)</f>
        <v>1</v>
      </c>
      <c r="V1299">
        <f t="shared" si="62"/>
        <v>0</v>
      </c>
    </row>
    <row r="1300" spans="1:22" ht="14.25" customHeight="1" x14ac:dyDescent="0.35">
      <c r="A1300" s="10" t="s">
        <v>1750</v>
      </c>
      <c r="B1300" s="11">
        <v>45294</v>
      </c>
      <c r="C1300" s="10" t="s">
        <v>189</v>
      </c>
      <c r="D1300" s="10" t="s">
        <v>128</v>
      </c>
      <c r="E1300" s="10" t="s">
        <v>267</v>
      </c>
      <c r="F1300" s="12">
        <v>9</v>
      </c>
      <c r="G1300" s="12">
        <v>1080</v>
      </c>
      <c r="H1300" s="12">
        <v>10.3</v>
      </c>
      <c r="I1300" s="12">
        <v>8718.84</v>
      </c>
      <c r="J1300" s="10" t="s">
        <v>51</v>
      </c>
      <c r="K1300" s="10" t="s">
        <v>58</v>
      </c>
      <c r="L1300" t="str">
        <f>IFERROR(VLOOKUP(D1300,Products!A:F,3,0),"")</f>
        <v>Home</v>
      </c>
      <c r="M1300" t="str">
        <f>IFERROR(VLOOKUP(E1300,Sales_Reps!A:E,3,0),"")</f>
        <v>East</v>
      </c>
      <c r="N1300" t="str">
        <f>IFERROR(VLOOKUP(C1300,Customers!A:F,5,0),"")</f>
        <v>Retail</v>
      </c>
      <c r="O1300">
        <f>IFERROR(VLOOKUP(C1300,Customers!A:F,3,0),"")</f>
        <v>37</v>
      </c>
      <c r="P1300">
        <f>IFERROR(VLOOKUP(D1300,Products!A:F,4,0),"")</f>
        <v>519</v>
      </c>
      <c r="Q1300" t="b">
        <f>IFERROR(VLOOKUP(D1300,Products!A:F,6,0),"")</f>
        <v>1</v>
      </c>
      <c r="R1300">
        <f t="shared" si="60"/>
        <v>0.51944444444444449</v>
      </c>
      <c r="S1300">
        <f t="shared" si="61"/>
        <v>1</v>
      </c>
      <c r="T1300">
        <f>IF(AND(S1300&gt;1,COUNTIF($A$2:A1300,A1300)=1),1,0)</f>
        <v>0</v>
      </c>
      <c r="U1300">
        <f>COUNTIF(Customers!$A$2:$A$301,C1300)</f>
        <v>1</v>
      </c>
      <c r="V1300">
        <f t="shared" si="62"/>
        <v>0</v>
      </c>
    </row>
    <row r="1301" spans="1:22" ht="14.25" customHeight="1" x14ac:dyDescent="0.35">
      <c r="A1301" s="10" t="s">
        <v>1751</v>
      </c>
      <c r="B1301" s="11">
        <v>45449</v>
      </c>
      <c r="C1301" s="10" t="s">
        <v>874</v>
      </c>
      <c r="D1301" s="10" t="s">
        <v>466</v>
      </c>
      <c r="E1301" s="10" t="s">
        <v>103</v>
      </c>
      <c r="F1301" s="12">
        <v>1</v>
      </c>
      <c r="G1301" s="12">
        <v>1090</v>
      </c>
      <c r="H1301" s="12">
        <v>5.8</v>
      </c>
      <c r="I1301" s="12">
        <v>1026.78</v>
      </c>
      <c r="J1301" s="10" t="s">
        <v>104</v>
      </c>
      <c r="K1301" s="10" t="s">
        <v>63</v>
      </c>
      <c r="L1301" t="str">
        <f>IFERROR(VLOOKUP(D1301,Products!A:F,3,0),"")</f>
        <v>Home</v>
      </c>
      <c r="M1301" t="str">
        <f>IFERROR(VLOOKUP(E1301,Sales_Reps!A:E,3,0),"")</f>
        <v>North</v>
      </c>
      <c r="N1301" t="str">
        <f>IFERROR(VLOOKUP(C1301,Customers!A:F,5,0),"")</f>
        <v>Retail</v>
      </c>
      <c r="O1301">
        <f>IFERROR(VLOOKUP(C1301,Customers!A:F,3,0),"")</f>
        <v>55</v>
      </c>
      <c r="P1301">
        <f>IFERROR(VLOOKUP(D1301,Products!A:F,4,0),"")</f>
        <v>464</v>
      </c>
      <c r="Q1301" t="b">
        <f>IFERROR(VLOOKUP(D1301,Products!A:F,6,0),"")</f>
        <v>1</v>
      </c>
      <c r="R1301">
        <f t="shared" si="60"/>
        <v>0.57431192660550456</v>
      </c>
      <c r="S1301">
        <f t="shared" si="61"/>
        <v>1</v>
      </c>
      <c r="T1301">
        <f>IF(AND(S1301&gt;1,COUNTIF($A$2:A1301,A1301)=1),1,0)</f>
        <v>0</v>
      </c>
      <c r="U1301">
        <f>COUNTIF(Customers!$A$2:$A$301,C1301)</f>
        <v>1</v>
      </c>
      <c r="V1301">
        <f t="shared" si="62"/>
        <v>0</v>
      </c>
    </row>
    <row r="1302" spans="1:22" ht="14.25" customHeight="1" x14ac:dyDescent="0.35">
      <c r="A1302" s="10" t="s">
        <v>1752</v>
      </c>
      <c r="B1302" s="11">
        <v>45560</v>
      </c>
      <c r="C1302" s="10" t="s">
        <v>866</v>
      </c>
      <c r="D1302" s="10" t="s">
        <v>302</v>
      </c>
      <c r="E1302" s="10" t="s">
        <v>267</v>
      </c>
      <c r="F1302" s="12">
        <v>3</v>
      </c>
      <c r="G1302" s="12">
        <v>2210</v>
      </c>
      <c r="H1302" s="12">
        <v>18.2</v>
      </c>
      <c r="I1302" s="12">
        <v>5423.34</v>
      </c>
      <c r="J1302" s="10" t="s">
        <v>57</v>
      </c>
      <c r="K1302" s="10" t="s">
        <v>76</v>
      </c>
      <c r="L1302" t="str">
        <f>IFERROR(VLOOKUP(D1302,Products!A:F,3,0),"")</f>
        <v>Grocery</v>
      </c>
      <c r="M1302" t="str">
        <f>IFERROR(VLOOKUP(E1302,Sales_Reps!A:E,3,0),"")</f>
        <v>East</v>
      </c>
      <c r="N1302" t="str">
        <f>IFERROR(VLOOKUP(C1302,Customers!A:F,5,0),"")</f>
        <v>Retail</v>
      </c>
      <c r="O1302">
        <f>IFERROR(VLOOKUP(C1302,Customers!A:F,3,0),"")</f>
        <v>37</v>
      </c>
      <c r="P1302">
        <f>IFERROR(VLOOKUP(D1302,Products!A:F,4,0),"")</f>
        <v>1010</v>
      </c>
      <c r="Q1302" t="b">
        <f>IFERROR(VLOOKUP(D1302,Products!A:F,6,0),"")</f>
        <v>1</v>
      </c>
      <c r="R1302">
        <f t="shared" si="60"/>
        <v>0.54298642533936647</v>
      </c>
      <c r="S1302">
        <f t="shared" si="61"/>
        <v>1</v>
      </c>
      <c r="T1302">
        <f>IF(AND(S1302&gt;1,COUNTIF($A$2:A1302,A1302)=1),1,0)</f>
        <v>0</v>
      </c>
      <c r="U1302">
        <f>COUNTIF(Customers!$A$2:$A$301,C1302)</f>
        <v>1</v>
      </c>
      <c r="V1302">
        <f t="shared" si="62"/>
        <v>0</v>
      </c>
    </row>
    <row r="1303" spans="1:22" ht="14.25" customHeight="1" x14ac:dyDescent="0.35">
      <c r="A1303" s="10" t="s">
        <v>1753</v>
      </c>
      <c r="B1303" s="11">
        <v>45588</v>
      </c>
      <c r="C1303" s="10" t="s">
        <v>161</v>
      </c>
      <c r="D1303" s="10" t="s">
        <v>49</v>
      </c>
      <c r="E1303" s="10" t="s">
        <v>152</v>
      </c>
      <c r="F1303" s="12">
        <v>8</v>
      </c>
      <c r="G1303" s="12">
        <v>3620</v>
      </c>
      <c r="H1303" s="12">
        <v>1.4</v>
      </c>
      <c r="I1303" s="12">
        <v>28554.560000000001</v>
      </c>
      <c r="J1303" s="10" t="s">
        <v>51</v>
      </c>
      <c r="K1303" s="10" t="s">
        <v>52</v>
      </c>
      <c r="L1303" t="str">
        <f>IFERROR(VLOOKUP(D1303,Products!A:F,3,0),"")</f>
        <v>Apparel</v>
      </c>
      <c r="M1303" t="str">
        <f>IFERROR(VLOOKUP(E1303,Sales_Reps!A:E,3,0),"")</f>
        <v>South</v>
      </c>
      <c r="N1303" t="str">
        <f>IFERROR(VLOOKUP(C1303,Customers!A:F,5,0),"")</f>
        <v>Corporate</v>
      </c>
      <c r="O1303">
        <f>IFERROR(VLOOKUP(C1303,Customers!A:F,3,0),"")</f>
        <v>47</v>
      </c>
      <c r="P1303">
        <f>IFERROR(VLOOKUP(D1303,Products!A:F,4,0),"")</f>
        <v>2509</v>
      </c>
      <c r="Q1303" t="b">
        <f>IFERROR(VLOOKUP(D1303,Products!A:F,6,0),"")</f>
        <v>1</v>
      </c>
      <c r="R1303">
        <f t="shared" si="60"/>
        <v>0.3069060773480663</v>
      </c>
      <c r="S1303">
        <f t="shared" si="61"/>
        <v>1</v>
      </c>
      <c r="T1303">
        <f>IF(AND(S1303&gt;1,COUNTIF($A$2:A1303,A1303)=1),1,0)</f>
        <v>0</v>
      </c>
      <c r="U1303">
        <f>COUNTIF(Customers!$A$2:$A$301,C1303)</f>
        <v>1</v>
      </c>
      <c r="V1303">
        <f t="shared" si="62"/>
        <v>0</v>
      </c>
    </row>
    <row r="1304" spans="1:22" ht="14.25" customHeight="1" x14ac:dyDescent="0.35">
      <c r="A1304" s="10" t="s">
        <v>1754</v>
      </c>
      <c r="B1304" s="11">
        <v>45360</v>
      </c>
      <c r="C1304" s="10" t="s">
        <v>172</v>
      </c>
      <c r="D1304" s="10" t="s">
        <v>259</v>
      </c>
      <c r="E1304" s="10" t="s">
        <v>237</v>
      </c>
      <c r="F1304" s="12">
        <v>7</v>
      </c>
      <c r="G1304" s="12">
        <v>2030</v>
      </c>
      <c r="H1304" s="12">
        <v>27.7</v>
      </c>
      <c r="I1304" s="12">
        <v>10273.83</v>
      </c>
      <c r="J1304" s="10" t="s">
        <v>51</v>
      </c>
      <c r="K1304" s="10" t="s">
        <v>97</v>
      </c>
      <c r="L1304" t="str">
        <f>IFERROR(VLOOKUP(D1304,Products!A:F,3,0),"")</f>
        <v>Home</v>
      </c>
      <c r="M1304" t="str">
        <f>IFERROR(VLOOKUP(E1304,Sales_Reps!A:E,3,0),"")</f>
        <v>South</v>
      </c>
      <c r="N1304" t="str">
        <f>IFERROR(VLOOKUP(C1304,Customers!A:F,5,0),"")</f>
        <v>Retail</v>
      </c>
      <c r="O1304">
        <f>IFERROR(VLOOKUP(C1304,Customers!A:F,3,0),"")</f>
        <v>26</v>
      </c>
      <c r="P1304">
        <f>IFERROR(VLOOKUP(D1304,Products!A:F,4,0),"")</f>
        <v>1143</v>
      </c>
      <c r="Q1304" t="b">
        <f>IFERROR(VLOOKUP(D1304,Products!A:F,6,0),"")</f>
        <v>1</v>
      </c>
      <c r="R1304">
        <f t="shared" si="60"/>
        <v>0.43694581280788175</v>
      </c>
      <c r="S1304">
        <f t="shared" si="61"/>
        <v>1</v>
      </c>
      <c r="T1304">
        <f>IF(AND(S1304&gt;1,COUNTIF($A$2:A1304,A1304)=1),1,0)</f>
        <v>0</v>
      </c>
      <c r="U1304">
        <f>COUNTIF(Customers!$A$2:$A$301,C1304)</f>
        <v>1</v>
      </c>
      <c r="V1304">
        <f t="shared" si="62"/>
        <v>0</v>
      </c>
    </row>
    <row r="1305" spans="1:22" ht="14.25" customHeight="1" x14ac:dyDescent="0.35">
      <c r="A1305" s="10" t="s">
        <v>1755</v>
      </c>
      <c r="B1305" s="11">
        <v>45316</v>
      </c>
      <c r="C1305" s="10" t="s">
        <v>563</v>
      </c>
      <c r="D1305" s="10" t="s">
        <v>212</v>
      </c>
      <c r="E1305" s="10" t="s">
        <v>118</v>
      </c>
      <c r="F1305" s="12">
        <v>1</v>
      </c>
      <c r="G1305" s="12">
        <v>3870</v>
      </c>
      <c r="H1305" s="12">
        <v>29.6</v>
      </c>
      <c r="I1305" s="12">
        <v>2724.48</v>
      </c>
      <c r="J1305" s="10" t="s">
        <v>51</v>
      </c>
      <c r="K1305" s="10" t="s">
        <v>81</v>
      </c>
      <c r="L1305" t="str">
        <f>IFERROR(VLOOKUP(D1305,Products!A:F,3,0),"")</f>
        <v>Electronics</v>
      </c>
      <c r="M1305" t="str">
        <f>IFERROR(VLOOKUP(E1305,Sales_Reps!A:E,3,0),"")</f>
        <v>East</v>
      </c>
      <c r="N1305" t="str">
        <f>IFERROR(VLOOKUP(C1305,Customers!A:F,5,0),"")</f>
        <v>Corporate</v>
      </c>
      <c r="O1305">
        <f>IFERROR(VLOOKUP(C1305,Customers!A:F,3,0),"")</f>
        <v>26</v>
      </c>
      <c r="P1305">
        <f>IFERROR(VLOOKUP(D1305,Products!A:F,4,0),"")</f>
        <v>1559</v>
      </c>
      <c r="Q1305" t="b">
        <f>IFERROR(VLOOKUP(D1305,Products!A:F,6,0),"")</f>
        <v>1</v>
      </c>
      <c r="R1305">
        <f t="shared" si="60"/>
        <v>0.59715762273901807</v>
      </c>
      <c r="S1305">
        <f t="shared" si="61"/>
        <v>1</v>
      </c>
      <c r="T1305">
        <f>IF(AND(S1305&gt;1,COUNTIF($A$2:A1305,A1305)=1),1,0)</f>
        <v>0</v>
      </c>
      <c r="U1305">
        <f>COUNTIF(Customers!$A$2:$A$301,C1305)</f>
        <v>1</v>
      </c>
      <c r="V1305">
        <f t="shared" si="62"/>
        <v>0</v>
      </c>
    </row>
    <row r="1306" spans="1:22" ht="14.25" customHeight="1" x14ac:dyDescent="0.35">
      <c r="A1306" s="10" t="s">
        <v>1756</v>
      </c>
      <c r="B1306" s="11">
        <v>45324</v>
      </c>
      <c r="C1306" s="10" t="s">
        <v>799</v>
      </c>
      <c r="D1306" s="10" t="s">
        <v>151</v>
      </c>
      <c r="E1306" s="10" t="s">
        <v>62</v>
      </c>
      <c r="F1306" s="12">
        <v>5</v>
      </c>
      <c r="G1306" s="12">
        <v>3570</v>
      </c>
      <c r="H1306" s="12">
        <v>11.8</v>
      </c>
      <c r="I1306" s="12">
        <v>15743.7</v>
      </c>
      <c r="J1306" s="10" t="s">
        <v>108</v>
      </c>
      <c r="K1306" s="10" t="s">
        <v>81</v>
      </c>
      <c r="L1306" t="str">
        <f>IFERROR(VLOOKUP(D1306,Products!A:F,3,0),"")</f>
        <v>Electronics</v>
      </c>
      <c r="M1306" t="str">
        <f>IFERROR(VLOOKUP(E1306,Sales_Reps!A:E,3,0),"")</f>
        <v>South</v>
      </c>
      <c r="N1306" t="str">
        <f>IFERROR(VLOOKUP(C1306,Customers!A:F,5,0),"")</f>
        <v>Retail</v>
      </c>
      <c r="O1306">
        <f>IFERROR(VLOOKUP(C1306,Customers!A:F,3,0),"")</f>
        <v>52</v>
      </c>
      <c r="P1306">
        <f>IFERROR(VLOOKUP(D1306,Products!A:F,4,0),"")</f>
        <v>1665</v>
      </c>
      <c r="Q1306" t="b">
        <f>IFERROR(VLOOKUP(D1306,Products!A:F,6,0),"")</f>
        <v>1</v>
      </c>
      <c r="R1306">
        <f t="shared" si="60"/>
        <v>0.53361344537815125</v>
      </c>
      <c r="S1306">
        <f t="shared" si="61"/>
        <v>1</v>
      </c>
      <c r="T1306">
        <f>IF(AND(S1306&gt;1,COUNTIF($A$2:A1306,A1306)=1),1,0)</f>
        <v>0</v>
      </c>
      <c r="U1306">
        <f>COUNTIF(Customers!$A$2:$A$301,C1306)</f>
        <v>1</v>
      </c>
      <c r="V1306">
        <f t="shared" si="62"/>
        <v>0</v>
      </c>
    </row>
    <row r="1307" spans="1:22" ht="14.25" customHeight="1" x14ac:dyDescent="0.35">
      <c r="A1307" s="10" t="s">
        <v>1757</v>
      </c>
      <c r="B1307" s="11">
        <v>45650</v>
      </c>
      <c r="C1307" s="10" t="s">
        <v>1068</v>
      </c>
      <c r="D1307" s="10" t="s">
        <v>328</v>
      </c>
      <c r="E1307" s="10" t="s">
        <v>85</v>
      </c>
      <c r="F1307" s="12">
        <v>7</v>
      </c>
      <c r="G1307" s="12">
        <v>5330</v>
      </c>
      <c r="H1307" s="12">
        <v>8.1999999999999993</v>
      </c>
      <c r="I1307" s="12">
        <v>34250.58</v>
      </c>
      <c r="J1307" s="10" t="s">
        <v>51</v>
      </c>
      <c r="K1307" s="10" t="s">
        <v>81</v>
      </c>
      <c r="L1307" t="str">
        <f>IFERROR(VLOOKUP(D1307,Products!A:F,3,0),"")</f>
        <v>Electronics</v>
      </c>
      <c r="M1307" t="str">
        <f>IFERROR(VLOOKUP(E1307,Sales_Reps!A:E,3,0),"")</f>
        <v>East</v>
      </c>
      <c r="N1307" t="str">
        <f>IFERROR(VLOOKUP(C1307,Customers!A:F,5,0),"")</f>
        <v>Corporate</v>
      </c>
      <c r="O1307">
        <f>IFERROR(VLOOKUP(C1307,Customers!A:F,3,0),"")</f>
        <v>31</v>
      </c>
      <c r="P1307">
        <f>IFERROR(VLOOKUP(D1307,Products!A:F,4,0),"")</f>
        <v>2405</v>
      </c>
      <c r="Q1307" t="b">
        <f>IFERROR(VLOOKUP(D1307,Products!A:F,6,0),"")</f>
        <v>1</v>
      </c>
      <c r="R1307">
        <f t="shared" si="60"/>
        <v>0.54878048780487809</v>
      </c>
      <c r="S1307">
        <f t="shared" si="61"/>
        <v>1</v>
      </c>
      <c r="T1307">
        <f>IF(AND(S1307&gt;1,COUNTIF($A$2:A1307,A1307)=1),1,0)</f>
        <v>0</v>
      </c>
      <c r="U1307">
        <f>COUNTIF(Customers!$A$2:$A$301,C1307)</f>
        <v>1</v>
      </c>
      <c r="V1307">
        <f t="shared" si="62"/>
        <v>0</v>
      </c>
    </row>
    <row r="1308" spans="1:22" ht="14.25" customHeight="1" x14ac:dyDescent="0.35">
      <c r="A1308" s="10" t="s">
        <v>1758</v>
      </c>
      <c r="B1308" s="11">
        <v>45564</v>
      </c>
      <c r="C1308" s="10" t="s">
        <v>771</v>
      </c>
      <c r="D1308" s="10" t="s">
        <v>231</v>
      </c>
      <c r="E1308" s="10" t="s">
        <v>168</v>
      </c>
      <c r="F1308" s="12">
        <v>5</v>
      </c>
      <c r="G1308" s="12">
        <v>1220</v>
      </c>
      <c r="H1308" s="12">
        <v>17.8</v>
      </c>
      <c r="I1308" s="12">
        <v>5014.2</v>
      </c>
      <c r="J1308" s="10" t="s">
        <v>108</v>
      </c>
      <c r="K1308" s="10" t="s">
        <v>52</v>
      </c>
      <c r="L1308" t="str">
        <f>IFERROR(VLOOKUP(D1308,Products!A:F,3,0),"")</f>
        <v>Electronics</v>
      </c>
      <c r="M1308" t="str">
        <f>IFERROR(VLOOKUP(E1308,Sales_Reps!A:E,3,0),"")</f>
        <v>South</v>
      </c>
      <c r="N1308" t="str">
        <f>IFERROR(VLOOKUP(C1308,Customers!A:F,5,0),"")</f>
        <v>Retail</v>
      </c>
      <c r="O1308">
        <f>IFERROR(VLOOKUP(C1308,Customers!A:F,3,0),"")</f>
        <v>36</v>
      </c>
      <c r="P1308">
        <f>IFERROR(VLOOKUP(D1308,Products!A:F,4,0),"")</f>
        <v>517</v>
      </c>
      <c r="Q1308" t="b">
        <f>IFERROR(VLOOKUP(D1308,Products!A:F,6,0),"")</f>
        <v>1</v>
      </c>
      <c r="R1308">
        <f t="shared" si="60"/>
        <v>0.57622950819672136</v>
      </c>
      <c r="S1308">
        <f t="shared" si="61"/>
        <v>1</v>
      </c>
      <c r="T1308">
        <f>IF(AND(S1308&gt;1,COUNTIF($A$2:A1308,A1308)=1),1,0)</f>
        <v>0</v>
      </c>
      <c r="U1308">
        <f>COUNTIF(Customers!$A$2:$A$301,C1308)</f>
        <v>1</v>
      </c>
      <c r="V1308">
        <f t="shared" si="62"/>
        <v>0</v>
      </c>
    </row>
    <row r="1309" spans="1:22" ht="14.25" customHeight="1" x14ac:dyDescent="0.35">
      <c r="A1309" s="10" t="s">
        <v>1759</v>
      </c>
      <c r="B1309" s="11">
        <v>45587</v>
      </c>
      <c r="C1309" s="10" t="s">
        <v>127</v>
      </c>
      <c r="D1309" s="10" t="s">
        <v>416</v>
      </c>
      <c r="E1309" s="10" t="s">
        <v>85</v>
      </c>
      <c r="F1309" s="12">
        <v>7</v>
      </c>
      <c r="G1309" s="12">
        <v>3450</v>
      </c>
      <c r="H1309" s="12">
        <v>29.3</v>
      </c>
      <c r="I1309" s="12">
        <v>17074.05</v>
      </c>
      <c r="J1309" s="10" t="s">
        <v>51</v>
      </c>
      <c r="K1309" s="10" t="s">
        <v>58</v>
      </c>
      <c r="L1309" t="str">
        <f>IFERROR(VLOOKUP(D1309,Products!A:F,3,0),"")</f>
        <v>Apparel</v>
      </c>
      <c r="M1309" t="str">
        <f>IFERROR(VLOOKUP(E1309,Sales_Reps!A:E,3,0),"")</f>
        <v>East</v>
      </c>
      <c r="N1309" t="str">
        <f>IFERROR(VLOOKUP(C1309,Customers!A:F,5,0),"")</f>
        <v>Retail</v>
      </c>
      <c r="O1309">
        <f>IFERROR(VLOOKUP(C1309,Customers!A:F,3,0),"")</f>
        <v>49</v>
      </c>
      <c r="P1309">
        <f>IFERROR(VLOOKUP(D1309,Products!A:F,4,0),"")</f>
        <v>1748</v>
      </c>
      <c r="Q1309" t="b">
        <f>IFERROR(VLOOKUP(D1309,Products!A:F,6,0),"")</f>
        <v>1</v>
      </c>
      <c r="R1309">
        <f t="shared" si="60"/>
        <v>0.49333333333333335</v>
      </c>
      <c r="S1309">
        <f t="shared" si="61"/>
        <v>1</v>
      </c>
      <c r="T1309">
        <f>IF(AND(S1309&gt;1,COUNTIF($A$2:A1309,A1309)=1),1,0)</f>
        <v>0</v>
      </c>
      <c r="U1309">
        <f>COUNTIF(Customers!$A$2:$A$301,C1309)</f>
        <v>1</v>
      </c>
      <c r="V1309">
        <f t="shared" si="62"/>
        <v>0</v>
      </c>
    </row>
    <row r="1310" spans="1:22" ht="14.25" customHeight="1" x14ac:dyDescent="0.35">
      <c r="A1310" s="10" t="s">
        <v>1760</v>
      </c>
      <c r="B1310" s="11">
        <v>45538</v>
      </c>
      <c r="C1310" s="10" t="s">
        <v>581</v>
      </c>
      <c r="D1310" s="10" t="s">
        <v>623</v>
      </c>
      <c r="E1310" s="10" t="s">
        <v>216</v>
      </c>
      <c r="F1310" s="12">
        <v>6</v>
      </c>
      <c r="G1310" s="12">
        <v>3560</v>
      </c>
      <c r="H1310" s="12">
        <v>9.4</v>
      </c>
      <c r="I1310" s="12">
        <v>19352.16</v>
      </c>
      <c r="J1310" s="10" t="s">
        <v>57</v>
      </c>
      <c r="K1310" s="10" t="s">
        <v>76</v>
      </c>
      <c r="L1310" t="str">
        <f>IFERROR(VLOOKUP(D1310,Products!A:F,3,0),"")</f>
        <v>Apparel</v>
      </c>
      <c r="M1310" t="str">
        <f>IFERROR(VLOOKUP(E1310,Sales_Reps!A:E,3,0),"")</f>
        <v>South</v>
      </c>
      <c r="N1310" t="str">
        <f>IFERROR(VLOOKUP(C1310,Customers!A:F,5,0),"")</f>
        <v>SMB</v>
      </c>
      <c r="O1310">
        <f>IFERROR(VLOOKUP(C1310,Customers!A:F,3,0),"")</f>
        <v>65</v>
      </c>
      <c r="P1310">
        <f>IFERROR(VLOOKUP(D1310,Products!A:F,4,0),"")</f>
        <v>2629</v>
      </c>
      <c r="Q1310" t="b">
        <f>IFERROR(VLOOKUP(D1310,Products!A:F,6,0),"")</f>
        <v>1</v>
      </c>
      <c r="R1310">
        <f t="shared" si="60"/>
        <v>0.26151685393258428</v>
      </c>
      <c r="S1310">
        <f t="shared" si="61"/>
        <v>1</v>
      </c>
      <c r="T1310">
        <f>IF(AND(S1310&gt;1,COUNTIF($A$2:A1310,A1310)=1),1,0)</f>
        <v>0</v>
      </c>
      <c r="U1310">
        <f>COUNTIF(Customers!$A$2:$A$301,C1310)</f>
        <v>1</v>
      </c>
      <c r="V1310">
        <f t="shared" si="62"/>
        <v>0</v>
      </c>
    </row>
    <row r="1311" spans="1:22" ht="14.25" customHeight="1" x14ac:dyDescent="0.35">
      <c r="A1311" s="10" t="s">
        <v>1761</v>
      </c>
      <c r="B1311" s="11">
        <v>45385</v>
      </c>
      <c r="C1311" s="10" t="s">
        <v>468</v>
      </c>
      <c r="D1311" s="10" t="s">
        <v>74</v>
      </c>
      <c r="E1311" s="10" t="s">
        <v>56</v>
      </c>
      <c r="F1311" s="12">
        <v>4</v>
      </c>
      <c r="G1311" s="12">
        <v>370</v>
      </c>
      <c r="H1311" s="12">
        <v>4.9000000000000004</v>
      </c>
      <c r="I1311" s="12">
        <v>1407.48</v>
      </c>
      <c r="J1311" s="10" t="s">
        <v>51</v>
      </c>
      <c r="K1311" s="10" t="s">
        <v>81</v>
      </c>
      <c r="L1311" t="str">
        <f>IFERROR(VLOOKUP(D1311,Products!A:F,3,0),"")</f>
        <v>Home</v>
      </c>
      <c r="M1311" t="str">
        <f>IFERROR(VLOOKUP(E1311,Sales_Reps!A:E,3,0),"")</f>
        <v>North</v>
      </c>
      <c r="N1311" t="str">
        <f>IFERROR(VLOOKUP(C1311,Customers!A:F,5,0),"")</f>
        <v>Corporate</v>
      </c>
      <c r="O1311">
        <f>IFERROR(VLOOKUP(C1311,Customers!A:F,3,0),"")</f>
        <v>36</v>
      </c>
      <c r="P1311">
        <f>IFERROR(VLOOKUP(D1311,Products!A:F,4,0),"")</f>
        <v>288</v>
      </c>
      <c r="Q1311" t="b">
        <f>IFERROR(VLOOKUP(D1311,Products!A:F,6,0),"")</f>
        <v>1</v>
      </c>
      <c r="R1311">
        <f t="shared" si="60"/>
        <v>0.22162162162162163</v>
      </c>
      <c r="S1311">
        <f t="shared" si="61"/>
        <v>1</v>
      </c>
      <c r="T1311">
        <f>IF(AND(S1311&gt;1,COUNTIF($A$2:A1311,A1311)=1),1,0)</f>
        <v>0</v>
      </c>
      <c r="U1311">
        <f>COUNTIF(Customers!$A$2:$A$301,C1311)</f>
        <v>1</v>
      </c>
      <c r="V1311">
        <f t="shared" si="62"/>
        <v>0</v>
      </c>
    </row>
    <row r="1312" spans="1:22" ht="14.25" customHeight="1" x14ac:dyDescent="0.35">
      <c r="A1312" s="10" t="s">
        <v>1762</v>
      </c>
      <c r="B1312" s="11">
        <v>45647</v>
      </c>
      <c r="C1312" s="10" t="s">
        <v>684</v>
      </c>
      <c r="D1312" s="10" t="s">
        <v>231</v>
      </c>
      <c r="E1312" s="10" t="s">
        <v>112</v>
      </c>
      <c r="F1312" s="12">
        <v>1</v>
      </c>
      <c r="G1312" s="12">
        <v>1220</v>
      </c>
      <c r="H1312" s="12">
        <v>15.2</v>
      </c>
      <c r="I1312" s="12">
        <v>1034.56</v>
      </c>
      <c r="J1312" s="10" t="s">
        <v>51</v>
      </c>
      <c r="K1312" s="10" t="s">
        <v>52</v>
      </c>
      <c r="L1312" t="str">
        <f>IFERROR(VLOOKUP(D1312,Products!A:F,3,0),"")</f>
        <v>Electronics</v>
      </c>
      <c r="M1312" t="str">
        <f>IFERROR(VLOOKUP(E1312,Sales_Reps!A:E,3,0),"")</f>
        <v>North</v>
      </c>
      <c r="N1312" t="str">
        <f>IFERROR(VLOOKUP(C1312,Customers!A:F,5,0),"")</f>
        <v>Retail</v>
      </c>
      <c r="O1312">
        <f>IFERROR(VLOOKUP(C1312,Customers!A:F,3,0),"")</f>
        <v>48</v>
      </c>
      <c r="P1312">
        <f>IFERROR(VLOOKUP(D1312,Products!A:F,4,0),"")</f>
        <v>517</v>
      </c>
      <c r="Q1312" t="b">
        <f>IFERROR(VLOOKUP(D1312,Products!A:F,6,0),"")</f>
        <v>1</v>
      </c>
      <c r="R1312">
        <f t="shared" si="60"/>
        <v>0.57622950819672136</v>
      </c>
      <c r="S1312">
        <f t="shared" si="61"/>
        <v>1</v>
      </c>
      <c r="T1312">
        <f>IF(AND(S1312&gt;1,COUNTIF($A$2:A1312,A1312)=1),1,0)</f>
        <v>0</v>
      </c>
      <c r="U1312">
        <f>COUNTIF(Customers!$A$2:$A$301,C1312)</f>
        <v>1</v>
      </c>
      <c r="V1312">
        <f t="shared" si="62"/>
        <v>0</v>
      </c>
    </row>
    <row r="1313" spans="1:22" ht="14.25" customHeight="1" x14ac:dyDescent="0.35">
      <c r="A1313" s="10" t="s">
        <v>1763</v>
      </c>
      <c r="B1313" s="11">
        <v>45466</v>
      </c>
      <c r="C1313" s="10" t="s">
        <v>766</v>
      </c>
      <c r="D1313" s="10" t="s">
        <v>201</v>
      </c>
      <c r="E1313" s="10" t="s">
        <v>67</v>
      </c>
      <c r="F1313" s="12">
        <v>3</v>
      </c>
      <c r="G1313" s="12">
        <v>3640</v>
      </c>
      <c r="H1313" s="12">
        <v>12.3</v>
      </c>
      <c r="I1313" s="12">
        <v>9576.84</v>
      </c>
      <c r="J1313" s="10" t="s">
        <v>57</v>
      </c>
      <c r="K1313" s="10" t="s">
        <v>58</v>
      </c>
      <c r="L1313" t="str">
        <f>IFERROR(VLOOKUP(D1313,Products!A:F,3,0),"")</f>
        <v>Apparel</v>
      </c>
      <c r="M1313" t="str">
        <f>IFERROR(VLOOKUP(E1313,Sales_Reps!A:E,3,0),"")</f>
        <v>North</v>
      </c>
      <c r="N1313" t="str">
        <f>IFERROR(VLOOKUP(C1313,Customers!A:F,5,0),"")</f>
        <v>SMB</v>
      </c>
      <c r="O1313">
        <f>IFERROR(VLOOKUP(C1313,Customers!A:F,3,0),"")</f>
        <v>39</v>
      </c>
      <c r="P1313">
        <f>IFERROR(VLOOKUP(D1313,Products!A:F,4,0),"")</f>
        <v>2611</v>
      </c>
      <c r="Q1313" t="b">
        <f>IFERROR(VLOOKUP(D1313,Products!A:F,6,0),"")</f>
        <v>1</v>
      </c>
      <c r="R1313">
        <f t="shared" si="60"/>
        <v>0.28269230769230769</v>
      </c>
      <c r="S1313">
        <f t="shared" si="61"/>
        <v>1</v>
      </c>
      <c r="T1313">
        <f>IF(AND(S1313&gt;1,COUNTIF($A$2:A1313,A1313)=1),1,0)</f>
        <v>0</v>
      </c>
      <c r="U1313">
        <f>COUNTIF(Customers!$A$2:$A$301,C1313)</f>
        <v>1</v>
      </c>
      <c r="V1313">
        <f t="shared" si="62"/>
        <v>0</v>
      </c>
    </row>
    <row r="1314" spans="1:22" ht="14.25" customHeight="1" x14ac:dyDescent="0.35">
      <c r="A1314" s="10" t="s">
        <v>1764</v>
      </c>
      <c r="B1314" s="11">
        <v>45559</v>
      </c>
      <c r="C1314" s="10" t="s">
        <v>836</v>
      </c>
      <c r="D1314" s="10" t="s">
        <v>240</v>
      </c>
      <c r="E1314" s="10" t="s">
        <v>96</v>
      </c>
      <c r="F1314" s="12">
        <v>8</v>
      </c>
      <c r="G1314" s="12">
        <v>3020</v>
      </c>
      <c r="H1314" s="12">
        <v>28.2</v>
      </c>
      <c r="I1314" s="12">
        <v>17346.88</v>
      </c>
      <c r="J1314" s="10" t="s">
        <v>57</v>
      </c>
      <c r="K1314" s="10" t="s">
        <v>76</v>
      </c>
      <c r="L1314" t="str">
        <f>IFERROR(VLOOKUP(D1314,Products!A:F,3,0),"")</f>
        <v>Beauty</v>
      </c>
      <c r="M1314" t="str">
        <f>IFERROR(VLOOKUP(E1314,Sales_Reps!A:E,3,0),"")</f>
        <v>South</v>
      </c>
      <c r="N1314" t="str">
        <f>IFERROR(VLOOKUP(C1314,Customers!A:F,5,0),"")</f>
        <v>Corporate</v>
      </c>
      <c r="O1314">
        <f>IFERROR(VLOOKUP(C1314,Customers!A:F,3,0),"")</f>
        <v>62</v>
      </c>
      <c r="P1314">
        <f>IFERROR(VLOOKUP(D1314,Products!A:F,4,0),"")</f>
        <v>1626</v>
      </c>
      <c r="Q1314" t="b">
        <f>IFERROR(VLOOKUP(D1314,Products!A:F,6,0),"")</f>
        <v>1</v>
      </c>
      <c r="R1314">
        <f t="shared" si="60"/>
        <v>0.46158940397350995</v>
      </c>
      <c r="S1314">
        <f t="shared" si="61"/>
        <v>1</v>
      </c>
      <c r="T1314">
        <f>IF(AND(S1314&gt;1,COUNTIF($A$2:A1314,A1314)=1),1,0)</f>
        <v>0</v>
      </c>
      <c r="U1314">
        <f>COUNTIF(Customers!$A$2:$A$301,C1314)</f>
        <v>1</v>
      </c>
      <c r="V1314">
        <f t="shared" si="62"/>
        <v>0</v>
      </c>
    </row>
    <row r="1315" spans="1:22" ht="14.25" customHeight="1" x14ac:dyDescent="0.35">
      <c r="A1315" s="10" t="s">
        <v>1765</v>
      </c>
      <c r="B1315" s="11">
        <v>45469</v>
      </c>
      <c r="C1315" s="10" t="s">
        <v>619</v>
      </c>
      <c r="D1315" s="10" t="s">
        <v>155</v>
      </c>
      <c r="E1315" s="10" t="s">
        <v>71</v>
      </c>
      <c r="F1315" s="12">
        <v>3</v>
      </c>
      <c r="G1315" s="12">
        <v>5100</v>
      </c>
      <c r="H1315" s="12">
        <v>7.8</v>
      </c>
      <c r="I1315" s="12">
        <v>14106.6</v>
      </c>
      <c r="J1315" s="10" t="s">
        <v>51</v>
      </c>
      <c r="K1315" s="10" t="s">
        <v>97</v>
      </c>
      <c r="L1315" t="str">
        <f>IFERROR(VLOOKUP(D1315,Products!A:F,3,0),"")</f>
        <v>Beauty</v>
      </c>
      <c r="M1315" t="str">
        <f>IFERROR(VLOOKUP(E1315,Sales_Reps!A:E,3,0),"")</f>
        <v>North</v>
      </c>
      <c r="N1315" t="str">
        <f>IFERROR(VLOOKUP(C1315,Customers!A:F,5,0),"")</f>
        <v>Retail</v>
      </c>
      <c r="O1315">
        <f>IFERROR(VLOOKUP(C1315,Customers!A:F,3,0),"")</f>
        <v>27</v>
      </c>
      <c r="P1315">
        <f>IFERROR(VLOOKUP(D1315,Products!A:F,4,0),"")</f>
        <v>2237</v>
      </c>
      <c r="Q1315" t="b">
        <f>IFERROR(VLOOKUP(D1315,Products!A:F,6,0),"")</f>
        <v>1</v>
      </c>
      <c r="R1315">
        <f t="shared" si="60"/>
        <v>0.56137254901960787</v>
      </c>
      <c r="S1315">
        <f t="shared" si="61"/>
        <v>1</v>
      </c>
      <c r="T1315">
        <f>IF(AND(S1315&gt;1,COUNTIF($A$2:A1315,A1315)=1),1,0)</f>
        <v>0</v>
      </c>
      <c r="U1315">
        <f>COUNTIF(Customers!$A$2:$A$301,C1315)</f>
        <v>1</v>
      </c>
      <c r="V1315">
        <f t="shared" si="62"/>
        <v>0</v>
      </c>
    </row>
    <row r="1316" spans="1:22" ht="14.25" customHeight="1" x14ac:dyDescent="0.35">
      <c r="A1316" s="10" t="s">
        <v>1766</v>
      </c>
      <c r="B1316" s="11">
        <v>45407</v>
      </c>
      <c r="C1316" s="10" t="s">
        <v>449</v>
      </c>
      <c r="D1316" s="10" t="s">
        <v>246</v>
      </c>
      <c r="E1316" s="10" t="s">
        <v>179</v>
      </c>
      <c r="F1316" s="12">
        <v>9</v>
      </c>
      <c r="G1316" s="12">
        <v>300</v>
      </c>
      <c r="H1316" s="12">
        <v>19</v>
      </c>
      <c r="I1316" s="12">
        <v>2187</v>
      </c>
      <c r="J1316" s="10" t="s">
        <v>51</v>
      </c>
      <c r="K1316" s="10" t="s">
        <v>52</v>
      </c>
      <c r="L1316" t="str">
        <f>IFERROR(VLOOKUP(D1316,Products!A:F,3,0),"")</f>
        <v>Electronics</v>
      </c>
      <c r="M1316" t="str">
        <f>IFERROR(VLOOKUP(E1316,Sales_Reps!A:E,3,0),"")</f>
        <v>North</v>
      </c>
      <c r="N1316" t="str">
        <f>IFERROR(VLOOKUP(C1316,Customers!A:F,5,0),"")</f>
        <v>Retail</v>
      </c>
      <c r="O1316">
        <f>IFERROR(VLOOKUP(C1316,Customers!A:F,3,0),"")</f>
        <v>49</v>
      </c>
      <c r="P1316">
        <f>IFERROR(VLOOKUP(D1316,Products!A:F,4,0),"")</f>
        <v>128</v>
      </c>
      <c r="Q1316" t="b">
        <f>IFERROR(VLOOKUP(D1316,Products!A:F,6,0),"")</f>
        <v>1</v>
      </c>
      <c r="R1316">
        <f t="shared" si="60"/>
        <v>0.57333333333333336</v>
      </c>
      <c r="S1316">
        <f t="shared" si="61"/>
        <v>1</v>
      </c>
      <c r="T1316">
        <f>IF(AND(S1316&gt;1,COUNTIF($A$2:A1316,A1316)=1),1,0)</f>
        <v>0</v>
      </c>
      <c r="U1316">
        <f>COUNTIF(Customers!$A$2:$A$301,C1316)</f>
        <v>1</v>
      </c>
      <c r="V1316">
        <f t="shared" si="62"/>
        <v>0</v>
      </c>
    </row>
    <row r="1317" spans="1:22" ht="14.25" customHeight="1" x14ac:dyDescent="0.35">
      <c r="A1317" s="10" t="s">
        <v>1767</v>
      </c>
      <c r="B1317" s="11">
        <v>45634</v>
      </c>
      <c r="C1317" s="10" t="s">
        <v>158</v>
      </c>
      <c r="D1317" s="10" t="s">
        <v>350</v>
      </c>
      <c r="E1317" s="10" t="s">
        <v>50</v>
      </c>
      <c r="F1317" s="12">
        <v>10</v>
      </c>
      <c r="G1317" s="12">
        <v>2290</v>
      </c>
      <c r="H1317" s="12">
        <v>27.7</v>
      </c>
      <c r="I1317" s="12">
        <v>16556.7</v>
      </c>
      <c r="J1317" s="10" t="s">
        <v>51</v>
      </c>
      <c r="K1317" s="10" t="s">
        <v>52</v>
      </c>
      <c r="L1317" t="str">
        <f>IFERROR(VLOOKUP(D1317,Products!A:F,3,0),"")</f>
        <v>Beauty</v>
      </c>
      <c r="M1317" t="str">
        <f>IFERROR(VLOOKUP(E1317,Sales_Reps!A:E,3,0),"")</f>
        <v>North</v>
      </c>
      <c r="N1317" t="str">
        <f>IFERROR(VLOOKUP(C1317,Customers!A:F,5,0),"")</f>
        <v>SMB</v>
      </c>
      <c r="O1317">
        <f>IFERROR(VLOOKUP(C1317,Customers!A:F,3,0),"")</f>
        <v>44</v>
      </c>
      <c r="P1317">
        <f>IFERROR(VLOOKUP(D1317,Products!A:F,4,0),"")</f>
        <v>1219</v>
      </c>
      <c r="Q1317" t="b">
        <f>IFERROR(VLOOKUP(D1317,Products!A:F,6,0),"")</f>
        <v>1</v>
      </c>
      <c r="R1317">
        <f t="shared" si="60"/>
        <v>0.46768558951965067</v>
      </c>
      <c r="S1317">
        <f t="shared" si="61"/>
        <v>1</v>
      </c>
      <c r="T1317">
        <f>IF(AND(S1317&gt;1,COUNTIF($A$2:A1317,A1317)=1),1,0)</f>
        <v>0</v>
      </c>
      <c r="U1317">
        <f>COUNTIF(Customers!$A$2:$A$301,C1317)</f>
        <v>1</v>
      </c>
      <c r="V1317">
        <f t="shared" si="62"/>
        <v>0</v>
      </c>
    </row>
    <row r="1318" spans="1:22" ht="14.25" customHeight="1" x14ac:dyDescent="0.35">
      <c r="A1318" s="10" t="s">
        <v>1768</v>
      </c>
      <c r="B1318" s="11">
        <v>45454</v>
      </c>
      <c r="C1318" s="10" t="s">
        <v>142</v>
      </c>
      <c r="D1318" s="10" t="s">
        <v>201</v>
      </c>
      <c r="E1318" s="10" t="s">
        <v>80</v>
      </c>
      <c r="F1318" s="12">
        <v>9</v>
      </c>
      <c r="G1318" s="12">
        <v>3640</v>
      </c>
      <c r="H1318" s="12">
        <v>20.100000000000001</v>
      </c>
      <c r="I1318" s="12">
        <v>26175.24</v>
      </c>
      <c r="J1318" s="10" t="s">
        <v>51</v>
      </c>
      <c r="K1318" s="10" t="s">
        <v>58</v>
      </c>
      <c r="L1318" t="str">
        <f>IFERROR(VLOOKUP(D1318,Products!A:F,3,0),"")</f>
        <v>Apparel</v>
      </c>
      <c r="M1318" t="str">
        <f>IFERROR(VLOOKUP(E1318,Sales_Reps!A:E,3,0),"")</f>
        <v>West</v>
      </c>
      <c r="N1318" t="str">
        <f>IFERROR(VLOOKUP(C1318,Customers!A:F,5,0),"")</f>
        <v>Corporate</v>
      </c>
      <c r="O1318">
        <f>IFERROR(VLOOKUP(C1318,Customers!A:F,3,0),"")</f>
        <v>55</v>
      </c>
      <c r="P1318">
        <f>IFERROR(VLOOKUP(D1318,Products!A:F,4,0),"")</f>
        <v>2611</v>
      </c>
      <c r="Q1318" t="b">
        <f>IFERROR(VLOOKUP(D1318,Products!A:F,6,0),"")</f>
        <v>1</v>
      </c>
      <c r="R1318">
        <f t="shared" si="60"/>
        <v>0.28269230769230769</v>
      </c>
      <c r="S1318">
        <f t="shared" si="61"/>
        <v>1</v>
      </c>
      <c r="T1318">
        <f>IF(AND(S1318&gt;1,COUNTIF($A$2:A1318,A1318)=1),1,0)</f>
        <v>0</v>
      </c>
      <c r="U1318">
        <f>COUNTIF(Customers!$A$2:$A$301,C1318)</f>
        <v>1</v>
      </c>
      <c r="V1318">
        <f t="shared" si="62"/>
        <v>0</v>
      </c>
    </row>
    <row r="1319" spans="1:22" ht="14.25" customHeight="1" x14ac:dyDescent="0.35">
      <c r="A1319" s="10" t="s">
        <v>1769</v>
      </c>
      <c r="B1319" s="11">
        <v>45565</v>
      </c>
      <c r="C1319" s="10" t="s">
        <v>570</v>
      </c>
      <c r="D1319" s="10" t="s">
        <v>55</v>
      </c>
      <c r="E1319" s="10" t="s">
        <v>249</v>
      </c>
      <c r="F1319" s="12">
        <v>4</v>
      </c>
      <c r="G1319" s="12">
        <v>820</v>
      </c>
      <c r="H1319" s="12">
        <v>7.6</v>
      </c>
      <c r="I1319" s="12">
        <v>3030.72</v>
      </c>
      <c r="J1319" s="10" t="s">
        <v>51</v>
      </c>
      <c r="K1319" s="10" t="s">
        <v>76</v>
      </c>
      <c r="L1319" t="str">
        <f>IFERROR(VLOOKUP(D1319,Products!A:F,3,0),"")</f>
        <v>Apparel</v>
      </c>
      <c r="M1319" t="str">
        <f>IFERROR(VLOOKUP(E1319,Sales_Reps!A:E,3,0),"")</f>
        <v>East</v>
      </c>
      <c r="N1319" t="str">
        <f>IFERROR(VLOOKUP(C1319,Customers!A:F,5,0),"")</f>
        <v>Retail</v>
      </c>
      <c r="O1319">
        <f>IFERROR(VLOOKUP(C1319,Customers!A:F,3,0),"")</f>
        <v>52</v>
      </c>
      <c r="P1319">
        <f>IFERROR(VLOOKUP(D1319,Products!A:F,4,0),"")</f>
        <v>391</v>
      </c>
      <c r="Q1319" t="b">
        <f>IFERROR(VLOOKUP(D1319,Products!A:F,6,0),"")</f>
        <v>1</v>
      </c>
      <c r="R1319">
        <f t="shared" si="60"/>
        <v>0.52317073170731709</v>
      </c>
      <c r="S1319">
        <f t="shared" si="61"/>
        <v>1</v>
      </c>
      <c r="T1319">
        <f>IF(AND(S1319&gt;1,COUNTIF($A$2:A1319,A1319)=1),1,0)</f>
        <v>0</v>
      </c>
      <c r="U1319">
        <f>COUNTIF(Customers!$A$2:$A$301,C1319)</f>
        <v>1</v>
      </c>
      <c r="V1319">
        <f t="shared" si="62"/>
        <v>0</v>
      </c>
    </row>
    <row r="1320" spans="1:22" ht="14.25" customHeight="1" x14ac:dyDescent="0.35">
      <c r="A1320" s="10" t="s">
        <v>1770</v>
      </c>
      <c r="B1320" s="11">
        <v>45443</v>
      </c>
      <c r="C1320" s="10" t="s">
        <v>1322</v>
      </c>
      <c r="D1320" s="10" t="s">
        <v>91</v>
      </c>
      <c r="E1320" s="10" t="s">
        <v>62</v>
      </c>
      <c r="F1320" s="12">
        <v>1</v>
      </c>
      <c r="G1320" s="12">
        <v>970</v>
      </c>
      <c r="H1320" s="12">
        <v>1.7</v>
      </c>
      <c r="I1320" s="12">
        <v>953.51</v>
      </c>
      <c r="J1320" s="10" t="s">
        <v>51</v>
      </c>
      <c r="K1320" s="10" t="s">
        <v>76</v>
      </c>
      <c r="L1320" t="str">
        <f>IFERROR(VLOOKUP(D1320,Products!A:F,3,0),"")</f>
        <v>Grocery</v>
      </c>
      <c r="M1320" t="str">
        <f>IFERROR(VLOOKUP(E1320,Sales_Reps!A:E,3,0),"")</f>
        <v>South</v>
      </c>
      <c r="N1320" t="str">
        <f>IFERROR(VLOOKUP(C1320,Customers!A:F,5,0),"")</f>
        <v>Corporate</v>
      </c>
      <c r="O1320">
        <f>IFERROR(VLOOKUP(C1320,Customers!A:F,3,0),"")</f>
        <v>42</v>
      </c>
      <c r="P1320">
        <f>IFERROR(VLOOKUP(D1320,Products!A:F,4,0),"")</f>
        <v>434</v>
      </c>
      <c r="Q1320" t="b">
        <f>IFERROR(VLOOKUP(D1320,Products!A:F,6,0),"")</f>
        <v>1</v>
      </c>
      <c r="R1320">
        <f t="shared" si="60"/>
        <v>0.5525773195876289</v>
      </c>
      <c r="S1320">
        <f t="shared" si="61"/>
        <v>1</v>
      </c>
      <c r="T1320">
        <f>IF(AND(S1320&gt;1,COUNTIF($A$2:A1320,A1320)=1),1,0)</f>
        <v>0</v>
      </c>
      <c r="U1320">
        <f>COUNTIF(Customers!$A$2:$A$301,C1320)</f>
        <v>1</v>
      </c>
      <c r="V1320">
        <f t="shared" si="62"/>
        <v>0</v>
      </c>
    </row>
    <row r="1321" spans="1:22" ht="14.25" customHeight="1" x14ac:dyDescent="0.35">
      <c r="A1321" s="10" t="s">
        <v>1771</v>
      </c>
      <c r="B1321" s="11">
        <v>45318</v>
      </c>
      <c r="C1321" s="10" t="s">
        <v>94</v>
      </c>
      <c r="D1321" s="10" t="s">
        <v>623</v>
      </c>
      <c r="E1321" s="10" t="s">
        <v>85</v>
      </c>
      <c r="F1321" s="12">
        <v>5</v>
      </c>
      <c r="G1321" s="12">
        <v>3560</v>
      </c>
      <c r="H1321" s="12">
        <v>10.5</v>
      </c>
      <c r="I1321" s="12">
        <v>15931</v>
      </c>
      <c r="J1321" s="10" t="s">
        <v>51</v>
      </c>
      <c r="K1321" s="10" t="s">
        <v>97</v>
      </c>
      <c r="L1321" t="str">
        <f>IFERROR(VLOOKUP(D1321,Products!A:F,3,0),"")</f>
        <v>Apparel</v>
      </c>
      <c r="M1321" t="str">
        <f>IFERROR(VLOOKUP(E1321,Sales_Reps!A:E,3,0),"")</f>
        <v>East</v>
      </c>
      <c r="N1321" t="str">
        <f>IFERROR(VLOOKUP(C1321,Customers!A:F,5,0),"")</f>
        <v>Retail</v>
      </c>
      <c r="O1321">
        <f>IFERROR(VLOOKUP(C1321,Customers!A:F,3,0),"")</f>
        <v>60</v>
      </c>
      <c r="P1321">
        <f>IFERROR(VLOOKUP(D1321,Products!A:F,4,0),"")</f>
        <v>2629</v>
      </c>
      <c r="Q1321" t="b">
        <f>IFERROR(VLOOKUP(D1321,Products!A:F,6,0),"")</f>
        <v>1</v>
      </c>
      <c r="R1321">
        <f t="shared" si="60"/>
        <v>0.26151685393258428</v>
      </c>
      <c r="S1321">
        <f t="shared" si="61"/>
        <v>1</v>
      </c>
      <c r="T1321">
        <f>IF(AND(S1321&gt;1,COUNTIF($A$2:A1321,A1321)=1),1,0)</f>
        <v>0</v>
      </c>
      <c r="U1321">
        <f>COUNTIF(Customers!$A$2:$A$301,C1321)</f>
        <v>1</v>
      </c>
      <c r="V1321">
        <f t="shared" si="62"/>
        <v>0</v>
      </c>
    </row>
    <row r="1322" spans="1:22" ht="14.25" customHeight="1" x14ac:dyDescent="0.35">
      <c r="A1322" s="10" t="s">
        <v>1772</v>
      </c>
      <c r="B1322" s="11">
        <v>45308</v>
      </c>
      <c r="C1322" s="10" t="s">
        <v>317</v>
      </c>
      <c r="D1322" s="10" t="s">
        <v>466</v>
      </c>
      <c r="E1322" s="10" t="s">
        <v>168</v>
      </c>
      <c r="F1322" s="12">
        <v>6</v>
      </c>
      <c r="G1322" s="12">
        <v>1090</v>
      </c>
      <c r="H1322" s="12">
        <v>2.4</v>
      </c>
      <c r="I1322" s="12">
        <v>6383.04</v>
      </c>
      <c r="J1322" s="10" t="s">
        <v>57</v>
      </c>
      <c r="K1322" s="10" t="s">
        <v>58</v>
      </c>
      <c r="L1322" t="str">
        <f>IFERROR(VLOOKUP(D1322,Products!A:F,3,0),"")</f>
        <v>Home</v>
      </c>
      <c r="M1322" t="str">
        <f>IFERROR(VLOOKUP(E1322,Sales_Reps!A:E,3,0),"")</f>
        <v>South</v>
      </c>
      <c r="N1322" t="str">
        <f>IFERROR(VLOOKUP(C1322,Customers!A:F,5,0),"")</f>
        <v>Retail</v>
      </c>
      <c r="O1322">
        <f>IFERROR(VLOOKUP(C1322,Customers!A:F,3,0),"")</f>
        <v>60</v>
      </c>
      <c r="P1322">
        <f>IFERROR(VLOOKUP(D1322,Products!A:F,4,0),"")</f>
        <v>464</v>
      </c>
      <c r="Q1322" t="b">
        <f>IFERROR(VLOOKUP(D1322,Products!A:F,6,0),"")</f>
        <v>1</v>
      </c>
      <c r="R1322">
        <f t="shared" si="60"/>
        <v>0.57431192660550456</v>
      </c>
      <c r="S1322">
        <f t="shared" si="61"/>
        <v>1</v>
      </c>
      <c r="T1322">
        <f>IF(AND(S1322&gt;1,COUNTIF($A$2:A1322,A1322)=1),1,0)</f>
        <v>0</v>
      </c>
      <c r="U1322">
        <f>COUNTIF(Customers!$A$2:$A$301,C1322)</f>
        <v>1</v>
      </c>
      <c r="V1322">
        <f t="shared" si="62"/>
        <v>0</v>
      </c>
    </row>
    <row r="1323" spans="1:22" ht="14.25" customHeight="1" x14ac:dyDescent="0.35">
      <c r="A1323" s="10" t="s">
        <v>1773</v>
      </c>
      <c r="B1323" s="11">
        <v>45306</v>
      </c>
      <c r="C1323" s="10" t="s">
        <v>671</v>
      </c>
      <c r="D1323" s="10" t="s">
        <v>243</v>
      </c>
      <c r="E1323" s="10" t="s">
        <v>202</v>
      </c>
      <c r="F1323" s="12">
        <v>6</v>
      </c>
      <c r="G1323" s="12">
        <v>2660</v>
      </c>
      <c r="H1323" s="12">
        <v>6.4</v>
      </c>
      <c r="I1323" s="12">
        <v>14938.56</v>
      </c>
      <c r="J1323" s="10" t="s">
        <v>51</v>
      </c>
      <c r="K1323" s="10" t="s">
        <v>76</v>
      </c>
      <c r="L1323" t="str">
        <f>IFERROR(VLOOKUP(D1323,Products!A:F,3,0),"")</f>
        <v>Electronics</v>
      </c>
      <c r="M1323" t="str">
        <f>IFERROR(VLOOKUP(E1323,Sales_Reps!A:E,3,0),"")</f>
        <v>East</v>
      </c>
      <c r="N1323" t="str">
        <f>IFERROR(VLOOKUP(C1323,Customers!A:F,5,0),"")</f>
        <v>Retail</v>
      </c>
      <c r="O1323">
        <f>IFERROR(VLOOKUP(C1323,Customers!A:F,3,0),"")</f>
        <v>33</v>
      </c>
      <c r="P1323">
        <f>IFERROR(VLOOKUP(D1323,Products!A:F,4,0),"")</f>
        <v>1259</v>
      </c>
      <c r="Q1323" t="b">
        <f>IFERROR(VLOOKUP(D1323,Products!A:F,6,0),"")</f>
        <v>0</v>
      </c>
      <c r="R1323">
        <f t="shared" si="60"/>
        <v>0.52669172932330832</v>
      </c>
      <c r="S1323">
        <f t="shared" si="61"/>
        <v>1</v>
      </c>
      <c r="T1323">
        <f>IF(AND(S1323&gt;1,COUNTIF($A$2:A1323,A1323)=1),1,0)</f>
        <v>0</v>
      </c>
      <c r="U1323">
        <f>COUNTIF(Customers!$A$2:$A$301,C1323)</f>
        <v>1</v>
      </c>
      <c r="V1323">
        <f t="shared" si="62"/>
        <v>0</v>
      </c>
    </row>
    <row r="1324" spans="1:22" ht="14.25" customHeight="1" x14ac:dyDescent="0.35">
      <c r="A1324" s="10" t="s">
        <v>1774</v>
      </c>
      <c r="B1324" s="11">
        <v>45432</v>
      </c>
      <c r="C1324" s="10" t="s">
        <v>288</v>
      </c>
      <c r="D1324" s="10" t="s">
        <v>372</v>
      </c>
      <c r="E1324" s="10" t="s">
        <v>179</v>
      </c>
      <c r="F1324" s="12">
        <v>5</v>
      </c>
      <c r="G1324" s="12">
        <v>3970</v>
      </c>
      <c r="H1324" s="12">
        <v>18.8</v>
      </c>
      <c r="I1324" s="12">
        <v>16118.2</v>
      </c>
      <c r="J1324" s="10" t="s">
        <v>57</v>
      </c>
      <c r="K1324" s="10" t="s">
        <v>97</v>
      </c>
      <c r="L1324" t="str">
        <f>IFERROR(VLOOKUP(D1324,Products!A:F,3,0),"")</f>
        <v>Electronics</v>
      </c>
      <c r="M1324" t="str">
        <f>IFERROR(VLOOKUP(E1324,Sales_Reps!A:E,3,0),"")</f>
        <v>North</v>
      </c>
      <c r="N1324" t="str">
        <f>IFERROR(VLOOKUP(C1324,Customers!A:F,5,0),"")</f>
        <v>Retail</v>
      </c>
      <c r="O1324">
        <f>IFERROR(VLOOKUP(C1324,Customers!A:F,3,0),"")</f>
        <v>28</v>
      </c>
      <c r="P1324">
        <f>IFERROR(VLOOKUP(D1324,Products!A:F,4,0),"")</f>
        <v>2865</v>
      </c>
      <c r="Q1324" t="b">
        <f>IFERROR(VLOOKUP(D1324,Products!A:F,6,0),"")</f>
        <v>1</v>
      </c>
      <c r="R1324">
        <f t="shared" si="60"/>
        <v>0.27833753148614609</v>
      </c>
      <c r="S1324">
        <f t="shared" si="61"/>
        <v>1</v>
      </c>
      <c r="T1324">
        <f>IF(AND(S1324&gt;1,COUNTIF($A$2:A1324,A1324)=1),1,0)</f>
        <v>0</v>
      </c>
      <c r="U1324">
        <f>COUNTIF(Customers!$A$2:$A$301,C1324)</f>
        <v>1</v>
      </c>
      <c r="V1324">
        <f t="shared" si="62"/>
        <v>0</v>
      </c>
    </row>
    <row r="1325" spans="1:22" ht="14.25" customHeight="1" x14ac:dyDescent="0.35">
      <c r="A1325" s="10" t="s">
        <v>1775</v>
      </c>
      <c r="B1325" s="11">
        <v>45369</v>
      </c>
      <c r="C1325" s="10" t="s">
        <v>300</v>
      </c>
      <c r="D1325" s="10" t="s">
        <v>479</v>
      </c>
      <c r="E1325" s="10" t="s">
        <v>122</v>
      </c>
      <c r="F1325" s="12">
        <v>7</v>
      </c>
      <c r="G1325" s="12">
        <v>6940</v>
      </c>
      <c r="H1325" s="12">
        <v>23.8</v>
      </c>
      <c r="I1325" s="12">
        <v>37017.96</v>
      </c>
      <c r="J1325" s="10" t="s">
        <v>108</v>
      </c>
      <c r="K1325" s="10" t="s">
        <v>76</v>
      </c>
      <c r="L1325" t="str">
        <f>IFERROR(VLOOKUP(D1325,Products!A:F,3,0),"")</f>
        <v>Sports</v>
      </c>
      <c r="M1325" t="str">
        <f>IFERROR(VLOOKUP(E1325,Sales_Reps!A:E,3,0),"")</f>
        <v>East</v>
      </c>
      <c r="N1325" t="str">
        <f>IFERROR(VLOOKUP(C1325,Customers!A:F,5,0),"")</f>
        <v>Retail</v>
      </c>
      <c r="O1325">
        <f>IFERROR(VLOOKUP(C1325,Customers!A:F,3,0),"")</f>
        <v>49</v>
      </c>
      <c r="P1325">
        <f>IFERROR(VLOOKUP(D1325,Products!A:F,4,0),"")</f>
        <v>2827</v>
      </c>
      <c r="Q1325" t="b">
        <f>IFERROR(VLOOKUP(D1325,Products!A:F,6,0),"")</f>
        <v>1</v>
      </c>
      <c r="R1325">
        <f t="shared" si="60"/>
        <v>0.5926512968299712</v>
      </c>
      <c r="S1325">
        <f t="shared" si="61"/>
        <v>1</v>
      </c>
      <c r="T1325">
        <f>IF(AND(S1325&gt;1,COUNTIF($A$2:A1325,A1325)=1),1,0)</f>
        <v>0</v>
      </c>
      <c r="U1325">
        <f>COUNTIF(Customers!$A$2:$A$301,C1325)</f>
        <v>1</v>
      </c>
      <c r="V1325">
        <f t="shared" si="62"/>
        <v>0</v>
      </c>
    </row>
    <row r="1326" spans="1:22" ht="14.25" customHeight="1" x14ac:dyDescent="0.35">
      <c r="A1326" s="10" t="s">
        <v>1776</v>
      </c>
      <c r="B1326" s="11">
        <v>45544</v>
      </c>
      <c r="C1326" s="10" t="s">
        <v>607</v>
      </c>
      <c r="D1326" s="10" t="s">
        <v>115</v>
      </c>
      <c r="E1326" s="10" t="s">
        <v>103</v>
      </c>
      <c r="F1326" s="12">
        <v>3</v>
      </c>
      <c r="G1326" s="12">
        <v>2400</v>
      </c>
      <c r="H1326" s="12">
        <v>9.8000000000000007</v>
      </c>
      <c r="I1326" s="12">
        <v>6494.4</v>
      </c>
      <c r="J1326" s="10" t="s">
        <v>51</v>
      </c>
      <c r="K1326" s="10" t="s">
        <v>76</v>
      </c>
      <c r="L1326" t="str">
        <f>IFERROR(VLOOKUP(D1326,Products!A:F,3,0),"")</f>
        <v>Sports</v>
      </c>
      <c r="M1326" t="str">
        <f>IFERROR(VLOOKUP(E1326,Sales_Reps!A:E,3,0),"")</f>
        <v>North</v>
      </c>
      <c r="N1326" t="str">
        <f>IFERROR(VLOOKUP(C1326,Customers!A:F,5,0),"")</f>
        <v>SMB</v>
      </c>
      <c r="O1326">
        <f>IFERROR(VLOOKUP(C1326,Customers!A:F,3,0),"")</f>
        <v>27</v>
      </c>
      <c r="P1326">
        <f>IFERROR(VLOOKUP(D1326,Products!A:F,4,0),"")</f>
        <v>974</v>
      </c>
      <c r="Q1326" t="b">
        <f>IFERROR(VLOOKUP(D1326,Products!A:F,6,0),"")</f>
        <v>1</v>
      </c>
      <c r="R1326">
        <f t="shared" si="60"/>
        <v>0.59416666666666662</v>
      </c>
      <c r="S1326">
        <f t="shared" si="61"/>
        <v>1</v>
      </c>
      <c r="T1326">
        <f>IF(AND(S1326&gt;1,COUNTIF($A$2:A1326,A1326)=1),1,0)</f>
        <v>0</v>
      </c>
      <c r="U1326">
        <f>COUNTIF(Customers!$A$2:$A$301,C1326)</f>
        <v>1</v>
      </c>
      <c r="V1326">
        <f t="shared" si="62"/>
        <v>0</v>
      </c>
    </row>
    <row r="1327" spans="1:22" ht="14.25" customHeight="1" x14ac:dyDescent="0.35">
      <c r="A1327" s="10" t="s">
        <v>1777</v>
      </c>
      <c r="B1327" s="11">
        <v>45395</v>
      </c>
      <c r="C1327" s="10" t="s">
        <v>1214</v>
      </c>
      <c r="D1327" s="10" t="s">
        <v>125</v>
      </c>
      <c r="E1327" s="10" t="s">
        <v>118</v>
      </c>
      <c r="F1327" s="12">
        <v>8</v>
      </c>
      <c r="G1327" s="12">
        <v>3450</v>
      </c>
      <c r="H1327" s="12">
        <v>26.6</v>
      </c>
      <c r="I1327" s="12">
        <v>20258.400000000001</v>
      </c>
      <c r="J1327" s="10" t="s">
        <v>104</v>
      </c>
      <c r="K1327" s="10" t="s">
        <v>52</v>
      </c>
      <c r="L1327" t="str">
        <f>IFERROR(VLOOKUP(D1327,Products!A:F,3,0),"")</f>
        <v>Sports</v>
      </c>
      <c r="M1327" t="str">
        <f>IFERROR(VLOOKUP(E1327,Sales_Reps!A:E,3,0),"")</f>
        <v>East</v>
      </c>
      <c r="N1327" t="str">
        <f>IFERROR(VLOOKUP(C1327,Customers!A:F,5,0),"")</f>
        <v>Retail</v>
      </c>
      <c r="O1327">
        <f>IFERROR(VLOOKUP(C1327,Customers!A:F,3,0),"")</f>
        <v>44</v>
      </c>
      <c r="P1327">
        <f>IFERROR(VLOOKUP(D1327,Products!A:F,4,0),"")</f>
        <v>2467</v>
      </c>
      <c r="Q1327" t="b">
        <f>IFERROR(VLOOKUP(D1327,Products!A:F,6,0),"")</f>
        <v>1</v>
      </c>
      <c r="R1327">
        <f t="shared" si="60"/>
        <v>0.28492753623188405</v>
      </c>
      <c r="S1327">
        <f t="shared" si="61"/>
        <v>1</v>
      </c>
      <c r="T1327">
        <f>IF(AND(S1327&gt;1,COUNTIF($A$2:A1327,A1327)=1),1,0)</f>
        <v>0</v>
      </c>
      <c r="U1327">
        <f>COUNTIF(Customers!$A$2:$A$301,C1327)</f>
        <v>1</v>
      </c>
      <c r="V1327">
        <f t="shared" si="62"/>
        <v>0</v>
      </c>
    </row>
    <row r="1328" spans="1:22" ht="14.25" customHeight="1" x14ac:dyDescent="0.35">
      <c r="A1328" s="10" t="s">
        <v>1778</v>
      </c>
      <c r="B1328" s="11">
        <v>45389</v>
      </c>
      <c r="C1328" s="10" t="s">
        <v>404</v>
      </c>
      <c r="D1328" s="10" t="s">
        <v>231</v>
      </c>
      <c r="E1328" s="10" t="s">
        <v>103</v>
      </c>
      <c r="F1328" s="12">
        <v>4</v>
      </c>
      <c r="G1328" s="12">
        <v>1220</v>
      </c>
      <c r="H1328" s="12">
        <v>5.5</v>
      </c>
      <c r="I1328" s="12">
        <v>4611.6000000000004</v>
      </c>
      <c r="J1328" s="10" t="s">
        <v>51</v>
      </c>
      <c r="K1328" s="10" t="s">
        <v>52</v>
      </c>
      <c r="L1328" t="str">
        <f>IFERROR(VLOOKUP(D1328,Products!A:F,3,0),"")</f>
        <v>Electronics</v>
      </c>
      <c r="M1328" t="str">
        <f>IFERROR(VLOOKUP(E1328,Sales_Reps!A:E,3,0),"")</f>
        <v>North</v>
      </c>
      <c r="N1328" t="str">
        <f>IFERROR(VLOOKUP(C1328,Customers!A:F,5,0),"")</f>
        <v>SMB</v>
      </c>
      <c r="O1328">
        <f>IFERROR(VLOOKUP(C1328,Customers!A:F,3,0),"")</f>
        <v>30</v>
      </c>
      <c r="P1328">
        <f>IFERROR(VLOOKUP(D1328,Products!A:F,4,0),"")</f>
        <v>517</v>
      </c>
      <c r="Q1328" t="b">
        <f>IFERROR(VLOOKUP(D1328,Products!A:F,6,0),"")</f>
        <v>1</v>
      </c>
      <c r="R1328">
        <f t="shared" si="60"/>
        <v>0.57622950819672136</v>
      </c>
      <c r="S1328">
        <f t="shared" si="61"/>
        <v>1</v>
      </c>
      <c r="T1328">
        <f>IF(AND(S1328&gt;1,COUNTIF($A$2:A1328,A1328)=1),1,0)</f>
        <v>0</v>
      </c>
      <c r="U1328">
        <f>COUNTIF(Customers!$A$2:$A$301,C1328)</f>
        <v>1</v>
      </c>
      <c r="V1328">
        <f t="shared" si="62"/>
        <v>0</v>
      </c>
    </row>
    <row r="1329" spans="1:22" ht="14.25" customHeight="1" x14ac:dyDescent="0.35">
      <c r="A1329" s="10" t="s">
        <v>1779</v>
      </c>
      <c r="B1329" s="11">
        <v>45536</v>
      </c>
      <c r="C1329" s="10" t="s">
        <v>1780</v>
      </c>
      <c r="D1329" s="10" t="s">
        <v>256</v>
      </c>
      <c r="E1329" s="10" t="s">
        <v>50</v>
      </c>
      <c r="F1329" s="12">
        <v>1</v>
      </c>
      <c r="G1329" s="12">
        <v>620</v>
      </c>
      <c r="H1329" s="12">
        <v>22.3</v>
      </c>
      <c r="I1329" s="12">
        <v>481.74</v>
      </c>
      <c r="J1329" s="10" t="s">
        <v>57</v>
      </c>
      <c r="K1329" s="10" t="s">
        <v>63</v>
      </c>
      <c r="L1329" t="str">
        <f>IFERROR(VLOOKUP(D1329,Products!A:F,3,0),"")</f>
        <v>Apparel</v>
      </c>
      <c r="M1329" t="str">
        <f>IFERROR(VLOOKUP(E1329,Sales_Reps!A:E,3,0),"")</f>
        <v>North</v>
      </c>
      <c r="N1329" t="str">
        <f>IFERROR(VLOOKUP(C1329,Customers!A:F,5,0),"")</f>
        <v>Retail</v>
      </c>
      <c r="O1329">
        <f>IFERROR(VLOOKUP(C1329,Customers!A:F,3,0),"")</f>
        <v>62</v>
      </c>
      <c r="P1329">
        <f>IFERROR(VLOOKUP(D1329,Products!A:F,4,0),"")</f>
        <v>396</v>
      </c>
      <c r="Q1329" t="b">
        <f>IFERROR(VLOOKUP(D1329,Products!A:F,6,0),"")</f>
        <v>1</v>
      </c>
      <c r="R1329">
        <f t="shared" si="60"/>
        <v>0.36129032258064514</v>
      </c>
      <c r="S1329">
        <f t="shared" si="61"/>
        <v>1</v>
      </c>
      <c r="T1329">
        <f>IF(AND(S1329&gt;1,COUNTIF($A$2:A1329,A1329)=1),1,0)</f>
        <v>0</v>
      </c>
      <c r="U1329">
        <f>COUNTIF(Customers!$A$2:$A$301,C1329)</f>
        <v>1</v>
      </c>
      <c r="V1329">
        <f t="shared" si="62"/>
        <v>0</v>
      </c>
    </row>
    <row r="1330" spans="1:22" ht="14.25" customHeight="1" x14ac:dyDescent="0.35">
      <c r="A1330" s="10" t="s">
        <v>1781</v>
      </c>
      <c r="B1330" s="11">
        <v>45348</v>
      </c>
      <c r="C1330" s="10" t="s">
        <v>195</v>
      </c>
      <c r="D1330" s="10" t="s">
        <v>246</v>
      </c>
      <c r="E1330" s="10" t="s">
        <v>118</v>
      </c>
      <c r="F1330" s="12">
        <v>1</v>
      </c>
      <c r="G1330" s="12">
        <v>300</v>
      </c>
      <c r="H1330" s="12">
        <v>12.5</v>
      </c>
      <c r="I1330" s="12">
        <v>262.5</v>
      </c>
      <c r="J1330" s="10" t="s">
        <v>51</v>
      </c>
      <c r="K1330" s="10" t="s">
        <v>81</v>
      </c>
      <c r="L1330" t="str">
        <f>IFERROR(VLOOKUP(D1330,Products!A:F,3,0),"")</f>
        <v>Electronics</v>
      </c>
      <c r="M1330" t="str">
        <f>IFERROR(VLOOKUP(E1330,Sales_Reps!A:E,3,0),"")</f>
        <v>East</v>
      </c>
      <c r="N1330" t="str">
        <f>IFERROR(VLOOKUP(C1330,Customers!A:F,5,0),"")</f>
        <v>SMB</v>
      </c>
      <c r="O1330">
        <f>IFERROR(VLOOKUP(C1330,Customers!A:F,3,0),"")</f>
        <v>64</v>
      </c>
      <c r="P1330">
        <f>IFERROR(VLOOKUP(D1330,Products!A:F,4,0),"")</f>
        <v>128</v>
      </c>
      <c r="Q1330" t="b">
        <f>IFERROR(VLOOKUP(D1330,Products!A:F,6,0),"")</f>
        <v>1</v>
      </c>
      <c r="R1330">
        <f t="shared" si="60"/>
        <v>0.57333333333333336</v>
      </c>
      <c r="S1330">
        <f t="shared" si="61"/>
        <v>1</v>
      </c>
      <c r="T1330">
        <f>IF(AND(S1330&gt;1,COUNTIF($A$2:A1330,A1330)=1),1,0)</f>
        <v>0</v>
      </c>
      <c r="U1330">
        <f>COUNTIF(Customers!$A$2:$A$301,C1330)</f>
        <v>1</v>
      </c>
      <c r="V1330">
        <f t="shared" si="62"/>
        <v>0</v>
      </c>
    </row>
    <row r="1331" spans="1:22" ht="14.25" customHeight="1" x14ac:dyDescent="0.35">
      <c r="A1331" s="10" t="s">
        <v>1782</v>
      </c>
      <c r="B1331" s="11">
        <v>45502</v>
      </c>
      <c r="C1331" s="10" t="s">
        <v>864</v>
      </c>
      <c r="D1331" s="10" t="s">
        <v>146</v>
      </c>
      <c r="E1331" s="10" t="s">
        <v>156</v>
      </c>
      <c r="F1331" s="12">
        <v>3</v>
      </c>
      <c r="G1331" s="12">
        <v>1010</v>
      </c>
      <c r="H1331" s="12">
        <v>14.1</v>
      </c>
      <c r="I1331" s="12">
        <v>2602.77</v>
      </c>
      <c r="J1331" s="10" t="s">
        <v>51</v>
      </c>
      <c r="K1331" s="10" t="s">
        <v>81</v>
      </c>
      <c r="L1331" t="str">
        <f>IFERROR(VLOOKUP(D1331,Products!A:F,3,0),"")</f>
        <v>Sports</v>
      </c>
      <c r="M1331" t="str">
        <f>IFERROR(VLOOKUP(E1331,Sales_Reps!A:E,3,0),"")</f>
        <v>East</v>
      </c>
      <c r="N1331" t="str">
        <f>IFERROR(VLOOKUP(C1331,Customers!A:F,5,0),"")</f>
        <v>Retail</v>
      </c>
      <c r="O1331">
        <f>IFERROR(VLOOKUP(C1331,Customers!A:F,3,0),"")</f>
        <v>35</v>
      </c>
      <c r="P1331">
        <f>IFERROR(VLOOKUP(D1331,Products!A:F,4,0),"")</f>
        <v>516</v>
      </c>
      <c r="Q1331" t="b">
        <f>IFERROR(VLOOKUP(D1331,Products!A:F,6,0),"")</f>
        <v>1</v>
      </c>
      <c r="R1331">
        <f t="shared" si="60"/>
        <v>0.4891089108910891</v>
      </c>
      <c r="S1331">
        <f t="shared" si="61"/>
        <v>1</v>
      </c>
      <c r="T1331">
        <f>IF(AND(S1331&gt;1,COUNTIF($A$2:A1331,A1331)=1),1,0)</f>
        <v>0</v>
      </c>
      <c r="U1331">
        <f>COUNTIF(Customers!$A$2:$A$301,C1331)</f>
        <v>1</v>
      </c>
      <c r="V1331">
        <f t="shared" si="62"/>
        <v>0</v>
      </c>
    </row>
    <row r="1332" spans="1:22" ht="14.25" customHeight="1" x14ac:dyDescent="0.35">
      <c r="A1332" s="10" t="s">
        <v>1783</v>
      </c>
      <c r="B1332" s="11">
        <v>45600</v>
      </c>
      <c r="C1332" s="10" t="s">
        <v>761</v>
      </c>
      <c r="D1332" s="10" t="s">
        <v>407</v>
      </c>
      <c r="E1332" s="10" t="s">
        <v>307</v>
      </c>
      <c r="F1332" s="12">
        <v>2</v>
      </c>
      <c r="G1332" s="12">
        <v>5080</v>
      </c>
      <c r="H1332" s="12">
        <v>16.8</v>
      </c>
      <c r="I1332" s="12">
        <v>8453.1200000000008</v>
      </c>
      <c r="J1332" s="10" t="s">
        <v>51</v>
      </c>
      <c r="K1332" s="10" t="s">
        <v>63</v>
      </c>
      <c r="L1332" t="str">
        <f>IFERROR(VLOOKUP(D1332,Products!A:F,3,0),"")</f>
        <v>Home</v>
      </c>
      <c r="M1332" t="str">
        <f>IFERROR(VLOOKUP(E1332,Sales_Reps!A:E,3,0),"")</f>
        <v>West</v>
      </c>
      <c r="N1332" t="str">
        <f>IFERROR(VLOOKUP(C1332,Customers!A:F,5,0),"")</f>
        <v>Retail</v>
      </c>
      <c r="O1332">
        <f>IFERROR(VLOOKUP(C1332,Customers!A:F,3,0),"")</f>
        <v>63</v>
      </c>
      <c r="P1332">
        <f>IFERROR(VLOOKUP(D1332,Products!A:F,4,0),"")</f>
        <v>2459</v>
      </c>
      <c r="Q1332" t="b">
        <f>IFERROR(VLOOKUP(D1332,Products!A:F,6,0),"")</f>
        <v>1</v>
      </c>
      <c r="R1332">
        <f t="shared" si="60"/>
        <v>0.51594488188976373</v>
      </c>
      <c r="S1332">
        <f t="shared" si="61"/>
        <v>1</v>
      </c>
      <c r="T1332">
        <f>IF(AND(S1332&gt;1,COUNTIF($A$2:A1332,A1332)=1),1,0)</f>
        <v>0</v>
      </c>
      <c r="U1332">
        <f>COUNTIF(Customers!$A$2:$A$301,C1332)</f>
        <v>1</v>
      </c>
      <c r="V1332">
        <f t="shared" si="62"/>
        <v>0</v>
      </c>
    </row>
    <row r="1333" spans="1:22" ht="14.25" customHeight="1" x14ac:dyDescent="0.35">
      <c r="A1333" s="10" t="s">
        <v>1784</v>
      </c>
      <c r="B1333" s="11">
        <v>45416</v>
      </c>
      <c r="C1333" s="10" t="s">
        <v>139</v>
      </c>
      <c r="D1333" s="10" t="s">
        <v>70</v>
      </c>
      <c r="E1333" s="10" t="s">
        <v>307</v>
      </c>
      <c r="F1333" s="12">
        <v>2</v>
      </c>
      <c r="G1333" s="12">
        <v>3160</v>
      </c>
      <c r="H1333" s="12">
        <v>21.4</v>
      </c>
      <c r="I1333" s="12">
        <v>4967.5200000000004</v>
      </c>
      <c r="J1333" s="10" t="s">
        <v>51</v>
      </c>
      <c r="K1333" s="10" t="s">
        <v>1785</v>
      </c>
      <c r="L1333" t="str">
        <f>IFERROR(VLOOKUP(D1333,Products!A:F,3,0),"")</f>
        <v>Apparel</v>
      </c>
      <c r="M1333" t="str">
        <f>IFERROR(VLOOKUP(E1333,Sales_Reps!A:E,3,0),"")</f>
        <v>West</v>
      </c>
      <c r="N1333" t="str">
        <f>IFERROR(VLOOKUP(C1333,Customers!A:F,5,0),"")</f>
        <v>SMB</v>
      </c>
      <c r="O1333">
        <f>IFERROR(VLOOKUP(C1333,Customers!A:F,3,0),"")</f>
        <v>40</v>
      </c>
      <c r="P1333">
        <f>IFERROR(VLOOKUP(D1333,Products!A:F,4,0),"")</f>
        <v>1886</v>
      </c>
      <c r="Q1333" t="b">
        <f>IFERROR(VLOOKUP(D1333,Products!A:F,6,0),"")</f>
        <v>1</v>
      </c>
      <c r="R1333">
        <f t="shared" si="60"/>
        <v>0.4031645569620253</v>
      </c>
      <c r="S1333">
        <f t="shared" si="61"/>
        <v>1</v>
      </c>
      <c r="T1333">
        <f>IF(AND(S1333&gt;1,COUNTIF($A$2:A1333,A1333)=1),1,0)</f>
        <v>0</v>
      </c>
      <c r="U1333">
        <f>COUNTIF(Customers!$A$2:$A$301,C1333)</f>
        <v>1</v>
      </c>
      <c r="V1333">
        <f t="shared" si="62"/>
        <v>0</v>
      </c>
    </row>
    <row r="1334" spans="1:22" ht="14.25" customHeight="1" x14ac:dyDescent="0.35">
      <c r="A1334" s="10" t="s">
        <v>1786</v>
      </c>
      <c r="B1334" s="11">
        <v>45535</v>
      </c>
      <c r="C1334" s="10" t="s">
        <v>980</v>
      </c>
      <c r="D1334" s="10" t="s">
        <v>121</v>
      </c>
      <c r="E1334" s="10" t="s">
        <v>310</v>
      </c>
      <c r="F1334" s="12">
        <v>7</v>
      </c>
      <c r="G1334" s="12">
        <v>3450</v>
      </c>
      <c r="H1334" s="12">
        <v>21.3</v>
      </c>
      <c r="I1334" s="12">
        <v>19006.05</v>
      </c>
      <c r="J1334" s="10" t="s">
        <v>51</v>
      </c>
      <c r="K1334" s="10" t="s">
        <v>81</v>
      </c>
      <c r="L1334" t="str">
        <f>IFERROR(VLOOKUP(D1334,Products!A:F,3,0),"")</f>
        <v>Beauty</v>
      </c>
      <c r="M1334" t="str">
        <f>IFERROR(VLOOKUP(E1334,Sales_Reps!A:E,3,0),"")</f>
        <v>South</v>
      </c>
      <c r="N1334" t="str">
        <f>IFERROR(VLOOKUP(C1334,Customers!A:F,5,0),"")</f>
        <v>SMB</v>
      </c>
      <c r="O1334">
        <f>IFERROR(VLOOKUP(C1334,Customers!A:F,3,0),"")</f>
        <v>49</v>
      </c>
      <c r="P1334">
        <f>IFERROR(VLOOKUP(D1334,Products!A:F,4,0),"")</f>
        <v>2420</v>
      </c>
      <c r="Q1334" t="b">
        <f>IFERROR(VLOOKUP(D1334,Products!A:F,6,0),"")</f>
        <v>1</v>
      </c>
      <c r="R1334">
        <f t="shared" si="60"/>
        <v>0.29855072463768118</v>
      </c>
      <c r="S1334">
        <f t="shared" si="61"/>
        <v>1</v>
      </c>
      <c r="T1334">
        <f>IF(AND(S1334&gt;1,COUNTIF($A$2:A1334,A1334)=1),1,0)</f>
        <v>0</v>
      </c>
      <c r="U1334">
        <f>COUNTIF(Customers!$A$2:$A$301,C1334)</f>
        <v>1</v>
      </c>
      <c r="V1334">
        <f t="shared" si="62"/>
        <v>0</v>
      </c>
    </row>
    <row r="1335" spans="1:22" ht="14.25" customHeight="1" x14ac:dyDescent="0.35">
      <c r="A1335" s="10" t="s">
        <v>1787</v>
      </c>
      <c r="B1335" s="11">
        <v>45322</v>
      </c>
      <c r="C1335" s="10" t="s">
        <v>534</v>
      </c>
      <c r="D1335" s="10" t="s">
        <v>328</v>
      </c>
      <c r="E1335" s="10" t="s">
        <v>67</v>
      </c>
      <c r="F1335" s="12">
        <v>2</v>
      </c>
      <c r="G1335" s="12">
        <v>5330</v>
      </c>
      <c r="H1335" s="12">
        <v>4.3</v>
      </c>
      <c r="I1335" s="12">
        <v>10201.620000000001</v>
      </c>
      <c r="J1335" s="10" t="s">
        <v>51</v>
      </c>
      <c r="K1335" s="10" t="s">
        <v>63</v>
      </c>
      <c r="L1335" t="str">
        <f>IFERROR(VLOOKUP(D1335,Products!A:F,3,0),"")</f>
        <v>Electronics</v>
      </c>
      <c r="M1335" t="str">
        <f>IFERROR(VLOOKUP(E1335,Sales_Reps!A:E,3,0),"")</f>
        <v>North</v>
      </c>
      <c r="N1335" t="str">
        <f>IFERROR(VLOOKUP(C1335,Customers!A:F,5,0),"")</f>
        <v>Corporate</v>
      </c>
      <c r="O1335">
        <f>IFERROR(VLOOKUP(C1335,Customers!A:F,3,0),"")</f>
        <v>47</v>
      </c>
      <c r="P1335">
        <f>IFERROR(VLOOKUP(D1335,Products!A:F,4,0),"")</f>
        <v>2405</v>
      </c>
      <c r="Q1335" t="b">
        <f>IFERROR(VLOOKUP(D1335,Products!A:F,6,0),"")</f>
        <v>1</v>
      </c>
      <c r="R1335">
        <f t="shared" si="60"/>
        <v>0.54878048780487809</v>
      </c>
      <c r="S1335">
        <f t="shared" si="61"/>
        <v>1</v>
      </c>
      <c r="T1335">
        <f>IF(AND(S1335&gt;1,COUNTIF($A$2:A1335,A1335)=1),1,0)</f>
        <v>0</v>
      </c>
      <c r="U1335">
        <f>COUNTIF(Customers!$A$2:$A$301,C1335)</f>
        <v>1</v>
      </c>
      <c r="V1335">
        <f t="shared" si="62"/>
        <v>0</v>
      </c>
    </row>
    <row r="1336" spans="1:22" ht="14.25" customHeight="1" x14ac:dyDescent="0.35">
      <c r="A1336" s="10" t="s">
        <v>1788</v>
      </c>
      <c r="B1336" s="11">
        <v>45626</v>
      </c>
      <c r="C1336" s="10" t="s">
        <v>577</v>
      </c>
      <c r="D1336" s="10" t="s">
        <v>479</v>
      </c>
      <c r="E1336" s="10" t="s">
        <v>62</v>
      </c>
      <c r="F1336" s="12">
        <v>5</v>
      </c>
      <c r="G1336" s="12">
        <v>6940</v>
      </c>
      <c r="H1336" s="12">
        <v>2.9</v>
      </c>
      <c r="I1336" s="12">
        <v>33693.699999999997</v>
      </c>
      <c r="J1336" s="10" t="s">
        <v>51</v>
      </c>
      <c r="K1336" s="10" t="s">
        <v>76</v>
      </c>
      <c r="L1336" t="str">
        <f>IFERROR(VLOOKUP(D1336,Products!A:F,3,0),"")</f>
        <v>Sports</v>
      </c>
      <c r="M1336" t="str">
        <f>IFERROR(VLOOKUP(E1336,Sales_Reps!A:E,3,0),"")</f>
        <v>South</v>
      </c>
      <c r="N1336" t="str">
        <f>IFERROR(VLOOKUP(C1336,Customers!A:F,5,0),"")</f>
        <v>Retail</v>
      </c>
      <c r="O1336">
        <f>IFERROR(VLOOKUP(C1336,Customers!A:F,3,0),"")</f>
        <v>44</v>
      </c>
      <c r="P1336">
        <f>IFERROR(VLOOKUP(D1336,Products!A:F,4,0),"")</f>
        <v>2827</v>
      </c>
      <c r="Q1336" t="b">
        <f>IFERROR(VLOOKUP(D1336,Products!A:F,6,0),"")</f>
        <v>1</v>
      </c>
      <c r="R1336">
        <f t="shared" si="60"/>
        <v>0.5926512968299712</v>
      </c>
      <c r="S1336">
        <f t="shared" si="61"/>
        <v>1</v>
      </c>
      <c r="T1336">
        <f>IF(AND(S1336&gt;1,COUNTIF($A$2:A1336,A1336)=1),1,0)</f>
        <v>0</v>
      </c>
      <c r="U1336">
        <f>COUNTIF(Customers!$A$2:$A$301,C1336)</f>
        <v>1</v>
      </c>
      <c r="V1336">
        <f t="shared" si="62"/>
        <v>0</v>
      </c>
    </row>
    <row r="1337" spans="1:22" ht="14.25" customHeight="1" x14ac:dyDescent="0.35">
      <c r="A1337" s="10" t="s">
        <v>1789</v>
      </c>
      <c r="B1337" s="11">
        <v>45534</v>
      </c>
      <c r="C1337" s="10" t="s">
        <v>568</v>
      </c>
      <c r="D1337" s="10" t="s">
        <v>167</v>
      </c>
      <c r="E1337" s="10" t="s">
        <v>92</v>
      </c>
      <c r="F1337" s="12">
        <v>5</v>
      </c>
      <c r="G1337" s="12">
        <v>660</v>
      </c>
      <c r="H1337" s="12">
        <v>15.8</v>
      </c>
      <c r="I1337" s="12">
        <v>2778.6</v>
      </c>
      <c r="J1337" s="10" t="s">
        <v>51</v>
      </c>
      <c r="K1337" s="10" t="s">
        <v>81</v>
      </c>
      <c r="L1337" t="str">
        <f>IFERROR(VLOOKUP(D1337,Products!A:F,3,0),"")</f>
        <v>Home</v>
      </c>
      <c r="M1337" t="str">
        <f>IFERROR(VLOOKUP(E1337,Sales_Reps!A:E,3,0),"")</f>
        <v>West</v>
      </c>
      <c r="N1337" t="str">
        <f>IFERROR(VLOOKUP(C1337,Customers!A:F,5,0),"")</f>
        <v>Retail</v>
      </c>
      <c r="O1337">
        <f>IFERROR(VLOOKUP(C1337,Customers!A:F,3,0),"")</f>
        <v>34</v>
      </c>
      <c r="P1337">
        <f>IFERROR(VLOOKUP(D1337,Products!A:F,4,0),"")</f>
        <v>329</v>
      </c>
      <c r="Q1337" t="b">
        <f>IFERROR(VLOOKUP(D1337,Products!A:F,6,0),"")</f>
        <v>1</v>
      </c>
      <c r="R1337">
        <f t="shared" si="60"/>
        <v>0.50151515151515147</v>
      </c>
      <c r="S1337">
        <f t="shared" si="61"/>
        <v>1</v>
      </c>
      <c r="T1337">
        <f>IF(AND(S1337&gt;1,COUNTIF($A$2:A1337,A1337)=1),1,0)</f>
        <v>0</v>
      </c>
      <c r="U1337">
        <f>COUNTIF(Customers!$A$2:$A$301,C1337)</f>
        <v>1</v>
      </c>
      <c r="V1337">
        <f t="shared" si="62"/>
        <v>0</v>
      </c>
    </row>
    <row r="1338" spans="1:22" ht="14.25" customHeight="1" x14ac:dyDescent="0.35">
      <c r="A1338" s="10" t="s">
        <v>1790</v>
      </c>
      <c r="B1338" s="11">
        <v>45519</v>
      </c>
      <c r="C1338" s="10" t="s">
        <v>950</v>
      </c>
      <c r="D1338" s="10" t="s">
        <v>155</v>
      </c>
      <c r="E1338" s="10" t="s">
        <v>216</v>
      </c>
      <c r="F1338" s="12">
        <v>9</v>
      </c>
      <c r="G1338" s="12">
        <v>5100</v>
      </c>
      <c r="H1338" s="12">
        <v>0.4</v>
      </c>
      <c r="I1338" s="12">
        <v>45716.4</v>
      </c>
      <c r="J1338" s="10" t="s">
        <v>51</v>
      </c>
      <c r="K1338" s="10" t="s">
        <v>58</v>
      </c>
      <c r="L1338" t="str">
        <f>IFERROR(VLOOKUP(D1338,Products!A:F,3,0),"")</f>
        <v>Beauty</v>
      </c>
      <c r="M1338" t="str">
        <f>IFERROR(VLOOKUP(E1338,Sales_Reps!A:E,3,0),"")</f>
        <v>South</v>
      </c>
      <c r="N1338" t="str">
        <f>IFERROR(VLOOKUP(C1338,Customers!A:F,5,0),"")</f>
        <v>Corporate</v>
      </c>
      <c r="O1338">
        <f>IFERROR(VLOOKUP(C1338,Customers!A:F,3,0),"")</f>
        <v>52</v>
      </c>
      <c r="P1338">
        <f>IFERROR(VLOOKUP(D1338,Products!A:F,4,0),"")</f>
        <v>2237</v>
      </c>
      <c r="Q1338" t="b">
        <f>IFERROR(VLOOKUP(D1338,Products!A:F,6,0),"")</f>
        <v>1</v>
      </c>
      <c r="R1338">
        <f t="shared" si="60"/>
        <v>0.56137254901960787</v>
      </c>
      <c r="S1338">
        <f t="shared" si="61"/>
        <v>1</v>
      </c>
      <c r="T1338">
        <f>IF(AND(S1338&gt;1,COUNTIF($A$2:A1338,A1338)=1),1,0)</f>
        <v>0</v>
      </c>
      <c r="U1338">
        <f>COUNTIF(Customers!$A$2:$A$301,C1338)</f>
        <v>1</v>
      </c>
      <c r="V1338">
        <f t="shared" si="62"/>
        <v>0</v>
      </c>
    </row>
    <row r="1339" spans="1:22" ht="14.25" customHeight="1" x14ac:dyDescent="0.35">
      <c r="A1339" s="10" t="s">
        <v>1791</v>
      </c>
      <c r="B1339" s="11">
        <v>45315</v>
      </c>
      <c r="C1339" s="10" t="s">
        <v>1792</v>
      </c>
      <c r="D1339" s="10" t="s">
        <v>140</v>
      </c>
      <c r="E1339" s="10" t="s">
        <v>62</v>
      </c>
      <c r="F1339" s="12">
        <v>5</v>
      </c>
      <c r="G1339" s="12">
        <v>1650</v>
      </c>
      <c r="H1339" s="12">
        <v>0.8</v>
      </c>
      <c r="I1339" s="12">
        <v>8184</v>
      </c>
      <c r="J1339" s="10" t="s">
        <v>57</v>
      </c>
      <c r="K1339" s="10" t="s">
        <v>58</v>
      </c>
      <c r="L1339" t="str">
        <f>IFERROR(VLOOKUP(D1339,Products!A:F,3,0),"")</f>
        <v>Beauty</v>
      </c>
      <c r="M1339" t="str">
        <f>IFERROR(VLOOKUP(E1339,Sales_Reps!A:E,3,0),"")</f>
        <v>South</v>
      </c>
      <c r="N1339" t="str">
        <f>IFERROR(VLOOKUP(C1339,Customers!A:F,5,0),"")</f>
        <v/>
      </c>
      <c r="O1339" t="str">
        <f>IFERROR(VLOOKUP(C1339,Customers!A:F,3,0),"")</f>
        <v/>
      </c>
      <c r="P1339">
        <f>IFERROR(VLOOKUP(D1339,Products!A:F,4,0),"")</f>
        <v>1222</v>
      </c>
      <c r="Q1339" t="b">
        <f>IFERROR(VLOOKUP(D1339,Products!A:F,6,0),"")</f>
        <v>1</v>
      </c>
      <c r="R1339">
        <f t="shared" si="60"/>
        <v>0.2593939393939394</v>
      </c>
      <c r="S1339">
        <f t="shared" si="61"/>
        <v>1</v>
      </c>
      <c r="T1339">
        <f>IF(AND(S1339&gt;1,COUNTIF($A$2:A1339,A1339)=1),1,0)</f>
        <v>0</v>
      </c>
      <c r="U1339">
        <f>COUNTIF(Customers!$A$2:$A$301,C1339)</f>
        <v>0</v>
      </c>
      <c r="V1339">
        <f t="shared" si="62"/>
        <v>0</v>
      </c>
    </row>
    <row r="1340" spans="1:22" ht="14.25" customHeight="1" x14ac:dyDescent="0.35">
      <c r="A1340" s="10" t="s">
        <v>1793</v>
      </c>
      <c r="B1340" s="11">
        <v>45566</v>
      </c>
      <c r="C1340" s="10" t="s">
        <v>681</v>
      </c>
      <c r="D1340" s="10" t="s">
        <v>201</v>
      </c>
      <c r="E1340" s="10" t="s">
        <v>267</v>
      </c>
      <c r="F1340" s="12">
        <v>7</v>
      </c>
      <c r="G1340" s="12">
        <v>3640</v>
      </c>
      <c r="H1340" s="12">
        <v>25.5</v>
      </c>
      <c r="I1340" s="12">
        <v>18982.599999999999</v>
      </c>
      <c r="J1340" s="10" t="s">
        <v>51</v>
      </c>
      <c r="K1340" s="10" t="s">
        <v>58</v>
      </c>
      <c r="L1340" t="str">
        <f>IFERROR(VLOOKUP(D1340,Products!A:F,3,0),"")</f>
        <v>Apparel</v>
      </c>
      <c r="M1340" t="str">
        <f>IFERROR(VLOOKUP(E1340,Sales_Reps!A:E,3,0),"")</f>
        <v>East</v>
      </c>
      <c r="N1340" t="str">
        <f>IFERROR(VLOOKUP(C1340,Customers!A:F,5,0),"")</f>
        <v>Retail</v>
      </c>
      <c r="O1340">
        <f>IFERROR(VLOOKUP(C1340,Customers!A:F,3,0),"")</f>
        <v>24</v>
      </c>
      <c r="P1340">
        <f>IFERROR(VLOOKUP(D1340,Products!A:F,4,0),"")</f>
        <v>2611</v>
      </c>
      <c r="Q1340" t="b">
        <f>IFERROR(VLOOKUP(D1340,Products!A:F,6,0),"")</f>
        <v>1</v>
      </c>
      <c r="R1340">
        <f t="shared" si="60"/>
        <v>0.28269230769230769</v>
      </c>
      <c r="S1340">
        <f t="shared" si="61"/>
        <v>1</v>
      </c>
      <c r="T1340">
        <f>IF(AND(S1340&gt;1,COUNTIF($A$2:A1340,A1340)=1),1,0)</f>
        <v>0</v>
      </c>
      <c r="U1340">
        <f>COUNTIF(Customers!$A$2:$A$301,C1340)</f>
        <v>1</v>
      </c>
      <c r="V1340">
        <f t="shared" si="62"/>
        <v>0</v>
      </c>
    </row>
    <row r="1341" spans="1:22" ht="14.25" customHeight="1" x14ac:dyDescent="0.35">
      <c r="A1341" s="10" t="s">
        <v>1794</v>
      </c>
      <c r="B1341" s="11">
        <v>45643</v>
      </c>
      <c r="C1341" s="10" t="s">
        <v>200</v>
      </c>
      <c r="D1341" s="10" t="s">
        <v>148</v>
      </c>
      <c r="E1341" s="10" t="s">
        <v>193</v>
      </c>
      <c r="F1341" s="12">
        <v>6</v>
      </c>
      <c r="G1341" s="12">
        <v>4880</v>
      </c>
      <c r="H1341" s="12">
        <v>12.6</v>
      </c>
      <c r="I1341" s="12">
        <v>25590.720000000001</v>
      </c>
      <c r="J1341" s="10" t="s">
        <v>104</v>
      </c>
      <c r="K1341" s="10" t="s">
        <v>97</v>
      </c>
      <c r="L1341" t="str">
        <f>IFERROR(VLOOKUP(D1341,Products!A:F,3,0),"")</f>
        <v>Beauty</v>
      </c>
      <c r="M1341" t="str">
        <f>IFERROR(VLOOKUP(E1341,Sales_Reps!A:E,3,0),"")</f>
        <v>West</v>
      </c>
      <c r="N1341" t="str">
        <f>IFERROR(VLOOKUP(C1341,Customers!A:F,5,0),"")</f>
        <v>Retail</v>
      </c>
      <c r="O1341">
        <f>IFERROR(VLOOKUP(C1341,Customers!A:F,3,0),"")</f>
        <v>64</v>
      </c>
      <c r="P1341">
        <f>IFERROR(VLOOKUP(D1341,Products!A:F,4,0),"")</f>
        <v>2768</v>
      </c>
      <c r="Q1341" t="b">
        <f>IFERROR(VLOOKUP(D1341,Products!A:F,6,0),"")</f>
        <v>1</v>
      </c>
      <c r="R1341">
        <f t="shared" si="60"/>
        <v>0.43278688524590164</v>
      </c>
      <c r="S1341">
        <f t="shared" si="61"/>
        <v>1</v>
      </c>
      <c r="T1341">
        <f>IF(AND(S1341&gt;1,COUNTIF($A$2:A1341,A1341)=1),1,0)</f>
        <v>0</v>
      </c>
      <c r="U1341">
        <f>COUNTIF(Customers!$A$2:$A$301,C1341)</f>
        <v>1</v>
      </c>
      <c r="V1341">
        <f t="shared" si="62"/>
        <v>0</v>
      </c>
    </row>
    <row r="1342" spans="1:22" ht="14.25" customHeight="1" x14ac:dyDescent="0.35">
      <c r="A1342" s="10" t="s">
        <v>1795</v>
      </c>
      <c r="B1342" s="11">
        <v>45422</v>
      </c>
      <c r="C1342" s="10" t="s">
        <v>864</v>
      </c>
      <c r="D1342" s="10" t="s">
        <v>328</v>
      </c>
      <c r="E1342" s="10" t="s">
        <v>92</v>
      </c>
      <c r="F1342" s="12">
        <v>4</v>
      </c>
      <c r="G1342" s="12">
        <v>5330</v>
      </c>
      <c r="H1342" s="12">
        <v>16.2</v>
      </c>
      <c r="I1342" s="12">
        <v>17866.16</v>
      </c>
      <c r="J1342" s="10" t="s">
        <v>51</v>
      </c>
      <c r="K1342" s="10" t="s">
        <v>81</v>
      </c>
      <c r="L1342" t="str">
        <f>IFERROR(VLOOKUP(D1342,Products!A:F,3,0),"")</f>
        <v>Electronics</v>
      </c>
      <c r="M1342" t="str">
        <f>IFERROR(VLOOKUP(E1342,Sales_Reps!A:E,3,0),"")</f>
        <v>West</v>
      </c>
      <c r="N1342" t="str">
        <f>IFERROR(VLOOKUP(C1342,Customers!A:F,5,0),"")</f>
        <v>Retail</v>
      </c>
      <c r="O1342">
        <f>IFERROR(VLOOKUP(C1342,Customers!A:F,3,0),"")</f>
        <v>35</v>
      </c>
      <c r="P1342">
        <f>IFERROR(VLOOKUP(D1342,Products!A:F,4,0),"")</f>
        <v>2405</v>
      </c>
      <c r="Q1342" t="b">
        <f>IFERROR(VLOOKUP(D1342,Products!A:F,6,0),"")</f>
        <v>1</v>
      </c>
      <c r="R1342">
        <f t="shared" si="60"/>
        <v>0.54878048780487809</v>
      </c>
      <c r="S1342">
        <f t="shared" si="61"/>
        <v>1</v>
      </c>
      <c r="T1342">
        <f>IF(AND(S1342&gt;1,COUNTIF($A$2:A1342,A1342)=1),1,0)</f>
        <v>0</v>
      </c>
      <c r="U1342">
        <f>COUNTIF(Customers!$A$2:$A$301,C1342)</f>
        <v>1</v>
      </c>
      <c r="V1342">
        <f t="shared" si="62"/>
        <v>0</v>
      </c>
    </row>
    <row r="1343" spans="1:22" ht="14.25" customHeight="1" x14ac:dyDescent="0.35">
      <c r="A1343" s="10" t="s">
        <v>1796</v>
      </c>
      <c r="B1343" s="11">
        <v>45400</v>
      </c>
      <c r="C1343" s="10" t="s">
        <v>443</v>
      </c>
      <c r="D1343" s="10" t="s">
        <v>88</v>
      </c>
      <c r="E1343" s="10" t="s">
        <v>118</v>
      </c>
      <c r="F1343" s="12">
        <v>3</v>
      </c>
      <c r="G1343" s="12">
        <v>5490</v>
      </c>
      <c r="H1343" s="12">
        <v>26.7</v>
      </c>
      <c r="I1343" s="12">
        <v>12072.51</v>
      </c>
      <c r="J1343" s="10" t="s">
        <v>51</v>
      </c>
      <c r="K1343" s="10" t="s">
        <v>52</v>
      </c>
      <c r="L1343" t="str">
        <f>IFERROR(VLOOKUP(D1343,Products!A:F,3,0),"")</f>
        <v>Home</v>
      </c>
      <c r="M1343" t="str">
        <f>IFERROR(VLOOKUP(E1343,Sales_Reps!A:E,3,0),"")</f>
        <v>East</v>
      </c>
      <c r="N1343" t="str">
        <f>IFERROR(VLOOKUP(C1343,Customers!A:F,5,0),"")</f>
        <v>SMB</v>
      </c>
      <c r="O1343">
        <f>IFERROR(VLOOKUP(C1343,Customers!A:F,3,0),"")</f>
        <v>49</v>
      </c>
      <c r="P1343">
        <f>IFERROR(VLOOKUP(D1343,Products!A:F,4,0),"")</f>
        <v>2549</v>
      </c>
      <c r="Q1343" t="b">
        <f>IFERROR(VLOOKUP(D1343,Products!A:F,6,0),"")</f>
        <v>1</v>
      </c>
      <c r="R1343">
        <f t="shared" si="60"/>
        <v>0.53570127504553733</v>
      </c>
      <c r="S1343">
        <f t="shared" si="61"/>
        <v>1</v>
      </c>
      <c r="T1343">
        <f>IF(AND(S1343&gt;1,COUNTIF($A$2:A1343,A1343)=1),1,0)</f>
        <v>0</v>
      </c>
      <c r="U1343">
        <f>COUNTIF(Customers!$A$2:$A$301,C1343)</f>
        <v>1</v>
      </c>
      <c r="V1343">
        <f t="shared" si="62"/>
        <v>0</v>
      </c>
    </row>
    <row r="1344" spans="1:22" ht="14.25" customHeight="1" x14ac:dyDescent="0.35">
      <c r="A1344" s="10" t="s">
        <v>1797</v>
      </c>
      <c r="B1344" s="11">
        <v>45564</v>
      </c>
      <c r="C1344" s="10" t="s">
        <v>142</v>
      </c>
      <c r="D1344" s="10" t="s">
        <v>111</v>
      </c>
      <c r="E1344" s="10" t="s">
        <v>261</v>
      </c>
      <c r="F1344" s="12">
        <v>7</v>
      </c>
      <c r="G1344" s="12">
        <v>190</v>
      </c>
      <c r="H1344" s="12">
        <v>11.6</v>
      </c>
      <c r="I1344" s="12">
        <v>1175.72</v>
      </c>
      <c r="J1344" s="10" t="s">
        <v>51</v>
      </c>
      <c r="K1344" s="10" t="s">
        <v>58</v>
      </c>
      <c r="L1344" t="str">
        <f>IFERROR(VLOOKUP(D1344,Products!A:F,3,0),"")</f>
        <v>Sports</v>
      </c>
      <c r="M1344" t="str">
        <f>IFERROR(VLOOKUP(E1344,Sales_Reps!A:E,3,0),"")</f>
        <v>North</v>
      </c>
      <c r="N1344" t="str">
        <f>IFERROR(VLOOKUP(C1344,Customers!A:F,5,0),"")</f>
        <v>Corporate</v>
      </c>
      <c r="O1344">
        <f>IFERROR(VLOOKUP(C1344,Customers!A:F,3,0),"")</f>
        <v>55</v>
      </c>
      <c r="P1344">
        <f>IFERROR(VLOOKUP(D1344,Products!A:F,4,0),"")</f>
        <v>147</v>
      </c>
      <c r="Q1344" t="b">
        <f>IFERROR(VLOOKUP(D1344,Products!A:F,6,0),"")</f>
        <v>1</v>
      </c>
      <c r="R1344">
        <f t="shared" si="60"/>
        <v>0.22631578947368422</v>
      </c>
      <c r="S1344">
        <f t="shared" si="61"/>
        <v>1</v>
      </c>
      <c r="T1344">
        <f>IF(AND(S1344&gt;1,COUNTIF($A$2:A1344,A1344)=1),1,0)</f>
        <v>0</v>
      </c>
      <c r="U1344">
        <f>COUNTIF(Customers!$A$2:$A$301,C1344)</f>
        <v>1</v>
      </c>
      <c r="V1344">
        <f t="shared" si="62"/>
        <v>0</v>
      </c>
    </row>
    <row r="1345" spans="1:22" ht="14.25" customHeight="1" x14ac:dyDescent="0.35">
      <c r="A1345" s="10" t="s">
        <v>1798</v>
      </c>
      <c r="B1345" s="11">
        <v>45437</v>
      </c>
      <c r="C1345" s="10" t="s">
        <v>78</v>
      </c>
      <c r="D1345" s="10" t="s">
        <v>70</v>
      </c>
      <c r="E1345" s="10" t="s">
        <v>310</v>
      </c>
      <c r="F1345" s="12">
        <v>5</v>
      </c>
      <c r="G1345" s="12">
        <v>3160</v>
      </c>
      <c r="H1345" s="12">
        <v>24.1</v>
      </c>
      <c r="I1345" s="12">
        <v>11992.2</v>
      </c>
      <c r="J1345" s="10" t="s">
        <v>51</v>
      </c>
      <c r="K1345" s="10" t="s">
        <v>81</v>
      </c>
      <c r="L1345" t="str">
        <f>IFERROR(VLOOKUP(D1345,Products!A:F,3,0),"")</f>
        <v>Apparel</v>
      </c>
      <c r="M1345" t="str">
        <f>IFERROR(VLOOKUP(E1345,Sales_Reps!A:E,3,0),"")</f>
        <v>South</v>
      </c>
      <c r="N1345" t="str">
        <f>IFERROR(VLOOKUP(C1345,Customers!A:F,5,0),"")</f>
        <v>Retail</v>
      </c>
      <c r="O1345">
        <f>IFERROR(VLOOKUP(C1345,Customers!A:F,3,0),"")</f>
        <v>27</v>
      </c>
      <c r="P1345">
        <f>IFERROR(VLOOKUP(D1345,Products!A:F,4,0),"")</f>
        <v>1886</v>
      </c>
      <c r="Q1345" t="b">
        <f>IFERROR(VLOOKUP(D1345,Products!A:F,6,0),"")</f>
        <v>1</v>
      </c>
      <c r="R1345">
        <f t="shared" si="60"/>
        <v>0.4031645569620253</v>
      </c>
      <c r="S1345">
        <f t="shared" si="61"/>
        <v>1</v>
      </c>
      <c r="T1345">
        <f>IF(AND(S1345&gt;1,COUNTIF($A$2:A1345,A1345)=1),1,0)</f>
        <v>0</v>
      </c>
      <c r="U1345">
        <f>COUNTIF(Customers!$A$2:$A$301,C1345)</f>
        <v>1</v>
      </c>
      <c r="V1345">
        <f t="shared" si="62"/>
        <v>0</v>
      </c>
    </row>
    <row r="1346" spans="1:22" ht="14.25" customHeight="1" x14ac:dyDescent="0.35">
      <c r="A1346" s="10" t="s">
        <v>1799</v>
      </c>
      <c r="B1346" s="11">
        <v>45395</v>
      </c>
      <c r="C1346" s="10" t="s">
        <v>349</v>
      </c>
      <c r="D1346" s="10" t="s">
        <v>466</v>
      </c>
      <c r="E1346" s="10" t="s">
        <v>118</v>
      </c>
      <c r="F1346" s="12">
        <v>1</v>
      </c>
      <c r="G1346" s="12">
        <v>1090</v>
      </c>
      <c r="H1346" s="12">
        <v>9.6</v>
      </c>
      <c r="I1346" s="12">
        <v>985.36</v>
      </c>
      <c r="J1346" s="10" t="s">
        <v>108</v>
      </c>
      <c r="K1346" s="10" t="s">
        <v>81</v>
      </c>
      <c r="L1346" t="str">
        <f>IFERROR(VLOOKUP(D1346,Products!A:F,3,0),"")</f>
        <v>Home</v>
      </c>
      <c r="M1346" t="str">
        <f>IFERROR(VLOOKUP(E1346,Sales_Reps!A:E,3,0),"")</f>
        <v>East</v>
      </c>
      <c r="N1346" t="str">
        <f>IFERROR(VLOOKUP(C1346,Customers!A:F,5,0),"")</f>
        <v>Retail</v>
      </c>
      <c r="O1346">
        <f>IFERROR(VLOOKUP(C1346,Customers!A:F,3,0),"")</f>
        <v>23</v>
      </c>
      <c r="P1346">
        <f>IFERROR(VLOOKUP(D1346,Products!A:F,4,0),"")</f>
        <v>464</v>
      </c>
      <c r="Q1346" t="b">
        <f>IFERROR(VLOOKUP(D1346,Products!A:F,6,0),"")</f>
        <v>1</v>
      </c>
      <c r="R1346">
        <f t="shared" ref="R1346:R1409" si="63">IFERROR((G1346-P1346)/G1346,"")</f>
        <v>0.57431192660550456</v>
      </c>
      <c r="S1346">
        <f t="shared" ref="S1346:S1409" si="64">COUNTIF($A$2:$A$2001,A1346)</f>
        <v>1</v>
      </c>
      <c r="T1346">
        <f>IF(AND(S1346&gt;1,COUNTIF($A$2:A1346,A1346)=1),1,0)</f>
        <v>0</v>
      </c>
      <c r="U1346">
        <f>COUNTIF(Customers!$A$2:$A$301,C1346)</f>
        <v>1</v>
      </c>
      <c r="V1346">
        <f t="shared" ref="V1346:V1409" si="65">IF(AND(K1346="Bengaluru",L1346="Grocery"),I1346,0)</f>
        <v>0</v>
      </c>
    </row>
    <row r="1347" spans="1:22" ht="14.25" customHeight="1" x14ac:dyDescent="0.35">
      <c r="A1347" s="10" t="s">
        <v>1800</v>
      </c>
      <c r="B1347" s="11">
        <v>45447</v>
      </c>
      <c r="C1347" s="10" t="s">
        <v>346</v>
      </c>
      <c r="D1347" s="10" t="s">
        <v>74</v>
      </c>
      <c r="E1347" s="10" t="s">
        <v>103</v>
      </c>
      <c r="F1347" s="12">
        <v>9</v>
      </c>
      <c r="G1347" s="12">
        <v>370</v>
      </c>
      <c r="H1347" s="12">
        <v>4</v>
      </c>
      <c r="I1347" s="12">
        <v>3196.8</v>
      </c>
      <c r="J1347" s="10" t="s">
        <v>51</v>
      </c>
      <c r="K1347" s="10" t="s">
        <v>63</v>
      </c>
      <c r="L1347" t="str">
        <f>IFERROR(VLOOKUP(D1347,Products!A:F,3,0),"")</f>
        <v>Home</v>
      </c>
      <c r="M1347" t="str">
        <f>IFERROR(VLOOKUP(E1347,Sales_Reps!A:E,3,0),"")</f>
        <v>North</v>
      </c>
      <c r="N1347" t="str">
        <f>IFERROR(VLOOKUP(C1347,Customers!A:F,5,0),"")</f>
        <v>Corporate</v>
      </c>
      <c r="O1347">
        <f>IFERROR(VLOOKUP(C1347,Customers!A:F,3,0),"")</f>
        <v>27</v>
      </c>
      <c r="P1347">
        <f>IFERROR(VLOOKUP(D1347,Products!A:F,4,0),"")</f>
        <v>288</v>
      </c>
      <c r="Q1347" t="b">
        <f>IFERROR(VLOOKUP(D1347,Products!A:F,6,0),"")</f>
        <v>1</v>
      </c>
      <c r="R1347">
        <f t="shared" si="63"/>
        <v>0.22162162162162163</v>
      </c>
      <c r="S1347">
        <f t="shared" si="64"/>
        <v>1</v>
      </c>
      <c r="T1347">
        <f>IF(AND(S1347&gt;1,COUNTIF($A$2:A1347,A1347)=1),1,0)</f>
        <v>0</v>
      </c>
      <c r="U1347">
        <f>COUNTIF(Customers!$A$2:$A$301,C1347)</f>
        <v>1</v>
      </c>
      <c r="V1347">
        <f t="shared" si="65"/>
        <v>0</v>
      </c>
    </row>
    <row r="1348" spans="1:22" ht="14.25" customHeight="1" x14ac:dyDescent="0.35">
      <c r="A1348" s="10" t="s">
        <v>1801</v>
      </c>
      <c r="B1348" s="11">
        <v>45300</v>
      </c>
      <c r="C1348" s="10" t="s">
        <v>181</v>
      </c>
      <c r="D1348" s="10" t="s">
        <v>243</v>
      </c>
      <c r="E1348" s="10" t="s">
        <v>261</v>
      </c>
      <c r="F1348" s="12">
        <v>5</v>
      </c>
      <c r="G1348" s="12">
        <v>2660</v>
      </c>
      <c r="H1348" s="12">
        <v>24.6</v>
      </c>
      <c r="I1348" s="12">
        <v>10028.200000000001</v>
      </c>
      <c r="J1348" s="10" t="s">
        <v>104</v>
      </c>
      <c r="K1348" s="10" t="s">
        <v>58</v>
      </c>
      <c r="L1348" t="str">
        <f>IFERROR(VLOOKUP(D1348,Products!A:F,3,0),"")</f>
        <v>Electronics</v>
      </c>
      <c r="M1348" t="str">
        <f>IFERROR(VLOOKUP(E1348,Sales_Reps!A:E,3,0),"")</f>
        <v>North</v>
      </c>
      <c r="N1348" t="str">
        <f>IFERROR(VLOOKUP(C1348,Customers!A:F,5,0),"")</f>
        <v>Retail</v>
      </c>
      <c r="O1348">
        <f>IFERROR(VLOOKUP(C1348,Customers!A:F,3,0),"")</f>
        <v>51</v>
      </c>
      <c r="P1348">
        <f>IFERROR(VLOOKUP(D1348,Products!A:F,4,0),"")</f>
        <v>1259</v>
      </c>
      <c r="Q1348" t="b">
        <f>IFERROR(VLOOKUP(D1348,Products!A:F,6,0),"")</f>
        <v>0</v>
      </c>
      <c r="R1348">
        <f t="shared" si="63"/>
        <v>0.52669172932330832</v>
      </c>
      <c r="S1348">
        <f t="shared" si="64"/>
        <v>1</v>
      </c>
      <c r="T1348">
        <f>IF(AND(S1348&gt;1,COUNTIF($A$2:A1348,A1348)=1),1,0)</f>
        <v>0</v>
      </c>
      <c r="U1348">
        <f>COUNTIF(Customers!$A$2:$A$301,C1348)</f>
        <v>1</v>
      </c>
      <c r="V1348">
        <f t="shared" si="65"/>
        <v>0</v>
      </c>
    </row>
    <row r="1349" spans="1:22" ht="14.25" customHeight="1" x14ac:dyDescent="0.35">
      <c r="A1349" s="10" t="s">
        <v>1802</v>
      </c>
      <c r="B1349" s="11">
        <v>45327</v>
      </c>
      <c r="C1349" s="10" t="s">
        <v>1325</v>
      </c>
      <c r="D1349" s="10" t="s">
        <v>623</v>
      </c>
      <c r="E1349" s="10" t="s">
        <v>267</v>
      </c>
      <c r="F1349" s="12">
        <v>4</v>
      </c>
      <c r="G1349" s="12">
        <v>3560</v>
      </c>
      <c r="H1349" s="12">
        <v>25.7</v>
      </c>
      <c r="I1349" s="12">
        <v>10580.32</v>
      </c>
      <c r="J1349" s="10" t="s">
        <v>51</v>
      </c>
      <c r="K1349" s="10" t="s">
        <v>58</v>
      </c>
      <c r="L1349" t="str">
        <f>IFERROR(VLOOKUP(D1349,Products!A:F,3,0),"")</f>
        <v>Apparel</v>
      </c>
      <c r="M1349" t="str">
        <f>IFERROR(VLOOKUP(E1349,Sales_Reps!A:E,3,0),"")</f>
        <v>East</v>
      </c>
      <c r="N1349" t="str">
        <f>IFERROR(VLOOKUP(C1349,Customers!A:F,5,0),"")</f>
        <v>Retail</v>
      </c>
      <c r="O1349">
        <f>IFERROR(VLOOKUP(C1349,Customers!A:F,3,0),"")</f>
        <v>34</v>
      </c>
      <c r="P1349">
        <f>IFERROR(VLOOKUP(D1349,Products!A:F,4,0),"")</f>
        <v>2629</v>
      </c>
      <c r="Q1349" t="b">
        <f>IFERROR(VLOOKUP(D1349,Products!A:F,6,0),"")</f>
        <v>1</v>
      </c>
      <c r="R1349">
        <f t="shared" si="63"/>
        <v>0.26151685393258428</v>
      </c>
      <c r="S1349">
        <f t="shared" si="64"/>
        <v>1</v>
      </c>
      <c r="T1349">
        <f>IF(AND(S1349&gt;1,COUNTIF($A$2:A1349,A1349)=1),1,0)</f>
        <v>0</v>
      </c>
      <c r="U1349">
        <f>COUNTIF(Customers!$A$2:$A$301,C1349)</f>
        <v>1</v>
      </c>
      <c r="V1349">
        <f t="shared" si="65"/>
        <v>0</v>
      </c>
    </row>
    <row r="1350" spans="1:22" ht="14.25" customHeight="1" x14ac:dyDescent="0.35">
      <c r="A1350" s="10" t="s">
        <v>1803</v>
      </c>
      <c r="B1350" s="11">
        <v>45410</v>
      </c>
      <c r="C1350" s="10" t="s">
        <v>950</v>
      </c>
      <c r="D1350" s="10" t="s">
        <v>344</v>
      </c>
      <c r="E1350" s="10" t="s">
        <v>56</v>
      </c>
      <c r="F1350" s="12">
        <v>8</v>
      </c>
      <c r="G1350" s="12">
        <v>960</v>
      </c>
      <c r="H1350" s="12">
        <v>0.1</v>
      </c>
      <c r="I1350" s="12">
        <v>7672.32</v>
      </c>
      <c r="J1350" s="10" t="s">
        <v>51</v>
      </c>
      <c r="K1350" s="10" t="s">
        <v>58</v>
      </c>
      <c r="L1350" t="str">
        <f>IFERROR(VLOOKUP(D1350,Products!A:F,3,0),"")</f>
        <v>Beauty</v>
      </c>
      <c r="M1350" t="str">
        <f>IFERROR(VLOOKUP(E1350,Sales_Reps!A:E,3,0),"")</f>
        <v>North</v>
      </c>
      <c r="N1350" t="str">
        <f>IFERROR(VLOOKUP(C1350,Customers!A:F,5,0),"")</f>
        <v>Corporate</v>
      </c>
      <c r="O1350">
        <f>IFERROR(VLOOKUP(C1350,Customers!A:F,3,0),"")</f>
        <v>52</v>
      </c>
      <c r="P1350">
        <f>IFERROR(VLOOKUP(D1350,Products!A:F,4,0),"")</f>
        <v>675</v>
      </c>
      <c r="Q1350" t="b">
        <f>IFERROR(VLOOKUP(D1350,Products!A:F,6,0),"")</f>
        <v>1</v>
      </c>
      <c r="R1350">
        <f t="shared" si="63"/>
        <v>0.296875</v>
      </c>
      <c r="S1350">
        <f t="shared" si="64"/>
        <v>1</v>
      </c>
      <c r="T1350">
        <f>IF(AND(S1350&gt;1,COUNTIF($A$2:A1350,A1350)=1),1,0)</f>
        <v>0</v>
      </c>
      <c r="U1350">
        <f>COUNTIF(Customers!$A$2:$A$301,C1350)</f>
        <v>1</v>
      </c>
      <c r="V1350">
        <f t="shared" si="65"/>
        <v>0</v>
      </c>
    </row>
    <row r="1351" spans="1:22" ht="14.25" customHeight="1" x14ac:dyDescent="0.35">
      <c r="A1351" s="10" t="s">
        <v>1804</v>
      </c>
      <c r="B1351" s="11">
        <v>45644</v>
      </c>
      <c r="C1351" s="10" t="s">
        <v>189</v>
      </c>
      <c r="D1351" s="10" t="s">
        <v>74</v>
      </c>
      <c r="E1351" s="10" t="s">
        <v>80</v>
      </c>
      <c r="F1351" s="12">
        <v>10</v>
      </c>
      <c r="G1351" s="12">
        <v>370</v>
      </c>
      <c r="H1351" s="12">
        <v>16.399999999999999</v>
      </c>
      <c r="I1351" s="12">
        <v>3093.2</v>
      </c>
      <c r="J1351" s="10" t="s">
        <v>104</v>
      </c>
      <c r="K1351" s="10" t="s">
        <v>58</v>
      </c>
      <c r="L1351" t="str">
        <f>IFERROR(VLOOKUP(D1351,Products!A:F,3,0),"")</f>
        <v>Home</v>
      </c>
      <c r="M1351" t="str">
        <f>IFERROR(VLOOKUP(E1351,Sales_Reps!A:E,3,0),"")</f>
        <v>West</v>
      </c>
      <c r="N1351" t="str">
        <f>IFERROR(VLOOKUP(C1351,Customers!A:F,5,0),"")</f>
        <v>Retail</v>
      </c>
      <c r="O1351">
        <f>IFERROR(VLOOKUP(C1351,Customers!A:F,3,0),"")</f>
        <v>37</v>
      </c>
      <c r="P1351">
        <f>IFERROR(VLOOKUP(D1351,Products!A:F,4,0),"")</f>
        <v>288</v>
      </c>
      <c r="Q1351" t="b">
        <f>IFERROR(VLOOKUP(D1351,Products!A:F,6,0),"")</f>
        <v>1</v>
      </c>
      <c r="R1351">
        <f t="shared" si="63"/>
        <v>0.22162162162162163</v>
      </c>
      <c r="S1351">
        <f t="shared" si="64"/>
        <v>1</v>
      </c>
      <c r="T1351">
        <f>IF(AND(S1351&gt;1,COUNTIF($A$2:A1351,A1351)=1),1,0)</f>
        <v>0</v>
      </c>
      <c r="U1351">
        <f>COUNTIF(Customers!$A$2:$A$301,C1351)</f>
        <v>1</v>
      </c>
      <c r="V1351">
        <f t="shared" si="65"/>
        <v>0</v>
      </c>
    </row>
    <row r="1352" spans="1:22" ht="14.25" customHeight="1" x14ac:dyDescent="0.35">
      <c r="A1352" s="10" t="s">
        <v>1805</v>
      </c>
      <c r="B1352" s="11">
        <v>45399</v>
      </c>
      <c r="C1352" s="10" t="s">
        <v>801</v>
      </c>
      <c r="D1352" s="10" t="s">
        <v>137</v>
      </c>
      <c r="E1352" s="10" t="s">
        <v>193</v>
      </c>
      <c r="F1352" s="12">
        <v>4</v>
      </c>
      <c r="G1352" s="12">
        <v>2720</v>
      </c>
      <c r="H1352" s="12">
        <v>3.1</v>
      </c>
      <c r="I1352" s="12">
        <v>10542.72</v>
      </c>
      <c r="J1352" s="10" t="s">
        <v>51</v>
      </c>
      <c r="K1352" s="10" t="s">
        <v>81</v>
      </c>
      <c r="L1352" t="str">
        <f>IFERROR(VLOOKUP(D1352,Products!A:F,3,0),"")</f>
        <v>Apparel</v>
      </c>
      <c r="M1352" t="str">
        <f>IFERROR(VLOOKUP(E1352,Sales_Reps!A:E,3,0),"")</f>
        <v>West</v>
      </c>
      <c r="N1352" t="str">
        <f>IFERROR(VLOOKUP(C1352,Customers!A:F,5,0),"")</f>
        <v>Retail</v>
      </c>
      <c r="O1352">
        <f>IFERROR(VLOOKUP(C1352,Customers!A:F,3,0),"")</f>
        <v>37</v>
      </c>
      <c r="P1352">
        <f>IFERROR(VLOOKUP(D1352,Products!A:F,4,0),"")</f>
        <v>1962</v>
      </c>
      <c r="Q1352" t="b">
        <f>IFERROR(VLOOKUP(D1352,Products!A:F,6,0),"")</f>
        <v>1</v>
      </c>
      <c r="R1352">
        <f t="shared" si="63"/>
        <v>0.2786764705882353</v>
      </c>
      <c r="S1352">
        <f t="shared" si="64"/>
        <v>1</v>
      </c>
      <c r="T1352">
        <f>IF(AND(S1352&gt;1,COUNTIF($A$2:A1352,A1352)=1),1,0)</f>
        <v>0</v>
      </c>
      <c r="U1352">
        <f>COUNTIF(Customers!$A$2:$A$301,C1352)</f>
        <v>1</v>
      </c>
      <c r="V1352">
        <f t="shared" si="65"/>
        <v>0</v>
      </c>
    </row>
    <row r="1353" spans="1:22" ht="14.25" customHeight="1" x14ac:dyDescent="0.35">
      <c r="A1353" s="10" t="s">
        <v>1806</v>
      </c>
      <c r="B1353" s="11">
        <v>45441</v>
      </c>
      <c r="C1353" s="10" t="s">
        <v>369</v>
      </c>
      <c r="D1353" s="10" t="s">
        <v>407</v>
      </c>
      <c r="E1353" s="10" t="s">
        <v>56</v>
      </c>
      <c r="F1353" s="12">
        <v>10</v>
      </c>
      <c r="G1353" s="12">
        <v>5080</v>
      </c>
      <c r="H1353" s="12">
        <v>6.8</v>
      </c>
      <c r="I1353" s="12">
        <v>47345.599999999999</v>
      </c>
      <c r="J1353" s="10" t="s">
        <v>51</v>
      </c>
      <c r="K1353" s="10" t="s">
        <v>58</v>
      </c>
      <c r="L1353" t="str">
        <f>IFERROR(VLOOKUP(D1353,Products!A:F,3,0),"")</f>
        <v>Home</v>
      </c>
      <c r="M1353" t="str">
        <f>IFERROR(VLOOKUP(E1353,Sales_Reps!A:E,3,0),"")</f>
        <v>North</v>
      </c>
      <c r="N1353" t="str">
        <f>IFERROR(VLOOKUP(C1353,Customers!A:F,5,0),"")</f>
        <v>Corporate</v>
      </c>
      <c r="O1353">
        <f>IFERROR(VLOOKUP(C1353,Customers!A:F,3,0),"")</f>
        <v>24</v>
      </c>
      <c r="P1353">
        <f>IFERROR(VLOOKUP(D1353,Products!A:F,4,0),"")</f>
        <v>2459</v>
      </c>
      <c r="Q1353" t="b">
        <f>IFERROR(VLOOKUP(D1353,Products!A:F,6,0),"")</f>
        <v>1</v>
      </c>
      <c r="R1353">
        <f t="shared" si="63"/>
        <v>0.51594488188976373</v>
      </c>
      <c r="S1353">
        <f t="shared" si="64"/>
        <v>1</v>
      </c>
      <c r="T1353">
        <f>IF(AND(S1353&gt;1,COUNTIF($A$2:A1353,A1353)=1),1,0)</f>
        <v>0</v>
      </c>
      <c r="U1353">
        <f>COUNTIF(Customers!$A$2:$A$301,C1353)</f>
        <v>1</v>
      </c>
      <c r="V1353">
        <f t="shared" si="65"/>
        <v>0</v>
      </c>
    </row>
    <row r="1354" spans="1:22" ht="14.25" customHeight="1" x14ac:dyDescent="0.35">
      <c r="A1354" s="10" t="s">
        <v>1807</v>
      </c>
      <c r="B1354" s="11">
        <v>45379</v>
      </c>
      <c r="C1354" s="10" t="s">
        <v>1498</v>
      </c>
      <c r="D1354" s="10" t="s">
        <v>350</v>
      </c>
      <c r="E1354" s="10" t="s">
        <v>71</v>
      </c>
      <c r="F1354" s="12">
        <v>6</v>
      </c>
      <c r="G1354" s="12">
        <v>2290</v>
      </c>
      <c r="H1354" s="12">
        <v>22.6</v>
      </c>
      <c r="I1354" s="12">
        <v>10634.76</v>
      </c>
      <c r="J1354" s="10" t="s">
        <v>51</v>
      </c>
      <c r="K1354" s="10" t="s">
        <v>97</v>
      </c>
      <c r="L1354" t="str">
        <f>IFERROR(VLOOKUP(D1354,Products!A:F,3,0),"")</f>
        <v>Beauty</v>
      </c>
      <c r="M1354" t="str">
        <f>IFERROR(VLOOKUP(E1354,Sales_Reps!A:E,3,0),"")</f>
        <v>North</v>
      </c>
      <c r="N1354" t="str">
        <f>IFERROR(VLOOKUP(C1354,Customers!A:F,5,0),"")</f>
        <v>Corporate</v>
      </c>
      <c r="O1354">
        <f>IFERROR(VLOOKUP(C1354,Customers!A:F,3,0),"")</f>
        <v>25</v>
      </c>
      <c r="P1354">
        <f>IFERROR(VLOOKUP(D1354,Products!A:F,4,0),"")</f>
        <v>1219</v>
      </c>
      <c r="Q1354" t="b">
        <f>IFERROR(VLOOKUP(D1354,Products!A:F,6,0),"")</f>
        <v>1</v>
      </c>
      <c r="R1354">
        <f t="shared" si="63"/>
        <v>0.46768558951965067</v>
      </c>
      <c r="S1354">
        <f t="shared" si="64"/>
        <v>1</v>
      </c>
      <c r="T1354">
        <f>IF(AND(S1354&gt;1,COUNTIF($A$2:A1354,A1354)=1),1,0)</f>
        <v>0</v>
      </c>
      <c r="U1354">
        <f>COUNTIF(Customers!$A$2:$A$301,C1354)</f>
        <v>1</v>
      </c>
      <c r="V1354">
        <f t="shared" si="65"/>
        <v>0</v>
      </c>
    </row>
    <row r="1355" spans="1:22" ht="14.25" customHeight="1" x14ac:dyDescent="0.35">
      <c r="A1355" s="10" t="s">
        <v>1808</v>
      </c>
      <c r="B1355" s="11">
        <v>45502</v>
      </c>
      <c r="C1355" s="10" t="s">
        <v>732</v>
      </c>
      <c r="D1355" s="10" t="s">
        <v>164</v>
      </c>
      <c r="E1355" s="10" t="s">
        <v>67</v>
      </c>
      <c r="F1355" s="12">
        <v>4</v>
      </c>
      <c r="G1355" s="12">
        <v>2760</v>
      </c>
      <c r="H1355" s="12">
        <v>27.2</v>
      </c>
      <c r="I1355" s="12">
        <v>8037.12</v>
      </c>
      <c r="J1355" s="10" t="s">
        <v>108</v>
      </c>
      <c r="K1355" s="10" t="s">
        <v>52</v>
      </c>
      <c r="L1355" t="str">
        <f>IFERROR(VLOOKUP(D1355,Products!A:F,3,0),"")</f>
        <v>Grocery</v>
      </c>
      <c r="M1355" t="str">
        <f>IFERROR(VLOOKUP(E1355,Sales_Reps!A:E,3,0),"")</f>
        <v>North</v>
      </c>
      <c r="N1355" t="str">
        <f>IFERROR(VLOOKUP(C1355,Customers!A:F,5,0),"")</f>
        <v>Corporate</v>
      </c>
      <c r="O1355">
        <f>IFERROR(VLOOKUP(C1355,Customers!A:F,3,0),"")</f>
        <v>42</v>
      </c>
      <c r="P1355">
        <f>IFERROR(VLOOKUP(D1355,Products!A:F,4,0),"")</f>
        <v>1435</v>
      </c>
      <c r="Q1355" t="b">
        <f>IFERROR(VLOOKUP(D1355,Products!A:F,6,0),"")</f>
        <v>1</v>
      </c>
      <c r="R1355">
        <f t="shared" si="63"/>
        <v>0.48007246376811596</v>
      </c>
      <c r="S1355">
        <f t="shared" si="64"/>
        <v>1</v>
      </c>
      <c r="T1355">
        <f>IF(AND(S1355&gt;1,COUNTIF($A$2:A1355,A1355)=1),1,0)</f>
        <v>0</v>
      </c>
      <c r="U1355">
        <f>COUNTIF(Customers!$A$2:$A$301,C1355)</f>
        <v>1</v>
      </c>
      <c r="V1355">
        <f t="shared" si="65"/>
        <v>0</v>
      </c>
    </row>
    <row r="1356" spans="1:22" ht="14.25" customHeight="1" x14ac:dyDescent="0.35">
      <c r="A1356" s="10" t="s">
        <v>1809</v>
      </c>
      <c r="B1356" s="11">
        <v>45466</v>
      </c>
      <c r="C1356" s="10" t="s">
        <v>406</v>
      </c>
      <c r="D1356" s="10" t="s">
        <v>95</v>
      </c>
      <c r="E1356" s="10" t="s">
        <v>307</v>
      </c>
      <c r="F1356" s="12">
        <v>9</v>
      </c>
      <c r="G1356" s="12">
        <v>2270</v>
      </c>
      <c r="H1356" s="12">
        <v>5.2</v>
      </c>
      <c r="I1356" s="12">
        <v>19367.64</v>
      </c>
      <c r="J1356" s="10" t="s">
        <v>51</v>
      </c>
      <c r="K1356" s="10" t="s">
        <v>52</v>
      </c>
      <c r="L1356" t="str">
        <f>IFERROR(VLOOKUP(D1356,Products!A:F,3,0),"")</f>
        <v>Grocery</v>
      </c>
      <c r="M1356" t="str">
        <f>IFERROR(VLOOKUP(E1356,Sales_Reps!A:E,3,0),"")</f>
        <v>West</v>
      </c>
      <c r="N1356" t="str">
        <f>IFERROR(VLOOKUP(C1356,Customers!A:F,5,0),"")</f>
        <v>Retail</v>
      </c>
      <c r="O1356">
        <f>IFERROR(VLOOKUP(C1356,Customers!A:F,3,0),"")</f>
        <v>65</v>
      </c>
      <c r="P1356">
        <f>IFERROR(VLOOKUP(D1356,Products!A:F,4,0),"")</f>
        <v>1203</v>
      </c>
      <c r="Q1356" t="b">
        <f>IFERROR(VLOOKUP(D1356,Products!A:F,6,0),"")</f>
        <v>1</v>
      </c>
      <c r="R1356">
        <f t="shared" si="63"/>
        <v>0.47004405286343615</v>
      </c>
      <c r="S1356">
        <f t="shared" si="64"/>
        <v>1</v>
      </c>
      <c r="T1356">
        <f>IF(AND(S1356&gt;1,COUNTIF($A$2:A1356,A1356)=1),1,0)</f>
        <v>0</v>
      </c>
      <c r="U1356">
        <f>COUNTIF(Customers!$A$2:$A$301,C1356)</f>
        <v>1</v>
      </c>
      <c r="V1356">
        <f t="shared" si="65"/>
        <v>0</v>
      </c>
    </row>
    <row r="1357" spans="1:22" ht="14.25" customHeight="1" x14ac:dyDescent="0.35">
      <c r="A1357" s="10" t="s">
        <v>1810</v>
      </c>
      <c r="B1357" s="11">
        <v>45500</v>
      </c>
      <c r="C1357" s="10" t="s">
        <v>342</v>
      </c>
      <c r="D1357" s="10" t="s">
        <v>319</v>
      </c>
      <c r="E1357" s="10" t="s">
        <v>71</v>
      </c>
      <c r="F1357" s="12">
        <v>3</v>
      </c>
      <c r="G1357" s="12">
        <v>2510</v>
      </c>
      <c r="H1357" s="12">
        <v>16.399999999999999</v>
      </c>
      <c r="I1357" s="12">
        <v>6295.08</v>
      </c>
      <c r="J1357" s="10" t="s">
        <v>51</v>
      </c>
      <c r="K1357" s="10" t="s">
        <v>58</v>
      </c>
      <c r="L1357" t="str">
        <f>IFERROR(VLOOKUP(D1357,Products!A:F,3,0),"")</f>
        <v>Apparel</v>
      </c>
      <c r="M1357" t="str">
        <f>IFERROR(VLOOKUP(E1357,Sales_Reps!A:E,3,0),"")</f>
        <v>North</v>
      </c>
      <c r="N1357" t="str">
        <f>IFERROR(VLOOKUP(C1357,Customers!A:F,5,0),"")</f>
        <v>SMB</v>
      </c>
      <c r="O1357">
        <f>IFERROR(VLOOKUP(C1357,Customers!A:F,3,0),"")</f>
        <v>53</v>
      </c>
      <c r="P1357">
        <f>IFERROR(VLOOKUP(D1357,Products!A:F,4,0),"")</f>
        <v>1075</v>
      </c>
      <c r="Q1357" t="b">
        <f>IFERROR(VLOOKUP(D1357,Products!A:F,6,0),"")</f>
        <v>0</v>
      </c>
      <c r="R1357">
        <f t="shared" si="63"/>
        <v>0.57171314741035861</v>
      </c>
      <c r="S1357">
        <f t="shared" si="64"/>
        <v>1</v>
      </c>
      <c r="T1357">
        <f>IF(AND(S1357&gt;1,COUNTIF($A$2:A1357,A1357)=1),1,0)</f>
        <v>0</v>
      </c>
      <c r="U1357">
        <f>COUNTIF(Customers!$A$2:$A$301,C1357)</f>
        <v>1</v>
      </c>
      <c r="V1357">
        <f t="shared" si="65"/>
        <v>0</v>
      </c>
    </row>
    <row r="1358" spans="1:22" ht="14.25" customHeight="1" x14ac:dyDescent="0.35">
      <c r="A1358" s="10" t="s">
        <v>1811</v>
      </c>
      <c r="B1358" s="11">
        <v>45337</v>
      </c>
      <c r="C1358" s="10" t="s">
        <v>276</v>
      </c>
      <c r="D1358" s="10" t="s">
        <v>331</v>
      </c>
      <c r="E1358" s="10" t="s">
        <v>289</v>
      </c>
      <c r="F1358" s="12">
        <v>1</v>
      </c>
      <c r="G1358" s="12">
        <v>2380</v>
      </c>
      <c r="H1358" s="12">
        <v>23.5</v>
      </c>
      <c r="I1358" s="12">
        <v>1820.7</v>
      </c>
      <c r="J1358" s="10" t="s">
        <v>51</v>
      </c>
      <c r="K1358" s="10" t="s">
        <v>97</v>
      </c>
      <c r="L1358" t="str">
        <f>IFERROR(VLOOKUP(D1358,Products!A:F,3,0),"")</f>
        <v>Grocery</v>
      </c>
      <c r="M1358" t="str">
        <f>IFERROR(VLOOKUP(E1358,Sales_Reps!A:E,3,0),"")</f>
        <v>South</v>
      </c>
      <c r="N1358" t="str">
        <f>IFERROR(VLOOKUP(C1358,Customers!A:F,5,0),"")</f>
        <v>Retail</v>
      </c>
      <c r="O1358">
        <f>IFERROR(VLOOKUP(C1358,Customers!A:F,3,0),"")</f>
        <v>46</v>
      </c>
      <c r="P1358">
        <f>IFERROR(VLOOKUP(D1358,Products!A:F,4,0),"")</f>
        <v>1182</v>
      </c>
      <c r="Q1358" t="b">
        <f>IFERROR(VLOOKUP(D1358,Products!A:F,6,0),"")</f>
        <v>1</v>
      </c>
      <c r="R1358">
        <f t="shared" si="63"/>
        <v>0.50336134453781511</v>
      </c>
      <c r="S1358">
        <f t="shared" si="64"/>
        <v>1</v>
      </c>
      <c r="T1358">
        <f>IF(AND(S1358&gt;1,COUNTIF($A$2:A1358,A1358)=1),1,0)</f>
        <v>0</v>
      </c>
      <c r="U1358">
        <f>COUNTIF(Customers!$A$2:$A$301,C1358)</f>
        <v>1</v>
      </c>
      <c r="V1358">
        <f t="shared" si="65"/>
        <v>0</v>
      </c>
    </row>
    <row r="1359" spans="1:22" ht="14.25" customHeight="1" x14ac:dyDescent="0.35">
      <c r="A1359" s="10" t="s">
        <v>1812</v>
      </c>
      <c r="B1359" s="11">
        <v>45447</v>
      </c>
      <c r="C1359" s="10" t="s">
        <v>801</v>
      </c>
      <c r="D1359" s="10" t="s">
        <v>425</v>
      </c>
      <c r="E1359" s="10" t="s">
        <v>85</v>
      </c>
      <c r="F1359" s="12">
        <v>2</v>
      </c>
      <c r="G1359" s="12">
        <v>3780</v>
      </c>
      <c r="H1359" s="12">
        <v>29.1</v>
      </c>
      <c r="I1359" s="12">
        <v>5360.04</v>
      </c>
      <c r="J1359" s="10" t="s">
        <v>51</v>
      </c>
      <c r="K1359" s="10" t="s">
        <v>81</v>
      </c>
      <c r="L1359" t="str">
        <f>IFERROR(VLOOKUP(D1359,Products!A:F,3,0),"")</f>
        <v>Sports</v>
      </c>
      <c r="M1359" t="str">
        <f>IFERROR(VLOOKUP(E1359,Sales_Reps!A:E,3,0),"")</f>
        <v>East</v>
      </c>
      <c r="N1359" t="str">
        <f>IFERROR(VLOOKUP(C1359,Customers!A:F,5,0),"")</f>
        <v>Retail</v>
      </c>
      <c r="O1359">
        <f>IFERROR(VLOOKUP(C1359,Customers!A:F,3,0),"")</f>
        <v>37</v>
      </c>
      <c r="P1359">
        <f>IFERROR(VLOOKUP(D1359,Products!A:F,4,0),"")</f>
        <v>1860</v>
      </c>
      <c r="Q1359" t="b">
        <f>IFERROR(VLOOKUP(D1359,Products!A:F,6,0),"")</f>
        <v>1</v>
      </c>
      <c r="R1359">
        <f t="shared" si="63"/>
        <v>0.50793650793650791</v>
      </c>
      <c r="S1359">
        <f t="shared" si="64"/>
        <v>1</v>
      </c>
      <c r="T1359">
        <f>IF(AND(S1359&gt;1,COUNTIF($A$2:A1359,A1359)=1),1,0)</f>
        <v>0</v>
      </c>
      <c r="U1359">
        <f>COUNTIF(Customers!$A$2:$A$301,C1359)</f>
        <v>1</v>
      </c>
      <c r="V1359">
        <f t="shared" si="65"/>
        <v>0</v>
      </c>
    </row>
    <row r="1360" spans="1:22" ht="14.25" customHeight="1" x14ac:dyDescent="0.35">
      <c r="A1360" s="10" t="s">
        <v>1813</v>
      </c>
      <c r="B1360" s="11">
        <v>45546</v>
      </c>
      <c r="C1360" s="10" t="s">
        <v>916</v>
      </c>
      <c r="D1360" s="10" t="s">
        <v>416</v>
      </c>
      <c r="E1360" s="10" t="s">
        <v>165</v>
      </c>
      <c r="F1360" s="12">
        <v>1</v>
      </c>
      <c r="G1360" s="12">
        <v>3450</v>
      </c>
      <c r="H1360" s="12">
        <v>17.8</v>
      </c>
      <c r="I1360" s="12">
        <v>2835.9</v>
      </c>
      <c r="J1360" s="10" t="s">
        <v>51</v>
      </c>
      <c r="K1360" s="10" t="s">
        <v>97</v>
      </c>
      <c r="L1360" t="str">
        <f>IFERROR(VLOOKUP(D1360,Products!A:F,3,0),"")</f>
        <v>Apparel</v>
      </c>
      <c r="M1360" t="str">
        <f>IFERROR(VLOOKUP(E1360,Sales_Reps!A:E,3,0),"")</f>
        <v>West</v>
      </c>
      <c r="N1360" t="str">
        <f>IFERROR(VLOOKUP(C1360,Customers!A:F,5,0),"")</f>
        <v>Retail</v>
      </c>
      <c r="O1360">
        <f>IFERROR(VLOOKUP(C1360,Customers!A:F,3,0),"")</f>
        <v>35</v>
      </c>
      <c r="P1360">
        <f>IFERROR(VLOOKUP(D1360,Products!A:F,4,0),"")</f>
        <v>1748</v>
      </c>
      <c r="Q1360" t="b">
        <f>IFERROR(VLOOKUP(D1360,Products!A:F,6,0),"")</f>
        <v>1</v>
      </c>
      <c r="R1360">
        <f t="shared" si="63"/>
        <v>0.49333333333333335</v>
      </c>
      <c r="S1360">
        <f t="shared" si="64"/>
        <v>1</v>
      </c>
      <c r="T1360">
        <f>IF(AND(S1360&gt;1,COUNTIF($A$2:A1360,A1360)=1),1,0)</f>
        <v>0</v>
      </c>
      <c r="U1360">
        <f>COUNTIF(Customers!$A$2:$A$301,C1360)</f>
        <v>1</v>
      </c>
      <c r="V1360">
        <f t="shared" si="65"/>
        <v>0</v>
      </c>
    </row>
    <row r="1361" spans="1:22" ht="14.25" customHeight="1" x14ac:dyDescent="0.35">
      <c r="A1361" s="10" t="s">
        <v>1814</v>
      </c>
      <c r="B1361" s="11">
        <v>45451</v>
      </c>
      <c r="C1361" s="10" t="s">
        <v>352</v>
      </c>
      <c r="D1361" s="10" t="s">
        <v>148</v>
      </c>
      <c r="E1361" s="10" t="s">
        <v>67</v>
      </c>
      <c r="F1361" s="12">
        <v>6</v>
      </c>
      <c r="G1361" s="12">
        <v>4880</v>
      </c>
      <c r="H1361" s="12">
        <v>15.6</v>
      </c>
      <c r="I1361" s="12">
        <v>24712.32</v>
      </c>
      <c r="J1361" s="10" t="s">
        <v>57</v>
      </c>
      <c r="K1361" s="10" t="s">
        <v>97</v>
      </c>
      <c r="L1361" t="str">
        <f>IFERROR(VLOOKUP(D1361,Products!A:F,3,0),"")</f>
        <v>Beauty</v>
      </c>
      <c r="M1361" t="str">
        <f>IFERROR(VLOOKUP(E1361,Sales_Reps!A:E,3,0),"")</f>
        <v>North</v>
      </c>
      <c r="N1361" t="str">
        <f>IFERROR(VLOOKUP(C1361,Customers!A:F,5,0),"")</f>
        <v>Retail</v>
      </c>
      <c r="O1361">
        <f>IFERROR(VLOOKUP(C1361,Customers!A:F,3,0),"")</f>
        <v>44</v>
      </c>
      <c r="P1361">
        <f>IFERROR(VLOOKUP(D1361,Products!A:F,4,0),"")</f>
        <v>2768</v>
      </c>
      <c r="Q1361" t="b">
        <f>IFERROR(VLOOKUP(D1361,Products!A:F,6,0),"")</f>
        <v>1</v>
      </c>
      <c r="R1361">
        <f t="shared" si="63"/>
        <v>0.43278688524590164</v>
      </c>
      <c r="S1361">
        <f t="shared" si="64"/>
        <v>1</v>
      </c>
      <c r="T1361">
        <f>IF(AND(S1361&gt;1,COUNTIF($A$2:A1361,A1361)=1),1,0)</f>
        <v>0</v>
      </c>
      <c r="U1361">
        <f>COUNTIF(Customers!$A$2:$A$301,C1361)</f>
        <v>1</v>
      </c>
      <c r="V1361">
        <f t="shared" si="65"/>
        <v>0</v>
      </c>
    </row>
    <row r="1362" spans="1:22" ht="14.25" customHeight="1" x14ac:dyDescent="0.35">
      <c r="A1362" s="10" t="s">
        <v>1815</v>
      </c>
      <c r="B1362" s="11">
        <v>45427</v>
      </c>
      <c r="C1362" s="10" t="s">
        <v>139</v>
      </c>
      <c r="D1362" s="10" t="s">
        <v>344</v>
      </c>
      <c r="E1362" s="10" t="s">
        <v>310</v>
      </c>
      <c r="F1362" s="12">
        <v>6</v>
      </c>
      <c r="G1362" s="12">
        <v>960</v>
      </c>
      <c r="H1362" s="12">
        <v>7.5</v>
      </c>
      <c r="I1362" s="12">
        <v>5328</v>
      </c>
      <c r="J1362" s="10" t="s">
        <v>57</v>
      </c>
      <c r="K1362" s="10" t="s">
        <v>97</v>
      </c>
      <c r="L1362" t="str">
        <f>IFERROR(VLOOKUP(D1362,Products!A:F,3,0),"")</f>
        <v>Beauty</v>
      </c>
      <c r="M1362" t="str">
        <f>IFERROR(VLOOKUP(E1362,Sales_Reps!A:E,3,0),"")</f>
        <v>South</v>
      </c>
      <c r="N1362" t="str">
        <f>IFERROR(VLOOKUP(C1362,Customers!A:F,5,0),"")</f>
        <v>SMB</v>
      </c>
      <c r="O1362">
        <f>IFERROR(VLOOKUP(C1362,Customers!A:F,3,0),"")</f>
        <v>40</v>
      </c>
      <c r="P1362">
        <f>IFERROR(VLOOKUP(D1362,Products!A:F,4,0),"")</f>
        <v>675</v>
      </c>
      <c r="Q1362" t="b">
        <f>IFERROR(VLOOKUP(D1362,Products!A:F,6,0),"")</f>
        <v>1</v>
      </c>
      <c r="R1362">
        <f t="shared" si="63"/>
        <v>0.296875</v>
      </c>
      <c r="S1362">
        <f t="shared" si="64"/>
        <v>1</v>
      </c>
      <c r="T1362">
        <f>IF(AND(S1362&gt;1,COUNTIF($A$2:A1362,A1362)=1),1,0)</f>
        <v>0</v>
      </c>
      <c r="U1362">
        <f>COUNTIF(Customers!$A$2:$A$301,C1362)</f>
        <v>1</v>
      </c>
      <c r="V1362">
        <f t="shared" si="65"/>
        <v>0</v>
      </c>
    </row>
    <row r="1363" spans="1:22" ht="14.25" customHeight="1" x14ac:dyDescent="0.35">
      <c r="A1363" s="10" t="s">
        <v>1816</v>
      </c>
      <c r="B1363" s="11">
        <v>45532</v>
      </c>
      <c r="C1363" s="10" t="s">
        <v>377</v>
      </c>
      <c r="D1363" s="10" t="s">
        <v>623</v>
      </c>
      <c r="E1363" s="10" t="s">
        <v>118</v>
      </c>
      <c r="F1363" s="12">
        <v>1</v>
      </c>
      <c r="G1363" s="12">
        <v>3560</v>
      </c>
      <c r="H1363" s="12">
        <v>12.9</v>
      </c>
      <c r="I1363" s="12">
        <v>3100.76</v>
      </c>
      <c r="J1363" s="10" t="s">
        <v>51</v>
      </c>
      <c r="K1363" s="10" t="s">
        <v>52</v>
      </c>
      <c r="L1363" t="str">
        <f>IFERROR(VLOOKUP(D1363,Products!A:F,3,0),"")</f>
        <v>Apparel</v>
      </c>
      <c r="M1363" t="str">
        <f>IFERROR(VLOOKUP(E1363,Sales_Reps!A:E,3,0),"")</f>
        <v>East</v>
      </c>
      <c r="N1363" t="str">
        <f>IFERROR(VLOOKUP(C1363,Customers!A:F,5,0),"")</f>
        <v>Retail</v>
      </c>
      <c r="O1363">
        <f>IFERROR(VLOOKUP(C1363,Customers!A:F,3,0),"")</f>
        <v>22</v>
      </c>
      <c r="P1363">
        <f>IFERROR(VLOOKUP(D1363,Products!A:F,4,0),"")</f>
        <v>2629</v>
      </c>
      <c r="Q1363" t="b">
        <f>IFERROR(VLOOKUP(D1363,Products!A:F,6,0),"")</f>
        <v>1</v>
      </c>
      <c r="R1363">
        <f t="shared" si="63"/>
        <v>0.26151685393258428</v>
      </c>
      <c r="S1363">
        <f t="shared" si="64"/>
        <v>1</v>
      </c>
      <c r="T1363">
        <f>IF(AND(S1363&gt;1,COUNTIF($A$2:A1363,A1363)=1),1,0)</f>
        <v>0</v>
      </c>
      <c r="U1363">
        <f>COUNTIF(Customers!$A$2:$A$301,C1363)</f>
        <v>1</v>
      </c>
      <c r="V1363">
        <f t="shared" si="65"/>
        <v>0</v>
      </c>
    </row>
    <row r="1364" spans="1:22" ht="14.25" customHeight="1" x14ac:dyDescent="0.35">
      <c r="A1364" s="10" t="s">
        <v>1817</v>
      </c>
      <c r="B1364" s="11">
        <v>45466</v>
      </c>
      <c r="C1364" s="10" t="s">
        <v>549</v>
      </c>
      <c r="D1364" s="10" t="s">
        <v>315</v>
      </c>
      <c r="E1364" s="10" t="s">
        <v>56</v>
      </c>
      <c r="F1364" s="12">
        <v>5</v>
      </c>
      <c r="G1364" s="12">
        <v>4060</v>
      </c>
      <c r="H1364" s="12">
        <v>18.100000000000001</v>
      </c>
      <c r="I1364" s="12">
        <v>16625.7</v>
      </c>
      <c r="J1364" s="10" t="s">
        <v>57</v>
      </c>
      <c r="K1364" s="10" t="s">
        <v>58</v>
      </c>
      <c r="L1364" t="str">
        <f>IFERROR(VLOOKUP(D1364,Products!A:F,3,0),"")</f>
        <v>Grocery</v>
      </c>
      <c r="M1364" t="str">
        <f>IFERROR(VLOOKUP(E1364,Sales_Reps!A:E,3,0),"")</f>
        <v>North</v>
      </c>
      <c r="N1364" t="str">
        <f>IFERROR(VLOOKUP(C1364,Customers!A:F,5,0),"")</f>
        <v>Retail</v>
      </c>
      <c r="O1364">
        <f>IFERROR(VLOOKUP(C1364,Customers!A:F,3,0),"")</f>
        <v>26</v>
      </c>
      <c r="P1364">
        <f>IFERROR(VLOOKUP(D1364,Products!A:F,4,0),"")</f>
        <v>2911</v>
      </c>
      <c r="Q1364" t="b">
        <f>IFERROR(VLOOKUP(D1364,Products!A:F,6,0),"")</f>
        <v>1</v>
      </c>
      <c r="R1364">
        <f t="shared" si="63"/>
        <v>0.28300492610837441</v>
      </c>
      <c r="S1364">
        <f t="shared" si="64"/>
        <v>1</v>
      </c>
      <c r="T1364">
        <f>IF(AND(S1364&gt;1,COUNTIF($A$2:A1364,A1364)=1),1,0)</f>
        <v>0</v>
      </c>
      <c r="U1364">
        <f>COUNTIF(Customers!$A$2:$A$301,C1364)</f>
        <v>1</v>
      </c>
      <c r="V1364">
        <f t="shared" si="65"/>
        <v>0</v>
      </c>
    </row>
    <row r="1365" spans="1:22" ht="14.25" customHeight="1" x14ac:dyDescent="0.35">
      <c r="A1365" s="10" t="s">
        <v>1818</v>
      </c>
      <c r="B1365" s="11">
        <v>45545</v>
      </c>
      <c r="C1365" s="10" t="s">
        <v>65</v>
      </c>
      <c r="D1365" s="10" t="s">
        <v>137</v>
      </c>
      <c r="E1365" s="10" t="s">
        <v>156</v>
      </c>
      <c r="F1365" s="12">
        <v>10</v>
      </c>
      <c r="G1365" s="12">
        <v>2720</v>
      </c>
      <c r="H1365" s="12">
        <v>23.2</v>
      </c>
      <c r="I1365" s="12">
        <v>20889.599999999999</v>
      </c>
      <c r="J1365" s="10" t="s">
        <v>51</v>
      </c>
      <c r="K1365" s="10" t="s">
        <v>63</v>
      </c>
      <c r="L1365" t="str">
        <f>IFERROR(VLOOKUP(D1365,Products!A:F,3,0),"")</f>
        <v>Apparel</v>
      </c>
      <c r="M1365" t="str">
        <f>IFERROR(VLOOKUP(E1365,Sales_Reps!A:E,3,0),"")</f>
        <v>East</v>
      </c>
      <c r="N1365" t="str">
        <f>IFERROR(VLOOKUP(C1365,Customers!A:F,5,0),"")</f>
        <v>Corporate</v>
      </c>
      <c r="O1365">
        <f>IFERROR(VLOOKUP(C1365,Customers!A:F,3,0),"")</f>
        <v>46</v>
      </c>
      <c r="P1365">
        <f>IFERROR(VLOOKUP(D1365,Products!A:F,4,0),"")</f>
        <v>1962</v>
      </c>
      <c r="Q1365" t="b">
        <f>IFERROR(VLOOKUP(D1365,Products!A:F,6,0),"")</f>
        <v>1</v>
      </c>
      <c r="R1365">
        <f t="shared" si="63"/>
        <v>0.2786764705882353</v>
      </c>
      <c r="S1365">
        <f t="shared" si="64"/>
        <v>1</v>
      </c>
      <c r="T1365">
        <f>IF(AND(S1365&gt;1,COUNTIF($A$2:A1365,A1365)=1),1,0)</f>
        <v>0</v>
      </c>
      <c r="U1365">
        <f>COUNTIF(Customers!$A$2:$A$301,C1365)</f>
        <v>1</v>
      </c>
      <c r="V1365">
        <f t="shared" si="65"/>
        <v>0</v>
      </c>
    </row>
    <row r="1366" spans="1:22" ht="14.25" customHeight="1" x14ac:dyDescent="0.35">
      <c r="A1366" s="10" t="s">
        <v>1692</v>
      </c>
      <c r="B1366" s="11">
        <v>45547</v>
      </c>
      <c r="C1366" s="10" t="s">
        <v>525</v>
      </c>
      <c r="D1366" s="10" t="s">
        <v>302</v>
      </c>
      <c r="E1366" s="10" t="s">
        <v>249</v>
      </c>
      <c r="F1366" s="12">
        <v>1</v>
      </c>
      <c r="G1366" s="12">
        <v>2210</v>
      </c>
      <c r="H1366" s="12">
        <v>5.8</v>
      </c>
      <c r="I1366" s="12">
        <v>2081.8200000000002</v>
      </c>
      <c r="J1366" s="10" t="s">
        <v>57</v>
      </c>
      <c r="K1366" s="10" t="s">
        <v>97</v>
      </c>
      <c r="L1366" t="str">
        <f>IFERROR(VLOOKUP(D1366,Products!A:F,3,0),"")</f>
        <v>Grocery</v>
      </c>
      <c r="M1366" t="str">
        <f>IFERROR(VLOOKUP(E1366,Sales_Reps!A:E,3,0),"")</f>
        <v>East</v>
      </c>
      <c r="N1366" t="str">
        <f>IFERROR(VLOOKUP(C1366,Customers!A:F,5,0),"")</f>
        <v>SMB</v>
      </c>
      <c r="O1366">
        <f>IFERROR(VLOOKUP(C1366,Customers!A:F,3,0),"")</f>
        <v>43</v>
      </c>
      <c r="P1366">
        <f>IFERROR(VLOOKUP(D1366,Products!A:F,4,0),"")</f>
        <v>1010</v>
      </c>
      <c r="Q1366" t="b">
        <f>IFERROR(VLOOKUP(D1366,Products!A:F,6,0),"")</f>
        <v>1</v>
      </c>
      <c r="R1366">
        <f t="shared" si="63"/>
        <v>0.54298642533936647</v>
      </c>
      <c r="S1366">
        <f t="shared" si="64"/>
        <v>2</v>
      </c>
      <c r="T1366">
        <f>IF(AND(S1366&gt;1,COUNTIF($A$2:A1366,A1366)=1),1,0)</f>
        <v>0</v>
      </c>
      <c r="U1366">
        <f>COUNTIF(Customers!$A$2:$A$301,C1366)</f>
        <v>1</v>
      </c>
      <c r="V1366">
        <f t="shared" si="65"/>
        <v>0</v>
      </c>
    </row>
    <row r="1367" spans="1:22" ht="14.25" customHeight="1" x14ac:dyDescent="0.35">
      <c r="A1367" s="10" t="s">
        <v>1819</v>
      </c>
      <c r="B1367" s="11">
        <v>45547</v>
      </c>
      <c r="C1367" s="10" t="s">
        <v>124</v>
      </c>
      <c r="D1367" s="10" t="s">
        <v>121</v>
      </c>
      <c r="E1367" s="10" t="s">
        <v>216</v>
      </c>
      <c r="F1367" s="12">
        <v>5</v>
      </c>
      <c r="G1367" s="12">
        <v>3450</v>
      </c>
      <c r="H1367" s="12">
        <v>27.9</v>
      </c>
      <c r="I1367" s="12">
        <v>12437.25</v>
      </c>
      <c r="J1367" s="10" t="s">
        <v>57</v>
      </c>
      <c r="K1367" s="10" t="s">
        <v>76</v>
      </c>
      <c r="L1367" t="str">
        <f>IFERROR(VLOOKUP(D1367,Products!A:F,3,0),"")</f>
        <v>Beauty</v>
      </c>
      <c r="M1367" t="str">
        <f>IFERROR(VLOOKUP(E1367,Sales_Reps!A:E,3,0),"")</f>
        <v>South</v>
      </c>
      <c r="N1367" t="str">
        <f>IFERROR(VLOOKUP(C1367,Customers!A:F,5,0),"")</f>
        <v>Retail</v>
      </c>
      <c r="O1367">
        <f>IFERROR(VLOOKUP(C1367,Customers!A:F,3,0),"")</f>
        <v>54</v>
      </c>
      <c r="P1367">
        <f>IFERROR(VLOOKUP(D1367,Products!A:F,4,0),"")</f>
        <v>2420</v>
      </c>
      <c r="Q1367" t="b">
        <f>IFERROR(VLOOKUP(D1367,Products!A:F,6,0),"")</f>
        <v>1</v>
      </c>
      <c r="R1367">
        <f t="shared" si="63"/>
        <v>0.29855072463768118</v>
      </c>
      <c r="S1367">
        <f t="shared" si="64"/>
        <v>1</v>
      </c>
      <c r="T1367">
        <f>IF(AND(S1367&gt;1,COUNTIF($A$2:A1367,A1367)=1),1,0)</f>
        <v>0</v>
      </c>
      <c r="U1367">
        <f>COUNTIF(Customers!$A$2:$A$301,C1367)</f>
        <v>1</v>
      </c>
      <c r="V1367">
        <f t="shared" si="65"/>
        <v>0</v>
      </c>
    </row>
    <row r="1368" spans="1:22" ht="14.25" customHeight="1" x14ac:dyDescent="0.35">
      <c r="A1368" s="10" t="s">
        <v>1820</v>
      </c>
      <c r="B1368" s="11">
        <v>45550</v>
      </c>
      <c r="C1368" s="10" t="s">
        <v>176</v>
      </c>
      <c r="D1368" s="10" t="s">
        <v>331</v>
      </c>
      <c r="E1368" s="10" t="s">
        <v>118</v>
      </c>
      <c r="F1368" s="12">
        <v>9</v>
      </c>
      <c r="G1368" s="12">
        <v>2380</v>
      </c>
      <c r="H1368" s="12">
        <v>15.2</v>
      </c>
      <c r="I1368" s="12">
        <v>18164.16</v>
      </c>
      <c r="J1368" s="10" t="s">
        <v>108</v>
      </c>
      <c r="K1368" s="10" t="s">
        <v>76</v>
      </c>
      <c r="L1368" t="str">
        <f>IFERROR(VLOOKUP(D1368,Products!A:F,3,0),"")</f>
        <v>Grocery</v>
      </c>
      <c r="M1368" t="str">
        <f>IFERROR(VLOOKUP(E1368,Sales_Reps!A:E,3,0),"")</f>
        <v>East</v>
      </c>
      <c r="N1368" t="str">
        <f>IFERROR(VLOOKUP(C1368,Customers!A:F,5,0),"")</f>
        <v>SMB</v>
      </c>
      <c r="O1368">
        <f>IFERROR(VLOOKUP(C1368,Customers!A:F,3,0),"")</f>
        <v>36</v>
      </c>
      <c r="P1368">
        <f>IFERROR(VLOOKUP(D1368,Products!A:F,4,0),"")</f>
        <v>1182</v>
      </c>
      <c r="Q1368" t="b">
        <f>IFERROR(VLOOKUP(D1368,Products!A:F,6,0),"")</f>
        <v>1</v>
      </c>
      <c r="R1368">
        <f t="shared" si="63"/>
        <v>0.50336134453781511</v>
      </c>
      <c r="S1368">
        <f t="shared" si="64"/>
        <v>1</v>
      </c>
      <c r="T1368">
        <f>IF(AND(S1368&gt;1,COUNTIF($A$2:A1368,A1368)=1),1,0)</f>
        <v>0</v>
      </c>
      <c r="U1368">
        <f>COUNTIF(Customers!$A$2:$A$301,C1368)</f>
        <v>1</v>
      </c>
      <c r="V1368">
        <f t="shared" si="65"/>
        <v>0</v>
      </c>
    </row>
    <row r="1369" spans="1:22" ht="14.25" customHeight="1" x14ac:dyDescent="0.35">
      <c r="A1369" s="10" t="s">
        <v>1821</v>
      </c>
      <c r="B1369" s="11">
        <v>45551</v>
      </c>
      <c r="C1369" s="10" t="s">
        <v>363</v>
      </c>
      <c r="D1369" s="10" t="s">
        <v>331</v>
      </c>
      <c r="E1369" s="10" t="s">
        <v>261</v>
      </c>
      <c r="F1369" s="12">
        <v>2</v>
      </c>
      <c r="G1369" s="12">
        <v>2380</v>
      </c>
      <c r="H1369" s="12">
        <v>24.3</v>
      </c>
      <c r="I1369" s="12">
        <v>3603.32</v>
      </c>
      <c r="J1369" s="10" t="s">
        <v>51</v>
      </c>
      <c r="K1369" s="10" t="s">
        <v>63</v>
      </c>
      <c r="L1369" t="str">
        <f>IFERROR(VLOOKUP(D1369,Products!A:F,3,0),"")</f>
        <v>Grocery</v>
      </c>
      <c r="M1369" t="str">
        <f>IFERROR(VLOOKUP(E1369,Sales_Reps!A:E,3,0),"")</f>
        <v>North</v>
      </c>
      <c r="N1369" t="str">
        <f>IFERROR(VLOOKUP(C1369,Customers!A:F,5,0),"")</f>
        <v>SMB</v>
      </c>
      <c r="O1369">
        <f>IFERROR(VLOOKUP(C1369,Customers!A:F,3,0),"")</f>
        <v>53</v>
      </c>
      <c r="P1369">
        <f>IFERROR(VLOOKUP(D1369,Products!A:F,4,0),"")</f>
        <v>1182</v>
      </c>
      <c r="Q1369" t="b">
        <f>IFERROR(VLOOKUP(D1369,Products!A:F,6,0),"")</f>
        <v>1</v>
      </c>
      <c r="R1369">
        <f t="shared" si="63"/>
        <v>0.50336134453781511</v>
      </c>
      <c r="S1369">
        <f t="shared" si="64"/>
        <v>1</v>
      </c>
      <c r="T1369">
        <f>IF(AND(S1369&gt;1,COUNTIF($A$2:A1369,A1369)=1),1,0)</f>
        <v>0</v>
      </c>
      <c r="U1369">
        <f>COUNTIF(Customers!$A$2:$A$301,C1369)</f>
        <v>1</v>
      </c>
      <c r="V1369">
        <f t="shared" si="65"/>
        <v>0</v>
      </c>
    </row>
    <row r="1370" spans="1:22" ht="14.25" customHeight="1" x14ac:dyDescent="0.35">
      <c r="A1370" s="10" t="s">
        <v>1822</v>
      </c>
      <c r="B1370" s="11">
        <v>45560</v>
      </c>
      <c r="C1370" s="10" t="s">
        <v>65</v>
      </c>
      <c r="D1370" s="10" t="s">
        <v>623</v>
      </c>
      <c r="E1370" s="10" t="s">
        <v>289</v>
      </c>
      <c r="F1370" s="12">
        <v>9</v>
      </c>
      <c r="G1370" s="12">
        <v>3560</v>
      </c>
      <c r="H1370" s="12">
        <v>6.6</v>
      </c>
      <c r="I1370" s="12">
        <v>29925.360000000001</v>
      </c>
      <c r="J1370" s="10" t="s">
        <v>108</v>
      </c>
      <c r="K1370" s="10" t="s">
        <v>63</v>
      </c>
      <c r="L1370" t="str">
        <f>IFERROR(VLOOKUP(D1370,Products!A:F,3,0),"")</f>
        <v>Apparel</v>
      </c>
      <c r="M1370" t="str">
        <f>IFERROR(VLOOKUP(E1370,Sales_Reps!A:E,3,0),"")</f>
        <v>South</v>
      </c>
      <c r="N1370" t="str">
        <f>IFERROR(VLOOKUP(C1370,Customers!A:F,5,0),"")</f>
        <v>Corporate</v>
      </c>
      <c r="O1370">
        <f>IFERROR(VLOOKUP(C1370,Customers!A:F,3,0),"")</f>
        <v>46</v>
      </c>
      <c r="P1370">
        <f>IFERROR(VLOOKUP(D1370,Products!A:F,4,0),"")</f>
        <v>2629</v>
      </c>
      <c r="Q1370" t="b">
        <f>IFERROR(VLOOKUP(D1370,Products!A:F,6,0),"")</f>
        <v>1</v>
      </c>
      <c r="R1370">
        <f t="shared" si="63"/>
        <v>0.26151685393258428</v>
      </c>
      <c r="S1370">
        <f t="shared" si="64"/>
        <v>1</v>
      </c>
      <c r="T1370">
        <f>IF(AND(S1370&gt;1,COUNTIF($A$2:A1370,A1370)=1),1,0)</f>
        <v>0</v>
      </c>
      <c r="U1370">
        <f>COUNTIF(Customers!$A$2:$A$301,C1370)</f>
        <v>1</v>
      </c>
      <c r="V1370">
        <f t="shared" si="65"/>
        <v>0</v>
      </c>
    </row>
    <row r="1371" spans="1:22" ht="14.25" customHeight="1" x14ac:dyDescent="0.35">
      <c r="A1371" s="10" t="s">
        <v>1823</v>
      </c>
      <c r="B1371" s="11">
        <v>45330</v>
      </c>
      <c r="C1371" s="10" t="s">
        <v>436</v>
      </c>
      <c r="D1371" s="10" t="s">
        <v>231</v>
      </c>
      <c r="E1371" s="10" t="s">
        <v>267</v>
      </c>
      <c r="F1371" s="12">
        <v>7</v>
      </c>
      <c r="G1371" s="12">
        <v>1220</v>
      </c>
      <c r="H1371" s="12">
        <v>29.4</v>
      </c>
      <c r="I1371" s="12">
        <v>6029.24</v>
      </c>
      <c r="J1371" s="10" t="s">
        <v>51</v>
      </c>
      <c r="K1371" s="10" t="s">
        <v>58</v>
      </c>
      <c r="L1371" t="str">
        <f>IFERROR(VLOOKUP(D1371,Products!A:F,3,0),"")</f>
        <v>Electronics</v>
      </c>
      <c r="M1371" t="str">
        <f>IFERROR(VLOOKUP(E1371,Sales_Reps!A:E,3,0),"")</f>
        <v>East</v>
      </c>
      <c r="N1371" t="str">
        <f>IFERROR(VLOOKUP(C1371,Customers!A:F,5,0),"")</f>
        <v>Corporate</v>
      </c>
      <c r="O1371">
        <f>IFERROR(VLOOKUP(C1371,Customers!A:F,3,0),"")</f>
        <v>35</v>
      </c>
      <c r="P1371">
        <f>IFERROR(VLOOKUP(D1371,Products!A:F,4,0),"")</f>
        <v>517</v>
      </c>
      <c r="Q1371" t="b">
        <f>IFERROR(VLOOKUP(D1371,Products!A:F,6,0),"")</f>
        <v>1</v>
      </c>
      <c r="R1371">
        <f t="shared" si="63"/>
        <v>0.57622950819672136</v>
      </c>
      <c r="S1371">
        <f t="shared" si="64"/>
        <v>1</v>
      </c>
      <c r="T1371">
        <f>IF(AND(S1371&gt;1,COUNTIF($A$2:A1371,A1371)=1),1,0)</f>
        <v>0</v>
      </c>
      <c r="U1371">
        <f>COUNTIF(Customers!$A$2:$A$301,C1371)</f>
        <v>1</v>
      </c>
      <c r="V1371">
        <f t="shared" si="65"/>
        <v>0</v>
      </c>
    </row>
    <row r="1372" spans="1:22" ht="14.25" customHeight="1" x14ac:dyDescent="0.35">
      <c r="A1372" s="10" t="s">
        <v>1824</v>
      </c>
      <c r="B1372" s="11">
        <v>45560</v>
      </c>
      <c r="C1372" s="10" t="s">
        <v>519</v>
      </c>
      <c r="D1372" s="10" t="s">
        <v>479</v>
      </c>
      <c r="E1372" s="10" t="s">
        <v>202</v>
      </c>
      <c r="F1372" s="12">
        <v>7</v>
      </c>
      <c r="G1372" s="12">
        <v>6940</v>
      </c>
      <c r="H1372" s="12">
        <v>9.6</v>
      </c>
      <c r="I1372" s="12">
        <v>43916.32</v>
      </c>
      <c r="J1372" s="10" t="s">
        <v>51</v>
      </c>
      <c r="K1372" s="10" t="s">
        <v>76</v>
      </c>
      <c r="L1372" t="str">
        <f>IFERROR(VLOOKUP(D1372,Products!A:F,3,0),"")</f>
        <v>Sports</v>
      </c>
      <c r="M1372" t="str">
        <f>IFERROR(VLOOKUP(E1372,Sales_Reps!A:E,3,0),"")</f>
        <v>East</v>
      </c>
      <c r="N1372" t="str">
        <f>IFERROR(VLOOKUP(C1372,Customers!A:F,5,0),"")</f>
        <v>Retail</v>
      </c>
      <c r="O1372">
        <f>IFERROR(VLOOKUP(C1372,Customers!A:F,3,0),"")</f>
        <v>37</v>
      </c>
      <c r="P1372">
        <f>IFERROR(VLOOKUP(D1372,Products!A:F,4,0),"")</f>
        <v>2827</v>
      </c>
      <c r="Q1372" t="b">
        <f>IFERROR(VLOOKUP(D1372,Products!A:F,6,0),"")</f>
        <v>1</v>
      </c>
      <c r="R1372">
        <f t="shared" si="63"/>
        <v>0.5926512968299712</v>
      </c>
      <c r="S1372">
        <f t="shared" si="64"/>
        <v>1</v>
      </c>
      <c r="T1372">
        <f>IF(AND(S1372&gt;1,COUNTIF($A$2:A1372,A1372)=1),1,0)</f>
        <v>0</v>
      </c>
      <c r="U1372">
        <f>COUNTIF(Customers!$A$2:$A$301,C1372)</f>
        <v>1</v>
      </c>
      <c r="V1372">
        <f t="shared" si="65"/>
        <v>0</v>
      </c>
    </row>
    <row r="1373" spans="1:22" ht="14.25" customHeight="1" x14ac:dyDescent="0.35">
      <c r="A1373" s="10" t="s">
        <v>1825</v>
      </c>
      <c r="B1373" s="11">
        <v>45395</v>
      </c>
      <c r="C1373" s="10" t="s">
        <v>869</v>
      </c>
      <c r="D1373" s="10" t="s">
        <v>466</v>
      </c>
      <c r="E1373" s="10" t="s">
        <v>249</v>
      </c>
      <c r="F1373" s="12">
        <v>2</v>
      </c>
      <c r="G1373" s="12">
        <v>1090</v>
      </c>
      <c r="H1373" s="12">
        <v>17</v>
      </c>
      <c r="I1373" s="12">
        <v>1809.4</v>
      </c>
      <c r="J1373" s="10" t="s">
        <v>51</v>
      </c>
      <c r="K1373" s="10" t="s">
        <v>76</v>
      </c>
      <c r="L1373" t="str">
        <f>IFERROR(VLOOKUP(D1373,Products!A:F,3,0),"")</f>
        <v>Home</v>
      </c>
      <c r="M1373" t="str">
        <f>IFERROR(VLOOKUP(E1373,Sales_Reps!A:E,3,0),"")</f>
        <v>East</v>
      </c>
      <c r="N1373" t="str">
        <f>IFERROR(VLOOKUP(C1373,Customers!A:F,5,0),"")</f>
        <v>SMB</v>
      </c>
      <c r="O1373">
        <f>IFERROR(VLOOKUP(C1373,Customers!A:F,3,0),"")</f>
        <v>43</v>
      </c>
      <c r="P1373">
        <f>IFERROR(VLOOKUP(D1373,Products!A:F,4,0),"")</f>
        <v>464</v>
      </c>
      <c r="Q1373" t="b">
        <f>IFERROR(VLOOKUP(D1373,Products!A:F,6,0),"")</f>
        <v>1</v>
      </c>
      <c r="R1373">
        <f t="shared" si="63"/>
        <v>0.57431192660550456</v>
      </c>
      <c r="S1373">
        <f t="shared" si="64"/>
        <v>1</v>
      </c>
      <c r="T1373">
        <f>IF(AND(S1373&gt;1,COUNTIF($A$2:A1373,A1373)=1),1,0)</f>
        <v>0</v>
      </c>
      <c r="U1373">
        <f>COUNTIF(Customers!$A$2:$A$301,C1373)</f>
        <v>1</v>
      </c>
      <c r="V1373">
        <f t="shared" si="65"/>
        <v>0</v>
      </c>
    </row>
    <row r="1374" spans="1:22" ht="14.25" customHeight="1" x14ac:dyDescent="0.35">
      <c r="A1374" s="10" t="s">
        <v>1826</v>
      </c>
      <c r="B1374" s="11">
        <v>45486</v>
      </c>
      <c r="C1374" s="10" t="s">
        <v>749</v>
      </c>
      <c r="D1374" s="10" t="s">
        <v>331</v>
      </c>
      <c r="E1374" s="10" t="s">
        <v>92</v>
      </c>
      <c r="F1374" s="12">
        <v>4</v>
      </c>
      <c r="G1374" s="12">
        <v>2380</v>
      </c>
      <c r="H1374" s="12">
        <v>18.899999999999999</v>
      </c>
      <c r="I1374" s="12">
        <v>7720.72</v>
      </c>
      <c r="J1374" s="10" t="s">
        <v>57</v>
      </c>
      <c r="K1374" s="10" t="s">
        <v>52</v>
      </c>
      <c r="L1374" t="str">
        <f>IFERROR(VLOOKUP(D1374,Products!A:F,3,0),"")</f>
        <v>Grocery</v>
      </c>
      <c r="M1374" t="str">
        <f>IFERROR(VLOOKUP(E1374,Sales_Reps!A:E,3,0),"")</f>
        <v>West</v>
      </c>
      <c r="N1374" t="str">
        <f>IFERROR(VLOOKUP(C1374,Customers!A:F,5,0),"")</f>
        <v>Retail</v>
      </c>
      <c r="O1374">
        <f>IFERROR(VLOOKUP(C1374,Customers!A:F,3,0),"")</f>
        <v>31</v>
      </c>
      <c r="P1374">
        <f>IFERROR(VLOOKUP(D1374,Products!A:F,4,0),"")</f>
        <v>1182</v>
      </c>
      <c r="Q1374" t="b">
        <f>IFERROR(VLOOKUP(D1374,Products!A:F,6,0),"")</f>
        <v>1</v>
      </c>
      <c r="R1374">
        <f t="shared" si="63"/>
        <v>0.50336134453781511</v>
      </c>
      <c r="S1374">
        <f t="shared" si="64"/>
        <v>1</v>
      </c>
      <c r="T1374">
        <f>IF(AND(S1374&gt;1,COUNTIF($A$2:A1374,A1374)=1),1,0)</f>
        <v>0</v>
      </c>
      <c r="U1374">
        <f>COUNTIF(Customers!$A$2:$A$301,C1374)</f>
        <v>1</v>
      </c>
      <c r="V1374">
        <f t="shared" si="65"/>
        <v>0</v>
      </c>
    </row>
    <row r="1375" spans="1:22" ht="14.25" customHeight="1" x14ac:dyDescent="0.35">
      <c r="A1375" s="10" t="s">
        <v>1827</v>
      </c>
      <c r="B1375" s="11">
        <v>45578</v>
      </c>
      <c r="C1375" s="10" t="s">
        <v>869</v>
      </c>
      <c r="D1375" s="10" t="s">
        <v>95</v>
      </c>
      <c r="E1375" s="10" t="s">
        <v>103</v>
      </c>
      <c r="F1375" s="12">
        <v>6</v>
      </c>
      <c r="G1375" s="12">
        <v>2270</v>
      </c>
      <c r="H1375" s="12">
        <v>20.9</v>
      </c>
      <c r="I1375" s="12">
        <v>10773.42</v>
      </c>
      <c r="J1375" s="10" t="s">
        <v>57</v>
      </c>
      <c r="K1375" s="10" t="s">
        <v>76</v>
      </c>
      <c r="L1375" t="str">
        <f>IFERROR(VLOOKUP(D1375,Products!A:F,3,0),"")</f>
        <v>Grocery</v>
      </c>
      <c r="M1375" t="str">
        <f>IFERROR(VLOOKUP(E1375,Sales_Reps!A:E,3,0),"")</f>
        <v>North</v>
      </c>
      <c r="N1375" t="str">
        <f>IFERROR(VLOOKUP(C1375,Customers!A:F,5,0),"")</f>
        <v>SMB</v>
      </c>
      <c r="O1375">
        <f>IFERROR(VLOOKUP(C1375,Customers!A:F,3,0),"")</f>
        <v>43</v>
      </c>
      <c r="P1375">
        <f>IFERROR(VLOOKUP(D1375,Products!A:F,4,0),"")</f>
        <v>1203</v>
      </c>
      <c r="Q1375" t="b">
        <f>IFERROR(VLOOKUP(D1375,Products!A:F,6,0),"")</f>
        <v>1</v>
      </c>
      <c r="R1375">
        <f t="shared" si="63"/>
        <v>0.47004405286343615</v>
      </c>
      <c r="S1375">
        <f t="shared" si="64"/>
        <v>1</v>
      </c>
      <c r="T1375">
        <f>IF(AND(S1375&gt;1,COUNTIF($A$2:A1375,A1375)=1),1,0)</f>
        <v>0</v>
      </c>
      <c r="U1375">
        <f>COUNTIF(Customers!$A$2:$A$301,C1375)</f>
        <v>1</v>
      </c>
      <c r="V1375">
        <f t="shared" si="65"/>
        <v>0</v>
      </c>
    </row>
    <row r="1376" spans="1:22" ht="14.25" customHeight="1" x14ac:dyDescent="0.35">
      <c r="A1376" s="10" t="s">
        <v>1828</v>
      </c>
      <c r="B1376" s="11">
        <v>45581</v>
      </c>
      <c r="C1376" s="10" t="s">
        <v>780</v>
      </c>
      <c r="D1376" s="10" t="s">
        <v>259</v>
      </c>
      <c r="E1376" s="10" t="s">
        <v>85</v>
      </c>
      <c r="F1376" s="12">
        <v>10</v>
      </c>
      <c r="G1376" s="12">
        <v>2030</v>
      </c>
      <c r="H1376" s="12">
        <v>25</v>
      </c>
      <c r="I1376" s="12">
        <v>15225</v>
      </c>
      <c r="J1376" s="10" t="s">
        <v>51</v>
      </c>
      <c r="K1376" s="10" t="s">
        <v>52</v>
      </c>
      <c r="L1376" t="str">
        <f>IFERROR(VLOOKUP(D1376,Products!A:F,3,0),"")</f>
        <v>Home</v>
      </c>
      <c r="M1376" t="str">
        <f>IFERROR(VLOOKUP(E1376,Sales_Reps!A:E,3,0),"")</f>
        <v>East</v>
      </c>
      <c r="N1376" t="str">
        <f>IFERROR(VLOOKUP(C1376,Customers!A:F,5,0),"")</f>
        <v>Retail</v>
      </c>
      <c r="O1376">
        <f>IFERROR(VLOOKUP(C1376,Customers!A:F,3,0),"")</f>
        <v>36</v>
      </c>
      <c r="P1376">
        <f>IFERROR(VLOOKUP(D1376,Products!A:F,4,0),"")</f>
        <v>1143</v>
      </c>
      <c r="Q1376" t="b">
        <f>IFERROR(VLOOKUP(D1376,Products!A:F,6,0),"")</f>
        <v>1</v>
      </c>
      <c r="R1376">
        <f t="shared" si="63"/>
        <v>0.43694581280788175</v>
      </c>
      <c r="S1376">
        <f t="shared" si="64"/>
        <v>1</v>
      </c>
      <c r="T1376">
        <f>IF(AND(S1376&gt;1,COUNTIF($A$2:A1376,A1376)=1),1,0)</f>
        <v>0</v>
      </c>
      <c r="U1376">
        <f>COUNTIF(Customers!$A$2:$A$301,C1376)</f>
        <v>1</v>
      </c>
      <c r="V1376">
        <f t="shared" si="65"/>
        <v>0</v>
      </c>
    </row>
    <row r="1377" spans="1:22" ht="14.25" customHeight="1" x14ac:dyDescent="0.35">
      <c r="A1377" s="10" t="s">
        <v>1829</v>
      </c>
      <c r="B1377" s="11">
        <v>45508</v>
      </c>
      <c r="C1377" s="10" t="s">
        <v>354</v>
      </c>
      <c r="D1377" s="10" t="s">
        <v>466</v>
      </c>
      <c r="E1377" s="10" t="s">
        <v>307</v>
      </c>
      <c r="F1377" s="12">
        <v>3</v>
      </c>
      <c r="G1377" s="12">
        <v>1090</v>
      </c>
      <c r="H1377" s="12">
        <v>12.1</v>
      </c>
      <c r="I1377" s="12">
        <v>2874.33</v>
      </c>
      <c r="J1377" s="10" t="s">
        <v>51</v>
      </c>
      <c r="K1377" s="10" t="s">
        <v>52</v>
      </c>
      <c r="L1377" t="str">
        <f>IFERROR(VLOOKUP(D1377,Products!A:F,3,0),"")</f>
        <v>Home</v>
      </c>
      <c r="M1377" t="str">
        <f>IFERROR(VLOOKUP(E1377,Sales_Reps!A:E,3,0),"")</f>
        <v>West</v>
      </c>
      <c r="N1377" t="str">
        <f>IFERROR(VLOOKUP(C1377,Customers!A:F,5,0),"")</f>
        <v>SMB</v>
      </c>
      <c r="O1377">
        <f>IFERROR(VLOOKUP(C1377,Customers!A:F,3,0),"")</f>
        <v>54</v>
      </c>
      <c r="P1377">
        <f>IFERROR(VLOOKUP(D1377,Products!A:F,4,0),"")</f>
        <v>464</v>
      </c>
      <c r="Q1377" t="b">
        <f>IFERROR(VLOOKUP(D1377,Products!A:F,6,0),"")</f>
        <v>1</v>
      </c>
      <c r="R1377">
        <f t="shared" si="63"/>
        <v>0.57431192660550456</v>
      </c>
      <c r="S1377">
        <f t="shared" si="64"/>
        <v>1</v>
      </c>
      <c r="T1377">
        <f>IF(AND(S1377&gt;1,COUNTIF($A$2:A1377,A1377)=1),1,0)</f>
        <v>0</v>
      </c>
      <c r="U1377">
        <f>COUNTIF(Customers!$A$2:$A$301,C1377)</f>
        <v>1</v>
      </c>
      <c r="V1377">
        <f t="shared" si="65"/>
        <v>0</v>
      </c>
    </row>
    <row r="1378" spans="1:22" ht="14.25" customHeight="1" x14ac:dyDescent="0.35">
      <c r="A1378" s="10" t="s">
        <v>1830</v>
      </c>
      <c r="B1378" s="11">
        <v>45303</v>
      </c>
      <c r="C1378" s="10" t="s">
        <v>869</v>
      </c>
      <c r="D1378" s="10" t="s">
        <v>319</v>
      </c>
      <c r="E1378" s="10" t="s">
        <v>202</v>
      </c>
      <c r="F1378" s="12">
        <v>3</v>
      </c>
      <c r="G1378" s="12">
        <v>2510</v>
      </c>
      <c r="H1378" s="12">
        <v>28.7</v>
      </c>
      <c r="I1378" s="12">
        <v>5368.89</v>
      </c>
      <c r="J1378" s="10" t="s">
        <v>51</v>
      </c>
      <c r="K1378" s="10" t="s">
        <v>76</v>
      </c>
      <c r="L1378" t="str">
        <f>IFERROR(VLOOKUP(D1378,Products!A:F,3,0),"")</f>
        <v>Apparel</v>
      </c>
      <c r="M1378" t="str">
        <f>IFERROR(VLOOKUP(E1378,Sales_Reps!A:E,3,0),"")</f>
        <v>East</v>
      </c>
      <c r="N1378" t="str">
        <f>IFERROR(VLOOKUP(C1378,Customers!A:F,5,0),"")</f>
        <v>SMB</v>
      </c>
      <c r="O1378">
        <f>IFERROR(VLOOKUP(C1378,Customers!A:F,3,0),"")</f>
        <v>43</v>
      </c>
      <c r="P1378">
        <f>IFERROR(VLOOKUP(D1378,Products!A:F,4,0),"")</f>
        <v>1075</v>
      </c>
      <c r="Q1378" t="b">
        <f>IFERROR(VLOOKUP(D1378,Products!A:F,6,0),"")</f>
        <v>0</v>
      </c>
      <c r="R1378">
        <f t="shared" si="63"/>
        <v>0.57171314741035861</v>
      </c>
      <c r="S1378">
        <f t="shared" si="64"/>
        <v>1</v>
      </c>
      <c r="T1378">
        <f>IF(AND(S1378&gt;1,COUNTIF($A$2:A1378,A1378)=1),1,0)</f>
        <v>0</v>
      </c>
      <c r="U1378">
        <f>COUNTIF(Customers!$A$2:$A$301,C1378)</f>
        <v>1</v>
      </c>
      <c r="V1378">
        <f t="shared" si="65"/>
        <v>0</v>
      </c>
    </row>
    <row r="1379" spans="1:22" ht="14.25" customHeight="1" x14ac:dyDescent="0.35">
      <c r="A1379" s="10" t="s">
        <v>1831</v>
      </c>
      <c r="B1379" s="11">
        <v>45412</v>
      </c>
      <c r="C1379" s="10" t="s">
        <v>1587</v>
      </c>
      <c r="D1379" s="10" t="s">
        <v>95</v>
      </c>
      <c r="E1379" s="10" t="s">
        <v>165</v>
      </c>
      <c r="F1379" s="12">
        <v>9</v>
      </c>
      <c r="G1379" s="12">
        <v>2270</v>
      </c>
      <c r="H1379" s="12">
        <v>25.4</v>
      </c>
      <c r="I1379" s="12">
        <v>15240.78</v>
      </c>
      <c r="J1379" s="10" t="s">
        <v>57</v>
      </c>
      <c r="K1379" s="10" t="s">
        <v>81</v>
      </c>
      <c r="L1379" t="str">
        <f>IFERROR(VLOOKUP(D1379,Products!A:F,3,0),"")</f>
        <v>Grocery</v>
      </c>
      <c r="M1379" t="str">
        <f>IFERROR(VLOOKUP(E1379,Sales_Reps!A:E,3,0),"")</f>
        <v>West</v>
      </c>
      <c r="N1379" t="str">
        <f>IFERROR(VLOOKUP(C1379,Customers!A:F,5,0),"")</f>
        <v>Retail</v>
      </c>
      <c r="O1379">
        <f>IFERROR(VLOOKUP(C1379,Customers!A:F,3,0),"")</f>
        <v>53</v>
      </c>
      <c r="P1379">
        <f>IFERROR(VLOOKUP(D1379,Products!A:F,4,0),"")</f>
        <v>1203</v>
      </c>
      <c r="Q1379" t="b">
        <f>IFERROR(VLOOKUP(D1379,Products!A:F,6,0),"")</f>
        <v>1</v>
      </c>
      <c r="R1379">
        <f t="shared" si="63"/>
        <v>0.47004405286343615</v>
      </c>
      <c r="S1379">
        <f t="shared" si="64"/>
        <v>1</v>
      </c>
      <c r="T1379">
        <f>IF(AND(S1379&gt;1,COUNTIF($A$2:A1379,A1379)=1),1,0)</f>
        <v>0</v>
      </c>
      <c r="U1379">
        <f>COUNTIF(Customers!$A$2:$A$301,C1379)</f>
        <v>1</v>
      </c>
      <c r="V1379">
        <f t="shared" si="65"/>
        <v>15240.78</v>
      </c>
    </row>
    <row r="1380" spans="1:22" ht="14.25" customHeight="1" x14ac:dyDescent="0.35">
      <c r="A1380" s="10" t="s">
        <v>1832</v>
      </c>
      <c r="B1380" s="11">
        <v>45400</v>
      </c>
      <c r="C1380" s="10" t="s">
        <v>65</v>
      </c>
      <c r="D1380" s="10" t="s">
        <v>372</v>
      </c>
      <c r="E1380" s="10" t="s">
        <v>193</v>
      </c>
      <c r="F1380" s="12">
        <v>9</v>
      </c>
      <c r="G1380" s="12">
        <v>3970</v>
      </c>
      <c r="H1380" s="12">
        <v>10.1</v>
      </c>
      <c r="I1380" s="12">
        <v>32121.27</v>
      </c>
      <c r="J1380" s="10" t="s">
        <v>104</v>
      </c>
      <c r="K1380" s="10" t="s">
        <v>63</v>
      </c>
      <c r="L1380" t="str">
        <f>IFERROR(VLOOKUP(D1380,Products!A:F,3,0),"")</f>
        <v>Electronics</v>
      </c>
      <c r="M1380" t="str">
        <f>IFERROR(VLOOKUP(E1380,Sales_Reps!A:E,3,0),"")</f>
        <v>West</v>
      </c>
      <c r="N1380" t="str">
        <f>IFERROR(VLOOKUP(C1380,Customers!A:F,5,0),"")</f>
        <v>Corporate</v>
      </c>
      <c r="O1380">
        <f>IFERROR(VLOOKUP(C1380,Customers!A:F,3,0),"")</f>
        <v>46</v>
      </c>
      <c r="P1380">
        <f>IFERROR(VLOOKUP(D1380,Products!A:F,4,0),"")</f>
        <v>2865</v>
      </c>
      <c r="Q1380" t="b">
        <f>IFERROR(VLOOKUP(D1380,Products!A:F,6,0),"")</f>
        <v>1</v>
      </c>
      <c r="R1380">
        <f t="shared" si="63"/>
        <v>0.27833753148614609</v>
      </c>
      <c r="S1380">
        <f t="shared" si="64"/>
        <v>1</v>
      </c>
      <c r="T1380">
        <f>IF(AND(S1380&gt;1,COUNTIF($A$2:A1380,A1380)=1),1,0)</f>
        <v>0</v>
      </c>
      <c r="U1380">
        <f>COUNTIF(Customers!$A$2:$A$301,C1380)</f>
        <v>1</v>
      </c>
      <c r="V1380">
        <f t="shared" si="65"/>
        <v>0</v>
      </c>
    </row>
    <row r="1381" spans="1:22" ht="14.25" customHeight="1" x14ac:dyDescent="0.35">
      <c r="A1381" s="10" t="s">
        <v>1833</v>
      </c>
      <c r="B1381" s="11">
        <v>45570</v>
      </c>
      <c r="C1381" s="10" t="s">
        <v>581</v>
      </c>
      <c r="D1381" s="10" t="s">
        <v>302</v>
      </c>
      <c r="E1381" s="10" t="s">
        <v>62</v>
      </c>
      <c r="F1381" s="12">
        <v>6</v>
      </c>
      <c r="G1381" s="12">
        <v>2210</v>
      </c>
      <c r="H1381" s="12">
        <v>7.4</v>
      </c>
      <c r="I1381" s="12">
        <v>12278.76</v>
      </c>
      <c r="J1381" s="10" t="s">
        <v>51</v>
      </c>
      <c r="K1381" s="10" t="s">
        <v>76</v>
      </c>
      <c r="L1381" t="str">
        <f>IFERROR(VLOOKUP(D1381,Products!A:F,3,0),"")</f>
        <v>Grocery</v>
      </c>
      <c r="M1381" t="str">
        <f>IFERROR(VLOOKUP(E1381,Sales_Reps!A:E,3,0),"")</f>
        <v>South</v>
      </c>
      <c r="N1381" t="str">
        <f>IFERROR(VLOOKUP(C1381,Customers!A:F,5,0),"")</f>
        <v>SMB</v>
      </c>
      <c r="O1381">
        <f>IFERROR(VLOOKUP(C1381,Customers!A:F,3,0),"")</f>
        <v>65</v>
      </c>
      <c r="P1381">
        <f>IFERROR(VLOOKUP(D1381,Products!A:F,4,0),"")</f>
        <v>1010</v>
      </c>
      <c r="Q1381" t="b">
        <f>IFERROR(VLOOKUP(D1381,Products!A:F,6,0),"")</f>
        <v>1</v>
      </c>
      <c r="R1381">
        <f t="shared" si="63"/>
        <v>0.54298642533936647</v>
      </c>
      <c r="S1381">
        <f t="shared" si="64"/>
        <v>1</v>
      </c>
      <c r="T1381">
        <f>IF(AND(S1381&gt;1,COUNTIF($A$2:A1381,A1381)=1),1,0)</f>
        <v>0</v>
      </c>
      <c r="U1381">
        <f>COUNTIF(Customers!$A$2:$A$301,C1381)</f>
        <v>1</v>
      </c>
      <c r="V1381">
        <f t="shared" si="65"/>
        <v>0</v>
      </c>
    </row>
    <row r="1382" spans="1:22" ht="14.25" customHeight="1" x14ac:dyDescent="0.35">
      <c r="A1382" s="10" t="s">
        <v>1834</v>
      </c>
      <c r="B1382" s="11">
        <v>45360</v>
      </c>
      <c r="C1382" s="10" t="s">
        <v>239</v>
      </c>
      <c r="D1382" s="10" t="s">
        <v>223</v>
      </c>
      <c r="E1382" s="10" t="s">
        <v>202</v>
      </c>
      <c r="F1382" s="12">
        <v>7</v>
      </c>
      <c r="G1382" s="12">
        <v>1540</v>
      </c>
      <c r="H1382" s="12">
        <v>20.6</v>
      </c>
      <c r="I1382" s="12">
        <v>8559.32</v>
      </c>
      <c r="J1382" s="10" t="s">
        <v>51</v>
      </c>
      <c r="K1382" s="10" t="s">
        <v>52</v>
      </c>
      <c r="L1382" t="str">
        <f>IFERROR(VLOOKUP(D1382,Products!A:F,3,0),"")</f>
        <v>Beauty</v>
      </c>
      <c r="M1382" t="str">
        <f>IFERROR(VLOOKUP(E1382,Sales_Reps!A:E,3,0),"")</f>
        <v>East</v>
      </c>
      <c r="N1382" t="str">
        <f>IFERROR(VLOOKUP(C1382,Customers!A:F,5,0),"")</f>
        <v>Retail</v>
      </c>
      <c r="O1382">
        <f>IFERROR(VLOOKUP(C1382,Customers!A:F,3,0),"")</f>
        <v>44</v>
      </c>
      <c r="P1382">
        <f>IFERROR(VLOOKUP(D1382,Products!A:F,4,0),"")</f>
        <v>647</v>
      </c>
      <c r="Q1382" t="b">
        <f>IFERROR(VLOOKUP(D1382,Products!A:F,6,0),"")</f>
        <v>0</v>
      </c>
      <c r="R1382">
        <f t="shared" si="63"/>
        <v>0.57987012987012987</v>
      </c>
      <c r="S1382">
        <f t="shared" si="64"/>
        <v>1</v>
      </c>
      <c r="T1382">
        <f>IF(AND(S1382&gt;1,COUNTIF($A$2:A1382,A1382)=1),1,0)</f>
        <v>0</v>
      </c>
      <c r="U1382">
        <f>COUNTIF(Customers!$A$2:$A$301,C1382)</f>
        <v>1</v>
      </c>
      <c r="V1382">
        <f t="shared" si="65"/>
        <v>0</v>
      </c>
    </row>
    <row r="1383" spans="1:22" ht="14.25" customHeight="1" x14ac:dyDescent="0.35">
      <c r="A1383" s="10" t="s">
        <v>1835</v>
      </c>
      <c r="B1383" s="11">
        <v>45334</v>
      </c>
      <c r="C1383" s="10" t="s">
        <v>761</v>
      </c>
      <c r="D1383" s="10" t="s">
        <v>234</v>
      </c>
      <c r="E1383" s="10" t="s">
        <v>307</v>
      </c>
      <c r="F1383" s="12">
        <v>9</v>
      </c>
      <c r="G1383" s="12">
        <v>4610</v>
      </c>
      <c r="H1383" s="12">
        <v>2.1</v>
      </c>
      <c r="I1383" s="12">
        <v>40618.71</v>
      </c>
      <c r="J1383" s="10" t="s">
        <v>51</v>
      </c>
      <c r="K1383" s="10" t="s">
        <v>63</v>
      </c>
      <c r="L1383" t="str">
        <f>IFERROR(VLOOKUP(D1383,Products!A:F,3,0),"")</f>
        <v>Home</v>
      </c>
      <c r="M1383" t="str">
        <f>IFERROR(VLOOKUP(E1383,Sales_Reps!A:E,3,0),"")</f>
        <v>West</v>
      </c>
      <c r="N1383" t="str">
        <f>IFERROR(VLOOKUP(C1383,Customers!A:F,5,0),"")</f>
        <v>Retail</v>
      </c>
      <c r="O1383">
        <f>IFERROR(VLOOKUP(C1383,Customers!A:F,3,0),"")</f>
        <v>63</v>
      </c>
      <c r="P1383">
        <f>IFERROR(VLOOKUP(D1383,Products!A:F,4,0),"")</f>
        <v>1850</v>
      </c>
      <c r="Q1383" t="b">
        <f>IFERROR(VLOOKUP(D1383,Products!A:F,6,0),"")</f>
        <v>1</v>
      </c>
      <c r="R1383">
        <f t="shared" si="63"/>
        <v>0.59869848156182215</v>
      </c>
      <c r="S1383">
        <f t="shared" si="64"/>
        <v>1</v>
      </c>
      <c r="T1383">
        <f>IF(AND(S1383&gt;1,COUNTIF($A$2:A1383,A1383)=1),1,0)</f>
        <v>0</v>
      </c>
      <c r="U1383">
        <f>COUNTIF(Customers!$A$2:$A$301,C1383)</f>
        <v>1</v>
      </c>
      <c r="V1383">
        <f t="shared" si="65"/>
        <v>0</v>
      </c>
    </row>
    <row r="1384" spans="1:22" ht="14.25" customHeight="1" x14ac:dyDescent="0.35">
      <c r="A1384" s="10" t="s">
        <v>1836</v>
      </c>
      <c r="B1384" s="11">
        <v>45527</v>
      </c>
      <c r="C1384" s="10" t="s">
        <v>693</v>
      </c>
      <c r="D1384" s="10" t="s">
        <v>372</v>
      </c>
      <c r="E1384" s="10" t="s">
        <v>261</v>
      </c>
      <c r="F1384" s="12">
        <v>10</v>
      </c>
      <c r="G1384" s="12">
        <v>3970</v>
      </c>
      <c r="H1384" s="12">
        <v>13.3</v>
      </c>
      <c r="I1384" s="12">
        <v>34419.9</v>
      </c>
      <c r="J1384" s="10" t="s">
        <v>57</v>
      </c>
      <c r="K1384" s="10" t="s">
        <v>76</v>
      </c>
      <c r="L1384" t="str">
        <f>IFERROR(VLOOKUP(D1384,Products!A:F,3,0),"")</f>
        <v>Electronics</v>
      </c>
      <c r="M1384" t="str">
        <f>IFERROR(VLOOKUP(E1384,Sales_Reps!A:E,3,0),"")</f>
        <v>North</v>
      </c>
      <c r="N1384" t="str">
        <f>IFERROR(VLOOKUP(C1384,Customers!A:F,5,0),"")</f>
        <v>Retail</v>
      </c>
      <c r="O1384">
        <f>IFERROR(VLOOKUP(C1384,Customers!A:F,3,0),"")</f>
        <v>56</v>
      </c>
      <c r="P1384">
        <f>IFERROR(VLOOKUP(D1384,Products!A:F,4,0),"")</f>
        <v>2865</v>
      </c>
      <c r="Q1384" t="b">
        <f>IFERROR(VLOOKUP(D1384,Products!A:F,6,0),"")</f>
        <v>1</v>
      </c>
      <c r="R1384">
        <f t="shared" si="63"/>
        <v>0.27833753148614609</v>
      </c>
      <c r="S1384">
        <f t="shared" si="64"/>
        <v>1</v>
      </c>
      <c r="T1384">
        <f>IF(AND(S1384&gt;1,COUNTIF($A$2:A1384,A1384)=1),1,0)</f>
        <v>0</v>
      </c>
      <c r="U1384">
        <f>COUNTIF(Customers!$A$2:$A$301,C1384)</f>
        <v>1</v>
      </c>
      <c r="V1384">
        <f t="shared" si="65"/>
        <v>0</v>
      </c>
    </row>
    <row r="1385" spans="1:22" ht="14.25" customHeight="1" x14ac:dyDescent="0.35">
      <c r="A1385" s="10" t="s">
        <v>1837</v>
      </c>
      <c r="B1385" s="11">
        <v>45534</v>
      </c>
      <c r="C1385" s="10" t="s">
        <v>648</v>
      </c>
      <c r="D1385" s="10" t="s">
        <v>243</v>
      </c>
      <c r="E1385" s="10" t="s">
        <v>71</v>
      </c>
      <c r="F1385" s="12">
        <v>8</v>
      </c>
      <c r="G1385" s="12">
        <v>2660</v>
      </c>
      <c r="H1385" s="12">
        <v>16.8</v>
      </c>
      <c r="I1385" s="12">
        <v>17704.96</v>
      </c>
      <c r="J1385" s="10" t="s">
        <v>51</v>
      </c>
      <c r="K1385" s="10" t="s">
        <v>63</v>
      </c>
      <c r="L1385" t="str">
        <f>IFERROR(VLOOKUP(D1385,Products!A:F,3,0),"")</f>
        <v>Electronics</v>
      </c>
      <c r="M1385" t="str">
        <f>IFERROR(VLOOKUP(E1385,Sales_Reps!A:E,3,0),"")</f>
        <v>North</v>
      </c>
      <c r="N1385" t="str">
        <f>IFERROR(VLOOKUP(C1385,Customers!A:F,5,0),"")</f>
        <v>Retail</v>
      </c>
      <c r="O1385">
        <f>IFERROR(VLOOKUP(C1385,Customers!A:F,3,0),"")</f>
        <v>41</v>
      </c>
      <c r="P1385">
        <f>IFERROR(VLOOKUP(D1385,Products!A:F,4,0),"")</f>
        <v>1259</v>
      </c>
      <c r="Q1385" t="b">
        <f>IFERROR(VLOOKUP(D1385,Products!A:F,6,0),"")</f>
        <v>0</v>
      </c>
      <c r="R1385">
        <f t="shared" si="63"/>
        <v>0.52669172932330832</v>
      </c>
      <c r="S1385">
        <f t="shared" si="64"/>
        <v>1</v>
      </c>
      <c r="T1385">
        <f>IF(AND(S1385&gt;1,COUNTIF($A$2:A1385,A1385)=1),1,0)</f>
        <v>0</v>
      </c>
      <c r="U1385">
        <f>COUNTIF(Customers!$A$2:$A$301,C1385)</f>
        <v>1</v>
      </c>
      <c r="V1385">
        <f t="shared" si="65"/>
        <v>0</v>
      </c>
    </row>
    <row r="1386" spans="1:22" ht="14.25" customHeight="1" x14ac:dyDescent="0.35">
      <c r="A1386" s="10" t="s">
        <v>1838</v>
      </c>
      <c r="B1386" s="11">
        <v>45329</v>
      </c>
      <c r="C1386" s="10" t="s">
        <v>1839</v>
      </c>
      <c r="D1386" s="10" t="s">
        <v>121</v>
      </c>
      <c r="E1386" s="10" t="s">
        <v>122</v>
      </c>
      <c r="F1386" s="12">
        <v>6</v>
      </c>
      <c r="G1386" s="12">
        <v>3450</v>
      </c>
      <c r="H1386" s="12">
        <v>23.4</v>
      </c>
      <c r="I1386" s="12">
        <v>15856.2</v>
      </c>
      <c r="J1386" s="10" t="s">
        <v>51</v>
      </c>
      <c r="K1386" s="10" t="s">
        <v>58</v>
      </c>
      <c r="L1386" t="str">
        <f>IFERROR(VLOOKUP(D1386,Products!A:F,3,0),"")</f>
        <v>Beauty</v>
      </c>
      <c r="M1386" t="str">
        <f>IFERROR(VLOOKUP(E1386,Sales_Reps!A:E,3,0),"")</f>
        <v>East</v>
      </c>
      <c r="N1386" t="str">
        <f>IFERROR(VLOOKUP(C1386,Customers!A:F,5,0),"")</f>
        <v>Corporate</v>
      </c>
      <c r="O1386">
        <f>IFERROR(VLOOKUP(C1386,Customers!A:F,3,0),"")</f>
        <v>54</v>
      </c>
      <c r="P1386">
        <f>IFERROR(VLOOKUP(D1386,Products!A:F,4,0),"")</f>
        <v>2420</v>
      </c>
      <c r="Q1386" t="b">
        <f>IFERROR(VLOOKUP(D1386,Products!A:F,6,0),"")</f>
        <v>1</v>
      </c>
      <c r="R1386">
        <f t="shared" si="63"/>
        <v>0.29855072463768118</v>
      </c>
      <c r="S1386">
        <f t="shared" si="64"/>
        <v>1</v>
      </c>
      <c r="T1386">
        <f>IF(AND(S1386&gt;1,COUNTIF($A$2:A1386,A1386)=1),1,0)</f>
        <v>0</v>
      </c>
      <c r="U1386">
        <f>COUNTIF(Customers!$A$2:$A$301,C1386)</f>
        <v>1</v>
      </c>
      <c r="V1386">
        <f t="shared" si="65"/>
        <v>0</v>
      </c>
    </row>
    <row r="1387" spans="1:22" ht="14.25" customHeight="1" x14ac:dyDescent="0.35">
      <c r="A1387" s="10" t="s">
        <v>1840</v>
      </c>
      <c r="B1387" s="11">
        <v>45621</v>
      </c>
      <c r="C1387" s="10" t="s">
        <v>559</v>
      </c>
      <c r="D1387" s="10" t="s">
        <v>61</v>
      </c>
      <c r="E1387" s="10" t="s">
        <v>50</v>
      </c>
      <c r="F1387" s="12">
        <v>10</v>
      </c>
      <c r="G1387" s="12">
        <v>470</v>
      </c>
      <c r="H1387" s="12">
        <v>21.2</v>
      </c>
      <c r="I1387" s="12">
        <v>3703.6</v>
      </c>
      <c r="J1387" s="10" t="s">
        <v>51</v>
      </c>
      <c r="K1387" s="10" t="s">
        <v>63</v>
      </c>
      <c r="L1387" t="str">
        <f>IFERROR(VLOOKUP(D1387,Products!A:F,3,0),"")</f>
        <v>Sports</v>
      </c>
      <c r="M1387" t="str">
        <f>IFERROR(VLOOKUP(E1387,Sales_Reps!A:E,3,0),"")</f>
        <v>North</v>
      </c>
      <c r="N1387" t="str">
        <f>IFERROR(VLOOKUP(C1387,Customers!A:F,5,0),"")</f>
        <v>SMB</v>
      </c>
      <c r="O1387">
        <f>IFERROR(VLOOKUP(C1387,Customers!A:F,3,0),"")</f>
        <v>48</v>
      </c>
      <c r="P1387">
        <f>IFERROR(VLOOKUP(D1387,Products!A:F,4,0),"")</f>
        <v>302</v>
      </c>
      <c r="Q1387" t="b">
        <f>IFERROR(VLOOKUP(D1387,Products!A:F,6,0),"")</f>
        <v>0</v>
      </c>
      <c r="R1387">
        <f t="shared" si="63"/>
        <v>0.35744680851063831</v>
      </c>
      <c r="S1387">
        <f t="shared" si="64"/>
        <v>1</v>
      </c>
      <c r="T1387">
        <f>IF(AND(S1387&gt;1,COUNTIF($A$2:A1387,A1387)=1),1,0)</f>
        <v>0</v>
      </c>
      <c r="U1387">
        <f>COUNTIF(Customers!$A$2:$A$301,C1387)</f>
        <v>1</v>
      </c>
      <c r="V1387">
        <f t="shared" si="65"/>
        <v>0</v>
      </c>
    </row>
    <row r="1388" spans="1:22" ht="14.25" customHeight="1" x14ac:dyDescent="0.35">
      <c r="A1388" s="10" t="s">
        <v>440</v>
      </c>
      <c r="B1388" s="11">
        <v>45334</v>
      </c>
      <c r="C1388" s="10" t="s">
        <v>377</v>
      </c>
      <c r="D1388" s="10" t="s">
        <v>425</v>
      </c>
      <c r="E1388" s="10" t="s">
        <v>249</v>
      </c>
      <c r="F1388" s="12">
        <v>7</v>
      </c>
      <c r="G1388" s="12">
        <v>3780</v>
      </c>
      <c r="H1388" s="12">
        <v>10.1</v>
      </c>
      <c r="I1388" s="12">
        <v>23787.54</v>
      </c>
      <c r="J1388" s="10" t="s">
        <v>51</v>
      </c>
      <c r="K1388" s="10" t="s">
        <v>52</v>
      </c>
      <c r="L1388" t="str">
        <f>IFERROR(VLOOKUP(D1388,Products!A:F,3,0),"")</f>
        <v>Sports</v>
      </c>
      <c r="M1388" t="str">
        <f>IFERROR(VLOOKUP(E1388,Sales_Reps!A:E,3,0),"")</f>
        <v>East</v>
      </c>
      <c r="N1388" t="str">
        <f>IFERROR(VLOOKUP(C1388,Customers!A:F,5,0),"")</f>
        <v>Retail</v>
      </c>
      <c r="O1388">
        <f>IFERROR(VLOOKUP(C1388,Customers!A:F,3,0),"")</f>
        <v>22</v>
      </c>
      <c r="P1388">
        <f>IFERROR(VLOOKUP(D1388,Products!A:F,4,0),"")</f>
        <v>1860</v>
      </c>
      <c r="Q1388" t="b">
        <f>IFERROR(VLOOKUP(D1388,Products!A:F,6,0),"")</f>
        <v>1</v>
      </c>
      <c r="R1388">
        <f t="shared" si="63"/>
        <v>0.50793650793650791</v>
      </c>
      <c r="S1388">
        <f t="shared" si="64"/>
        <v>2</v>
      </c>
      <c r="T1388">
        <f>IF(AND(S1388&gt;1,COUNTIF($A$2:A1388,A1388)=1),1,0)</f>
        <v>0</v>
      </c>
      <c r="U1388">
        <f>COUNTIF(Customers!$A$2:$A$301,C1388)</f>
        <v>1</v>
      </c>
      <c r="V1388">
        <f t="shared" si="65"/>
        <v>0</v>
      </c>
    </row>
    <row r="1389" spans="1:22" ht="14.25" customHeight="1" x14ac:dyDescent="0.35">
      <c r="A1389" s="10" t="s">
        <v>1841</v>
      </c>
      <c r="B1389" s="11">
        <v>45324</v>
      </c>
      <c r="C1389" s="10" t="s">
        <v>947</v>
      </c>
      <c r="D1389" s="10" t="s">
        <v>49</v>
      </c>
      <c r="E1389" s="10" t="s">
        <v>307</v>
      </c>
      <c r="F1389" s="12">
        <v>3</v>
      </c>
      <c r="G1389" s="12">
        <v>3620</v>
      </c>
      <c r="H1389" s="12">
        <v>4.2</v>
      </c>
      <c r="I1389" s="12">
        <v>10403.879999999999</v>
      </c>
      <c r="J1389" s="10" t="s">
        <v>51</v>
      </c>
      <c r="K1389" s="10" t="s">
        <v>81</v>
      </c>
      <c r="L1389" t="str">
        <f>IFERROR(VLOOKUP(D1389,Products!A:F,3,0),"")</f>
        <v>Apparel</v>
      </c>
      <c r="M1389" t="str">
        <f>IFERROR(VLOOKUP(E1389,Sales_Reps!A:E,3,0),"")</f>
        <v>West</v>
      </c>
      <c r="N1389" t="str">
        <f>IFERROR(VLOOKUP(C1389,Customers!A:F,5,0),"")</f>
        <v>SMB</v>
      </c>
      <c r="O1389">
        <f>IFERROR(VLOOKUP(C1389,Customers!A:F,3,0),"")</f>
        <v>36</v>
      </c>
      <c r="P1389">
        <f>IFERROR(VLOOKUP(D1389,Products!A:F,4,0),"")</f>
        <v>2509</v>
      </c>
      <c r="Q1389" t="b">
        <f>IFERROR(VLOOKUP(D1389,Products!A:F,6,0),"")</f>
        <v>1</v>
      </c>
      <c r="R1389">
        <f t="shared" si="63"/>
        <v>0.3069060773480663</v>
      </c>
      <c r="S1389">
        <f t="shared" si="64"/>
        <v>1</v>
      </c>
      <c r="T1389">
        <f>IF(AND(S1389&gt;1,COUNTIF($A$2:A1389,A1389)=1),1,0)</f>
        <v>0</v>
      </c>
      <c r="U1389">
        <f>COUNTIF(Customers!$A$2:$A$301,C1389)</f>
        <v>1</v>
      </c>
      <c r="V1389">
        <f t="shared" si="65"/>
        <v>0</v>
      </c>
    </row>
    <row r="1390" spans="1:22" ht="14.25" customHeight="1" x14ac:dyDescent="0.35">
      <c r="A1390" s="10" t="s">
        <v>1842</v>
      </c>
      <c r="B1390" s="11">
        <v>45541</v>
      </c>
      <c r="C1390" s="10" t="s">
        <v>227</v>
      </c>
      <c r="D1390" s="10" t="s">
        <v>344</v>
      </c>
      <c r="E1390" s="10" t="s">
        <v>92</v>
      </c>
      <c r="F1390" s="12">
        <v>7</v>
      </c>
      <c r="G1390" s="12">
        <v>960</v>
      </c>
      <c r="H1390" s="12">
        <v>9</v>
      </c>
      <c r="I1390" s="12">
        <v>6115.2</v>
      </c>
      <c r="J1390" s="10" t="s">
        <v>51</v>
      </c>
      <c r="K1390" s="10" t="s">
        <v>97</v>
      </c>
      <c r="L1390" t="str">
        <f>IFERROR(VLOOKUP(D1390,Products!A:F,3,0),"")</f>
        <v>Beauty</v>
      </c>
      <c r="M1390" t="str">
        <f>IFERROR(VLOOKUP(E1390,Sales_Reps!A:E,3,0),"")</f>
        <v>West</v>
      </c>
      <c r="N1390" t="str">
        <f>IFERROR(VLOOKUP(C1390,Customers!A:F,5,0),"")</f>
        <v>Retail</v>
      </c>
      <c r="O1390">
        <f>IFERROR(VLOOKUP(C1390,Customers!A:F,3,0),"")</f>
        <v>53</v>
      </c>
      <c r="P1390">
        <f>IFERROR(VLOOKUP(D1390,Products!A:F,4,0),"")</f>
        <v>675</v>
      </c>
      <c r="Q1390" t="b">
        <f>IFERROR(VLOOKUP(D1390,Products!A:F,6,0),"")</f>
        <v>1</v>
      </c>
      <c r="R1390">
        <f t="shared" si="63"/>
        <v>0.296875</v>
      </c>
      <c r="S1390">
        <f t="shared" si="64"/>
        <v>1</v>
      </c>
      <c r="T1390">
        <f>IF(AND(S1390&gt;1,COUNTIF($A$2:A1390,A1390)=1),1,0)</f>
        <v>0</v>
      </c>
      <c r="U1390">
        <f>COUNTIF(Customers!$A$2:$A$301,C1390)</f>
        <v>1</v>
      </c>
      <c r="V1390">
        <f t="shared" si="65"/>
        <v>0</v>
      </c>
    </row>
    <row r="1391" spans="1:22" ht="14.25" customHeight="1" x14ac:dyDescent="0.35">
      <c r="A1391" s="10" t="s">
        <v>1843</v>
      </c>
      <c r="B1391" s="11">
        <v>45344</v>
      </c>
      <c r="C1391" s="10" t="s">
        <v>653</v>
      </c>
      <c r="D1391" s="10" t="s">
        <v>143</v>
      </c>
      <c r="E1391" s="10" t="s">
        <v>50</v>
      </c>
      <c r="F1391" s="12">
        <v>10</v>
      </c>
      <c r="G1391" s="12">
        <v>3350</v>
      </c>
      <c r="H1391" s="12">
        <v>1.2</v>
      </c>
      <c r="I1391" s="12">
        <v>33098</v>
      </c>
      <c r="J1391" s="10" t="s">
        <v>104</v>
      </c>
      <c r="K1391" s="10" t="s">
        <v>97</v>
      </c>
      <c r="L1391" t="str">
        <f>IFERROR(VLOOKUP(D1391,Products!A:F,3,0),"")</f>
        <v>Beauty</v>
      </c>
      <c r="M1391" t="str">
        <f>IFERROR(VLOOKUP(E1391,Sales_Reps!A:E,3,0),"")</f>
        <v>North</v>
      </c>
      <c r="N1391" t="str">
        <f>IFERROR(VLOOKUP(C1391,Customers!A:F,5,0),"")</f>
        <v>Retail</v>
      </c>
      <c r="O1391">
        <f>IFERROR(VLOOKUP(C1391,Customers!A:F,3,0),"")</f>
        <v>28</v>
      </c>
      <c r="P1391">
        <f>IFERROR(VLOOKUP(D1391,Products!A:F,4,0),"")</f>
        <v>1728</v>
      </c>
      <c r="Q1391" t="b">
        <f>IFERROR(VLOOKUP(D1391,Products!A:F,6,0),"")</f>
        <v>1</v>
      </c>
      <c r="R1391">
        <f t="shared" si="63"/>
        <v>0.48417910447761192</v>
      </c>
      <c r="S1391">
        <f t="shared" si="64"/>
        <v>1</v>
      </c>
      <c r="T1391">
        <f>IF(AND(S1391&gt;1,COUNTIF($A$2:A1391,A1391)=1),1,0)</f>
        <v>0</v>
      </c>
      <c r="U1391">
        <f>COUNTIF(Customers!$A$2:$A$301,C1391)</f>
        <v>1</v>
      </c>
      <c r="V1391">
        <f t="shared" si="65"/>
        <v>0</v>
      </c>
    </row>
    <row r="1392" spans="1:22" ht="14.25" customHeight="1" x14ac:dyDescent="0.35">
      <c r="A1392" s="10" t="s">
        <v>1844</v>
      </c>
      <c r="B1392" s="11">
        <v>45388</v>
      </c>
      <c r="C1392" s="10" t="s">
        <v>323</v>
      </c>
      <c r="D1392" s="10" t="s">
        <v>115</v>
      </c>
      <c r="E1392" s="10" t="s">
        <v>134</v>
      </c>
      <c r="F1392" s="12">
        <v>3</v>
      </c>
      <c r="G1392" s="12">
        <v>2400</v>
      </c>
      <c r="H1392" s="12">
        <v>15.4</v>
      </c>
      <c r="I1392" s="12">
        <v>6091.2</v>
      </c>
      <c r="J1392" s="10" t="s">
        <v>51</v>
      </c>
      <c r="K1392" s="10" t="s">
        <v>63</v>
      </c>
      <c r="L1392" t="str">
        <f>IFERROR(VLOOKUP(D1392,Products!A:F,3,0),"")</f>
        <v>Sports</v>
      </c>
      <c r="M1392" t="str">
        <f>IFERROR(VLOOKUP(E1392,Sales_Reps!A:E,3,0),"")</f>
        <v>West</v>
      </c>
      <c r="N1392" t="str">
        <f>IFERROR(VLOOKUP(C1392,Customers!A:F,5,0),"")</f>
        <v>SMB</v>
      </c>
      <c r="O1392">
        <f>IFERROR(VLOOKUP(C1392,Customers!A:F,3,0),"")</f>
        <v>28</v>
      </c>
      <c r="P1392">
        <f>IFERROR(VLOOKUP(D1392,Products!A:F,4,0),"")</f>
        <v>974</v>
      </c>
      <c r="Q1392" t="b">
        <f>IFERROR(VLOOKUP(D1392,Products!A:F,6,0),"")</f>
        <v>1</v>
      </c>
      <c r="R1392">
        <f t="shared" si="63"/>
        <v>0.59416666666666662</v>
      </c>
      <c r="S1392">
        <f t="shared" si="64"/>
        <v>1</v>
      </c>
      <c r="T1392">
        <f>IF(AND(S1392&gt;1,COUNTIF($A$2:A1392,A1392)=1),1,0)</f>
        <v>0</v>
      </c>
      <c r="U1392">
        <f>COUNTIF(Customers!$A$2:$A$301,C1392)</f>
        <v>1</v>
      </c>
      <c r="V1392">
        <f t="shared" si="65"/>
        <v>0</v>
      </c>
    </row>
    <row r="1393" spans="1:22" ht="14.25" customHeight="1" x14ac:dyDescent="0.35">
      <c r="A1393" s="10" t="s">
        <v>1845</v>
      </c>
      <c r="B1393" s="11">
        <v>45407</v>
      </c>
      <c r="C1393" s="10" t="s">
        <v>723</v>
      </c>
      <c r="D1393" s="10" t="s">
        <v>159</v>
      </c>
      <c r="E1393" s="10" t="s">
        <v>261</v>
      </c>
      <c r="F1393" s="12">
        <v>2</v>
      </c>
      <c r="G1393" s="12">
        <v>2860</v>
      </c>
      <c r="H1393" s="12">
        <v>10.5</v>
      </c>
      <c r="I1393" s="12">
        <v>5119.3999999999996</v>
      </c>
      <c r="J1393" s="10" t="s">
        <v>51</v>
      </c>
      <c r="K1393" s="10" t="s">
        <v>81</v>
      </c>
      <c r="L1393" t="str">
        <f>IFERROR(VLOOKUP(D1393,Products!A:F,3,0),"")</f>
        <v>Sports</v>
      </c>
      <c r="M1393" t="str">
        <f>IFERROR(VLOOKUP(E1393,Sales_Reps!A:E,3,0),"")</f>
        <v>North</v>
      </c>
      <c r="N1393" t="str">
        <f>IFERROR(VLOOKUP(C1393,Customers!A:F,5,0),"")</f>
        <v>Retail</v>
      </c>
      <c r="O1393">
        <f>IFERROR(VLOOKUP(C1393,Customers!A:F,3,0),"")</f>
        <v>29</v>
      </c>
      <c r="P1393">
        <f>IFERROR(VLOOKUP(D1393,Products!A:F,4,0),"")</f>
        <v>2028</v>
      </c>
      <c r="Q1393" t="b">
        <f>IFERROR(VLOOKUP(D1393,Products!A:F,6,0),"")</f>
        <v>1</v>
      </c>
      <c r="R1393">
        <f t="shared" si="63"/>
        <v>0.29090909090909089</v>
      </c>
      <c r="S1393">
        <f t="shared" si="64"/>
        <v>1</v>
      </c>
      <c r="T1393">
        <f>IF(AND(S1393&gt;1,COUNTIF($A$2:A1393,A1393)=1),1,0)</f>
        <v>0</v>
      </c>
      <c r="U1393">
        <f>COUNTIF(Customers!$A$2:$A$301,C1393)</f>
        <v>1</v>
      </c>
      <c r="V1393">
        <f t="shared" si="65"/>
        <v>0</v>
      </c>
    </row>
    <row r="1394" spans="1:22" ht="14.25" customHeight="1" x14ac:dyDescent="0.35">
      <c r="A1394" s="10" t="s">
        <v>1846</v>
      </c>
      <c r="B1394" s="11">
        <v>45620</v>
      </c>
      <c r="C1394" s="10" t="s">
        <v>664</v>
      </c>
      <c r="D1394" s="10" t="s">
        <v>350</v>
      </c>
      <c r="E1394" s="10" t="s">
        <v>71</v>
      </c>
      <c r="F1394" s="12">
        <v>4</v>
      </c>
      <c r="G1394" s="12">
        <v>2290</v>
      </c>
      <c r="H1394" s="12">
        <v>5.9</v>
      </c>
      <c r="I1394" s="12">
        <v>8619.56</v>
      </c>
      <c r="J1394" s="10" t="s">
        <v>51</v>
      </c>
      <c r="K1394" s="10" t="s">
        <v>58</v>
      </c>
      <c r="L1394" t="str">
        <f>IFERROR(VLOOKUP(D1394,Products!A:F,3,0),"")</f>
        <v>Beauty</v>
      </c>
      <c r="M1394" t="str">
        <f>IFERROR(VLOOKUP(E1394,Sales_Reps!A:E,3,0),"")</f>
        <v>North</v>
      </c>
      <c r="N1394" t="str">
        <f>IFERROR(VLOOKUP(C1394,Customers!A:F,5,0),"")</f>
        <v>SMB</v>
      </c>
      <c r="O1394">
        <f>IFERROR(VLOOKUP(C1394,Customers!A:F,3,0),"")</f>
        <v>46</v>
      </c>
      <c r="P1394">
        <f>IFERROR(VLOOKUP(D1394,Products!A:F,4,0),"")</f>
        <v>1219</v>
      </c>
      <c r="Q1394" t="b">
        <f>IFERROR(VLOOKUP(D1394,Products!A:F,6,0),"")</f>
        <v>1</v>
      </c>
      <c r="R1394">
        <f t="shared" si="63"/>
        <v>0.46768558951965067</v>
      </c>
      <c r="S1394">
        <f t="shared" si="64"/>
        <v>1</v>
      </c>
      <c r="T1394">
        <f>IF(AND(S1394&gt;1,COUNTIF($A$2:A1394,A1394)=1),1,0)</f>
        <v>0</v>
      </c>
      <c r="U1394">
        <f>COUNTIF(Customers!$A$2:$A$301,C1394)</f>
        <v>1</v>
      </c>
      <c r="V1394">
        <f t="shared" si="65"/>
        <v>0</v>
      </c>
    </row>
    <row r="1395" spans="1:22" ht="14.25" customHeight="1" x14ac:dyDescent="0.35">
      <c r="A1395" s="10" t="s">
        <v>1847</v>
      </c>
      <c r="B1395" s="11">
        <v>45499</v>
      </c>
      <c r="C1395" s="10" t="s">
        <v>356</v>
      </c>
      <c r="D1395" s="10" t="s">
        <v>328</v>
      </c>
      <c r="E1395" s="10" t="s">
        <v>118</v>
      </c>
      <c r="F1395" s="12">
        <v>7</v>
      </c>
      <c r="G1395" s="12">
        <v>5330</v>
      </c>
      <c r="H1395" s="12">
        <v>3.5</v>
      </c>
      <c r="I1395" s="12">
        <v>36004.15</v>
      </c>
      <c r="J1395" s="10" t="s">
        <v>104</v>
      </c>
      <c r="K1395" s="10" t="s">
        <v>76</v>
      </c>
      <c r="L1395" t="str">
        <f>IFERROR(VLOOKUP(D1395,Products!A:F,3,0),"")</f>
        <v>Electronics</v>
      </c>
      <c r="M1395" t="str">
        <f>IFERROR(VLOOKUP(E1395,Sales_Reps!A:E,3,0),"")</f>
        <v>East</v>
      </c>
      <c r="N1395" t="str">
        <f>IFERROR(VLOOKUP(C1395,Customers!A:F,5,0),"")</f>
        <v>Retail</v>
      </c>
      <c r="O1395">
        <f>IFERROR(VLOOKUP(C1395,Customers!A:F,3,0),"")</f>
        <v>50</v>
      </c>
      <c r="P1395">
        <f>IFERROR(VLOOKUP(D1395,Products!A:F,4,0),"")</f>
        <v>2405</v>
      </c>
      <c r="Q1395" t="b">
        <f>IFERROR(VLOOKUP(D1395,Products!A:F,6,0),"")</f>
        <v>1</v>
      </c>
      <c r="R1395">
        <f t="shared" si="63"/>
        <v>0.54878048780487809</v>
      </c>
      <c r="S1395">
        <f t="shared" si="64"/>
        <v>1</v>
      </c>
      <c r="T1395">
        <f>IF(AND(S1395&gt;1,COUNTIF($A$2:A1395,A1395)=1),1,0)</f>
        <v>0</v>
      </c>
      <c r="U1395">
        <f>COUNTIF(Customers!$A$2:$A$301,C1395)</f>
        <v>1</v>
      </c>
      <c r="V1395">
        <f t="shared" si="65"/>
        <v>0</v>
      </c>
    </row>
    <row r="1396" spans="1:22" ht="14.25" customHeight="1" x14ac:dyDescent="0.35">
      <c r="A1396" s="10" t="s">
        <v>1848</v>
      </c>
      <c r="B1396" s="11">
        <v>45585</v>
      </c>
      <c r="C1396" s="10" t="s">
        <v>265</v>
      </c>
      <c r="D1396" s="10" t="s">
        <v>201</v>
      </c>
      <c r="E1396" s="10" t="s">
        <v>267</v>
      </c>
      <c r="F1396" s="12">
        <v>10</v>
      </c>
      <c r="G1396" s="12">
        <v>3640</v>
      </c>
      <c r="H1396" s="12">
        <v>20.100000000000001</v>
      </c>
      <c r="I1396" s="12">
        <v>29083.599999999999</v>
      </c>
      <c r="J1396" s="10" t="s">
        <v>51</v>
      </c>
      <c r="K1396" s="10" t="s">
        <v>58</v>
      </c>
      <c r="L1396" t="str">
        <f>IFERROR(VLOOKUP(D1396,Products!A:F,3,0),"")</f>
        <v>Apparel</v>
      </c>
      <c r="M1396" t="str">
        <f>IFERROR(VLOOKUP(E1396,Sales_Reps!A:E,3,0),"")</f>
        <v>East</v>
      </c>
      <c r="N1396" t="str">
        <f>IFERROR(VLOOKUP(C1396,Customers!A:F,5,0),"")</f>
        <v>Retail</v>
      </c>
      <c r="O1396">
        <f>IFERROR(VLOOKUP(C1396,Customers!A:F,3,0),"")</f>
        <v>41</v>
      </c>
      <c r="P1396">
        <f>IFERROR(VLOOKUP(D1396,Products!A:F,4,0),"")</f>
        <v>2611</v>
      </c>
      <c r="Q1396" t="b">
        <f>IFERROR(VLOOKUP(D1396,Products!A:F,6,0),"")</f>
        <v>1</v>
      </c>
      <c r="R1396">
        <f t="shared" si="63"/>
        <v>0.28269230769230769</v>
      </c>
      <c r="S1396">
        <f t="shared" si="64"/>
        <v>1</v>
      </c>
      <c r="T1396">
        <f>IF(AND(S1396&gt;1,COUNTIF($A$2:A1396,A1396)=1),1,0)</f>
        <v>0</v>
      </c>
      <c r="U1396">
        <f>COUNTIF(Customers!$A$2:$A$301,C1396)</f>
        <v>1</v>
      </c>
      <c r="V1396">
        <f t="shared" si="65"/>
        <v>0</v>
      </c>
    </row>
    <row r="1397" spans="1:22" ht="14.25" customHeight="1" x14ac:dyDescent="0.35">
      <c r="A1397" s="10" t="s">
        <v>1849</v>
      </c>
      <c r="B1397" s="11">
        <v>45633</v>
      </c>
      <c r="C1397" s="10" t="s">
        <v>170</v>
      </c>
      <c r="D1397" s="10" t="s">
        <v>407</v>
      </c>
      <c r="E1397" s="10" t="s">
        <v>80</v>
      </c>
      <c r="F1397" s="12">
        <v>10</v>
      </c>
      <c r="G1397" s="12">
        <v>5080</v>
      </c>
      <c r="H1397" s="12">
        <v>2.1</v>
      </c>
      <c r="I1397" s="12">
        <v>49733.2</v>
      </c>
      <c r="J1397" s="10" t="s">
        <v>51</v>
      </c>
      <c r="K1397" s="10" t="s">
        <v>97</v>
      </c>
      <c r="L1397" t="str">
        <f>IFERROR(VLOOKUP(D1397,Products!A:F,3,0),"")</f>
        <v>Home</v>
      </c>
      <c r="M1397" t="str">
        <f>IFERROR(VLOOKUP(E1397,Sales_Reps!A:E,3,0),"")</f>
        <v>West</v>
      </c>
      <c r="N1397" t="str">
        <f>IFERROR(VLOOKUP(C1397,Customers!A:F,5,0),"")</f>
        <v>SMB</v>
      </c>
      <c r="O1397">
        <f>IFERROR(VLOOKUP(C1397,Customers!A:F,3,0),"")</f>
        <v>40</v>
      </c>
      <c r="P1397">
        <f>IFERROR(VLOOKUP(D1397,Products!A:F,4,0),"")</f>
        <v>2459</v>
      </c>
      <c r="Q1397" t="b">
        <f>IFERROR(VLOOKUP(D1397,Products!A:F,6,0),"")</f>
        <v>1</v>
      </c>
      <c r="R1397">
        <f t="shared" si="63"/>
        <v>0.51594488188976373</v>
      </c>
      <c r="S1397">
        <f t="shared" si="64"/>
        <v>1</v>
      </c>
      <c r="T1397">
        <f>IF(AND(S1397&gt;1,COUNTIF($A$2:A1397,A1397)=1),1,0)</f>
        <v>0</v>
      </c>
      <c r="U1397">
        <f>COUNTIF(Customers!$A$2:$A$301,C1397)</f>
        <v>1</v>
      </c>
      <c r="V1397">
        <f t="shared" si="65"/>
        <v>0</v>
      </c>
    </row>
    <row r="1398" spans="1:22" ht="14.25" customHeight="1" x14ac:dyDescent="0.35">
      <c r="A1398" s="10" t="s">
        <v>1850</v>
      </c>
      <c r="B1398" s="11">
        <v>45517</v>
      </c>
      <c r="C1398" s="10" t="s">
        <v>689</v>
      </c>
      <c r="D1398" s="10" t="s">
        <v>466</v>
      </c>
      <c r="E1398" s="10" t="s">
        <v>267</v>
      </c>
      <c r="F1398" s="12">
        <v>4</v>
      </c>
      <c r="G1398" s="12">
        <v>1090</v>
      </c>
      <c r="H1398" s="12">
        <v>18.5</v>
      </c>
      <c r="I1398" s="12">
        <v>3553.4</v>
      </c>
      <c r="J1398" s="10" t="s">
        <v>108</v>
      </c>
      <c r="K1398" s="10" t="s">
        <v>63</v>
      </c>
      <c r="L1398" t="str">
        <f>IFERROR(VLOOKUP(D1398,Products!A:F,3,0),"")</f>
        <v>Home</v>
      </c>
      <c r="M1398" t="str">
        <f>IFERROR(VLOOKUP(E1398,Sales_Reps!A:E,3,0),"")</f>
        <v>East</v>
      </c>
      <c r="N1398" t="str">
        <f>IFERROR(VLOOKUP(C1398,Customers!A:F,5,0),"")</f>
        <v>SMB</v>
      </c>
      <c r="O1398">
        <f>IFERROR(VLOOKUP(C1398,Customers!A:F,3,0),"")</f>
        <v>26</v>
      </c>
      <c r="P1398">
        <f>IFERROR(VLOOKUP(D1398,Products!A:F,4,0),"")</f>
        <v>464</v>
      </c>
      <c r="Q1398" t="b">
        <f>IFERROR(VLOOKUP(D1398,Products!A:F,6,0),"")</f>
        <v>1</v>
      </c>
      <c r="R1398">
        <f t="shared" si="63"/>
        <v>0.57431192660550456</v>
      </c>
      <c r="S1398">
        <f t="shared" si="64"/>
        <v>1</v>
      </c>
      <c r="T1398">
        <f>IF(AND(S1398&gt;1,COUNTIF($A$2:A1398,A1398)=1),1,0)</f>
        <v>0</v>
      </c>
      <c r="U1398">
        <f>COUNTIF(Customers!$A$2:$A$301,C1398)</f>
        <v>1</v>
      </c>
      <c r="V1398">
        <f t="shared" si="65"/>
        <v>0</v>
      </c>
    </row>
    <row r="1399" spans="1:22" ht="14.25" customHeight="1" x14ac:dyDescent="0.35">
      <c r="A1399" s="10" t="s">
        <v>1851</v>
      </c>
      <c r="B1399" s="11">
        <v>45645</v>
      </c>
      <c r="C1399" s="10" t="s">
        <v>534</v>
      </c>
      <c r="D1399" s="10" t="s">
        <v>121</v>
      </c>
      <c r="E1399" s="10" t="s">
        <v>134</v>
      </c>
      <c r="F1399" s="12">
        <v>10</v>
      </c>
      <c r="G1399" s="12">
        <v>3450</v>
      </c>
      <c r="H1399" s="12">
        <v>26.5</v>
      </c>
      <c r="I1399" s="12">
        <v>25357.5</v>
      </c>
      <c r="J1399" s="10" t="s">
        <v>108</v>
      </c>
      <c r="K1399" s="10" t="s">
        <v>63</v>
      </c>
      <c r="L1399" t="str">
        <f>IFERROR(VLOOKUP(D1399,Products!A:F,3,0),"")</f>
        <v>Beauty</v>
      </c>
      <c r="M1399" t="str">
        <f>IFERROR(VLOOKUP(E1399,Sales_Reps!A:E,3,0),"")</f>
        <v>West</v>
      </c>
      <c r="N1399" t="str">
        <f>IFERROR(VLOOKUP(C1399,Customers!A:F,5,0),"")</f>
        <v>Corporate</v>
      </c>
      <c r="O1399">
        <f>IFERROR(VLOOKUP(C1399,Customers!A:F,3,0),"")</f>
        <v>47</v>
      </c>
      <c r="P1399">
        <f>IFERROR(VLOOKUP(D1399,Products!A:F,4,0),"")</f>
        <v>2420</v>
      </c>
      <c r="Q1399" t="b">
        <f>IFERROR(VLOOKUP(D1399,Products!A:F,6,0),"")</f>
        <v>1</v>
      </c>
      <c r="R1399">
        <f t="shared" si="63"/>
        <v>0.29855072463768118</v>
      </c>
      <c r="S1399">
        <f t="shared" si="64"/>
        <v>1</v>
      </c>
      <c r="T1399">
        <f>IF(AND(S1399&gt;1,COUNTIF($A$2:A1399,A1399)=1),1,0)</f>
        <v>0</v>
      </c>
      <c r="U1399">
        <f>COUNTIF(Customers!$A$2:$A$301,C1399)</f>
        <v>1</v>
      </c>
      <c r="V1399">
        <f t="shared" si="65"/>
        <v>0</v>
      </c>
    </row>
    <row r="1400" spans="1:22" ht="14.25" customHeight="1" x14ac:dyDescent="0.35">
      <c r="A1400" s="10" t="s">
        <v>1852</v>
      </c>
      <c r="B1400" s="11">
        <v>45483</v>
      </c>
      <c r="C1400" s="10" t="s">
        <v>227</v>
      </c>
      <c r="D1400" s="10" t="s">
        <v>324</v>
      </c>
      <c r="E1400" s="10" t="s">
        <v>168</v>
      </c>
      <c r="F1400" s="12">
        <v>9</v>
      </c>
      <c r="G1400" s="12">
        <v>5410</v>
      </c>
      <c r="H1400" s="12">
        <v>11.5</v>
      </c>
      <c r="I1400" s="12">
        <v>43090.65</v>
      </c>
      <c r="J1400" s="10" t="s">
        <v>51</v>
      </c>
      <c r="K1400" s="10" t="s">
        <v>97</v>
      </c>
      <c r="L1400" t="str">
        <f>IFERROR(VLOOKUP(D1400,Products!A:F,3,0),"")</f>
        <v>Sports</v>
      </c>
      <c r="M1400" t="str">
        <f>IFERROR(VLOOKUP(E1400,Sales_Reps!A:E,3,0),"")</f>
        <v>South</v>
      </c>
      <c r="N1400" t="str">
        <f>IFERROR(VLOOKUP(C1400,Customers!A:F,5,0),"")</f>
        <v>Retail</v>
      </c>
      <c r="O1400">
        <f>IFERROR(VLOOKUP(C1400,Customers!A:F,3,0),"")</f>
        <v>53</v>
      </c>
      <c r="P1400">
        <f>IFERROR(VLOOKUP(D1400,Products!A:F,4,0),"")</f>
        <v>2265</v>
      </c>
      <c r="Q1400" t="b">
        <f>IFERROR(VLOOKUP(D1400,Products!A:F,6,0),"")</f>
        <v>1</v>
      </c>
      <c r="R1400">
        <f t="shared" si="63"/>
        <v>0.58133086876155271</v>
      </c>
      <c r="S1400">
        <f t="shared" si="64"/>
        <v>1</v>
      </c>
      <c r="T1400">
        <f>IF(AND(S1400&gt;1,COUNTIF($A$2:A1400,A1400)=1),1,0)</f>
        <v>0</v>
      </c>
      <c r="U1400">
        <f>COUNTIF(Customers!$A$2:$A$301,C1400)</f>
        <v>1</v>
      </c>
      <c r="V1400">
        <f t="shared" si="65"/>
        <v>0</v>
      </c>
    </row>
    <row r="1401" spans="1:22" ht="14.25" customHeight="1" x14ac:dyDescent="0.35">
      <c r="A1401" s="10" t="s">
        <v>1853</v>
      </c>
      <c r="B1401" s="11">
        <v>45445</v>
      </c>
      <c r="C1401" s="10" t="s">
        <v>1854</v>
      </c>
      <c r="D1401" s="10" t="s">
        <v>416</v>
      </c>
      <c r="E1401" s="10" t="s">
        <v>134</v>
      </c>
      <c r="F1401" s="12">
        <v>9</v>
      </c>
      <c r="G1401" s="12">
        <v>3450</v>
      </c>
      <c r="H1401" s="12">
        <v>0.3</v>
      </c>
      <c r="I1401" s="12">
        <v>30956.85</v>
      </c>
      <c r="J1401" s="10" t="s">
        <v>108</v>
      </c>
      <c r="K1401" s="10" t="s">
        <v>97</v>
      </c>
      <c r="L1401" t="str">
        <f>IFERROR(VLOOKUP(D1401,Products!A:F,3,0),"")</f>
        <v>Apparel</v>
      </c>
      <c r="M1401" t="str">
        <f>IFERROR(VLOOKUP(E1401,Sales_Reps!A:E,3,0),"")</f>
        <v>West</v>
      </c>
      <c r="N1401" t="str">
        <f>IFERROR(VLOOKUP(C1401,Customers!A:F,5,0),"")</f>
        <v>SMB</v>
      </c>
      <c r="O1401">
        <f>IFERROR(VLOOKUP(C1401,Customers!A:F,3,0),"")</f>
        <v>34</v>
      </c>
      <c r="P1401">
        <f>IFERROR(VLOOKUP(D1401,Products!A:F,4,0),"")</f>
        <v>1748</v>
      </c>
      <c r="Q1401" t="b">
        <f>IFERROR(VLOOKUP(D1401,Products!A:F,6,0),"")</f>
        <v>1</v>
      </c>
      <c r="R1401">
        <f t="shared" si="63"/>
        <v>0.49333333333333335</v>
      </c>
      <c r="S1401">
        <f t="shared" si="64"/>
        <v>1</v>
      </c>
      <c r="T1401">
        <f>IF(AND(S1401&gt;1,COUNTIF($A$2:A1401,A1401)=1),1,0)</f>
        <v>0</v>
      </c>
      <c r="U1401">
        <f>COUNTIF(Customers!$A$2:$A$301,C1401)</f>
        <v>1</v>
      </c>
      <c r="V1401">
        <f t="shared" si="65"/>
        <v>0</v>
      </c>
    </row>
    <row r="1402" spans="1:22" ht="14.25" customHeight="1" x14ac:dyDescent="0.35">
      <c r="A1402" s="10" t="s">
        <v>1855</v>
      </c>
      <c r="B1402" s="11">
        <v>45614</v>
      </c>
      <c r="C1402" s="10" t="s">
        <v>421</v>
      </c>
      <c r="D1402" s="10" t="s">
        <v>70</v>
      </c>
      <c r="E1402" s="10" t="s">
        <v>75</v>
      </c>
      <c r="F1402" s="12">
        <v>10</v>
      </c>
      <c r="G1402" s="12">
        <v>3160</v>
      </c>
      <c r="H1402" s="12">
        <v>13.6</v>
      </c>
      <c r="I1402" s="12">
        <v>27302.400000000001</v>
      </c>
      <c r="J1402" s="10" t="s">
        <v>51</v>
      </c>
      <c r="K1402" s="10" t="s">
        <v>52</v>
      </c>
      <c r="L1402" t="str">
        <f>IFERROR(VLOOKUP(D1402,Products!A:F,3,0),"")</f>
        <v>Apparel</v>
      </c>
      <c r="M1402" t="str">
        <f>IFERROR(VLOOKUP(E1402,Sales_Reps!A:E,3,0),"")</f>
        <v>West</v>
      </c>
      <c r="N1402" t="str">
        <f>IFERROR(VLOOKUP(C1402,Customers!A:F,5,0),"")</f>
        <v>Retail</v>
      </c>
      <c r="O1402">
        <f>IFERROR(VLOOKUP(C1402,Customers!A:F,3,0),"")</f>
        <v>29</v>
      </c>
      <c r="P1402">
        <f>IFERROR(VLOOKUP(D1402,Products!A:F,4,0),"")</f>
        <v>1886</v>
      </c>
      <c r="Q1402" t="b">
        <f>IFERROR(VLOOKUP(D1402,Products!A:F,6,0),"")</f>
        <v>1</v>
      </c>
      <c r="R1402">
        <f t="shared" si="63"/>
        <v>0.4031645569620253</v>
      </c>
      <c r="S1402">
        <f t="shared" si="64"/>
        <v>1</v>
      </c>
      <c r="T1402">
        <f>IF(AND(S1402&gt;1,COUNTIF($A$2:A1402,A1402)=1),1,0)</f>
        <v>0</v>
      </c>
      <c r="U1402">
        <f>COUNTIF(Customers!$A$2:$A$301,C1402)</f>
        <v>1</v>
      </c>
      <c r="V1402">
        <f t="shared" si="65"/>
        <v>0</v>
      </c>
    </row>
    <row r="1403" spans="1:22" ht="14.25" customHeight="1" x14ac:dyDescent="0.35">
      <c r="A1403" s="10" t="s">
        <v>1856</v>
      </c>
      <c r="B1403" s="11">
        <v>45433</v>
      </c>
      <c r="C1403" s="10" t="s">
        <v>83</v>
      </c>
      <c r="D1403" s="10" t="s">
        <v>223</v>
      </c>
      <c r="E1403" s="10" t="s">
        <v>165</v>
      </c>
      <c r="F1403" s="12">
        <v>3</v>
      </c>
      <c r="G1403" s="12">
        <v>1540</v>
      </c>
      <c r="H1403" s="12">
        <v>21.2</v>
      </c>
      <c r="I1403" s="12">
        <v>3640.56</v>
      </c>
      <c r="J1403" s="10" t="s">
        <v>51</v>
      </c>
      <c r="K1403" s="10" t="s">
        <v>81</v>
      </c>
      <c r="L1403" t="str">
        <f>IFERROR(VLOOKUP(D1403,Products!A:F,3,0),"")</f>
        <v>Beauty</v>
      </c>
      <c r="M1403" t="str">
        <f>IFERROR(VLOOKUP(E1403,Sales_Reps!A:E,3,0),"")</f>
        <v>West</v>
      </c>
      <c r="N1403" t="str">
        <f>IFERROR(VLOOKUP(C1403,Customers!A:F,5,0),"")</f>
        <v>Corporate</v>
      </c>
      <c r="O1403">
        <f>IFERROR(VLOOKUP(C1403,Customers!A:F,3,0),"")</f>
        <v>57</v>
      </c>
      <c r="P1403">
        <f>IFERROR(VLOOKUP(D1403,Products!A:F,4,0),"")</f>
        <v>647</v>
      </c>
      <c r="Q1403" t="b">
        <f>IFERROR(VLOOKUP(D1403,Products!A:F,6,0),"")</f>
        <v>0</v>
      </c>
      <c r="R1403">
        <f t="shared" si="63"/>
        <v>0.57987012987012987</v>
      </c>
      <c r="S1403">
        <f t="shared" si="64"/>
        <v>1</v>
      </c>
      <c r="T1403">
        <f>IF(AND(S1403&gt;1,COUNTIF($A$2:A1403,A1403)=1),1,0)</f>
        <v>0</v>
      </c>
      <c r="U1403">
        <f>COUNTIF(Customers!$A$2:$A$301,C1403)</f>
        <v>1</v>
      </c>
      <c r="V1403">
        <f t="shared" si="65"/>
        <v>0</v>
      </c>
    </row>
    <row r="1404" spans="1:22" ht="14.25" customHeight="1" x14ac:dyDescent="0.35">
      <c r="A1404" s="10" t="s">
        <v>1857</v>
      </c>
      <c r="B1404" s="11">
        <v>45402</v>
      </c>
      <c r="C1404" s="10" t="s">
        <v>354</v>
      </c>
      <c r="D1404" s="10" t="s">
        <v>201</v>
      </c>
      <c r="E1404" s="10" t="s">
        <v>249</v>
      </c>
      <c r="F1404" s="12">
        <v>5</v>
      </c>
      <c r="G1404" s="12">
        <v>3640</v>
      </c>
      <c r="H1404" s="12">
        <v>17.5</v>
      </c>
      <c r="I1404" s="12">
        <v>15015</v>
      </c>
      <c r="J1404" s="10" t="s">
        <v>51</v>
      </c>
      <c r="K1404" s="10" t="s">
        <v>52</v>
      </c>
      <c r="L1404" t="str">
        <f>IFERROR(VLOOKUP(D1404,Products!A:F,3,0),"")</f>
        <v>Apparel</v>
      </c>
      <c r="M1404" t="str">
        <f>IFERROR(VLOOKUP(E1404,Sales_Reps!A:E,3,0),"")</f>
        <v>East</v>
      </c>
      <c r="N1404" t="str">
        <f>IFERROR(VLOOKUP(C1404,Customers!A:F,5,0),"")</f>
        <v>SMB</v>
      </c>
      <c r="O1404">
        <f>IFERROR(VLOOKUP(C1404,Customers!A:F,3,0),"")</f>
        <v>54</v>
      </c>
      <c r="P1404">
        <f>IFERROR(VLOOKUP(D1404,Products!A:F,4,0),"")</f>
        <v>2611</v>
      </c>
      <c r="Q1404" t="b">
        <f>IFERROR(VLOOKUP(D1404,Products!A:F,6,0),"")</f>
        <v>1</v>
      </c>
      <c r="R1404">
        <f t="shared" si="63"/>
        <v>0.28269230769230769</v>
      </c>
      <c r="S1404">
        <f t="shared" si="64"/>
        <v>1</v>
      </c>
      <c r="T1404">
        <f>IF(AND(S1404&gt;1,COUNTIF($A$2:A1404,A1404)=1),1,0)</f>
        <v>0</v>
      </c>
      <c r="U1404">
        <f>COUNTIF(Customers!$A$2:$A$301,C1404)</f>
        <v>1</v>
      </c>
      <c r="V1404">
        <f t="shared" si="65"/>
        <v>0</v>
      </c>
    </row>
    <row r="1405" spans="1:22" ht="14.25" customHeight="1" x14ac:dyDescent="0.35">
      <c r="A1405" s="10" t="s">
        <v>1858</v>
      </c>
      <c r="B1405" s="11">
        <v>45302</v>
      </c>
      <c r="C1405" s="10" t="s">
        <v>94</v>
      </c>
      <c r="D1405" s="10" t="s">
        <v>425</v>
      </c>
      <c r="E1405" s="10" t="s">
        <v>261</v>
      </c>
      <c r="F1405" s="12">
        <v>4</v>
      </c>
      <c r="G1405" s="12">
        <v>3780</v>
      </c>
      <c r="H1405" s="12">
        <v>9</v>
      </c>
      <c r="I1405" s="12">
        <v>13759.2</v>
      </c>
      <c r="J1405" s="10" t="s">
        <v>57</v>
      </c>
      <c r="K1405" s="10" t="s">
        <v>97</v>
      </c>
      <c r="L1405" t="str">
        <f>IFERROR(VLOOKUP(D1405,Products!A:F,3,0),"")</f>
        <v>Sports</v>
      </c>
      <c r="M1405" t="str">
        <f>IFERROR(VLOOKUP(E1405,Sales_Reps!A:E,3,0),"")</f>
        <v>North</v>
      </c>
      <c r="N1405" t="str">
        <f>IFERROR(VLOOKUP(C1405,Customers!A:F,5,0),"")</f>
        <v>Retail</v>
      </c>
      <c r="O1405">
        <f>IFERROR(VLOOKUP(C1405,Customers!A:F,3,0),"")</f>
        <v>60</v>
      </c>
      <c r="P1405">
        <f>IFERROR(VLOOKUP(D1405,Products!A:F,4,0),"")</f>
        <v>1860</v>
      </c>
      <c r="Q1405" t="b">
        <f>IFERROR(VLOOKUP(D1405,Products!A:F,6,0),"")</f>
        <v>1</v>
      </c>
      <c r="R1405">
        <f t="shared" si="63"/>
        <v>0.50793650793650791</v>
      </c>
      <c r="S1405">
        <f t="shared" si="64"/>
        <v>1</v>
      </c>
      <c r="T1405">
        <f>IF(AND(S1405&gt;1,COUNTIF($A$2:A1405,A1405)=1),1,0)</f>
        <v>0</v>
      </c>
      <c r="U1405">
        <f>COUNTIF(Customers!$A$2:$A$301,C1405)</f>
        <v>1</v>
      </c>
      <c r="V1405">
        <f t="shared" si="65"/>
        <v>0</v>
      </c>
    </row>
    <row r="1406" spans="1:22" ht="14.25" customHeight="1" x14ac:dyDescent="0.35">
      <c r="A1406" s="10" t="s">
        <v>1859</v>
      </c>
      <c r="B1406" s="11">
        <v>45526</v>
      </c>
      <c r="C1406" s="10" t="s">
        <v>367</v>
      </c>
      <c r="D1406" s="10" t="s">
        <v>137</v>
      </c>
      <c r="E1406" s="10" t="s">
        <v>75</v>
      </c>
      <c r="F1406" s="12">
        <v>9</v>
      </c>
      <c r="G1406" s="12">
        <v>2720</v>
      </c>
      <c r="H1406" s="12">
        <v>8.9</v>
      </c>
      <c r="I1406" s="12">
        <v>22301.279999999999</v>
      </c>
      <c r="J1406" s="10" t="s">
        <v>51</v>
      </c>
      <c r="K1406" s="10" t="s">
        <v>81</v>
      </c>
      <c r="L1406" t="str">
        <f>IFERROR(VLOOKUP(D1406,Products!A:F,3,0),"")</f>
        <v>Apparel</v>
      </c>
      <c r="M1406" t="str">
        <f>IFERROR(VLOOKUP(E1406,Sales_Reps!A:E,3,0),"")</f>
        <v>West</v>
      </c>
      <c r="N1406" t="str">
        <f>IFERROR(VLOOKUP(C1406,Customers!A:F,5,0),"")</f>
        <v>Retail</v>
      </c>
      <c r="O1406">
        <f>IFERROR(VLOOKUP(C1406,Customers!A:F,3,0),"")</f>
        <v>59</v>
      </c>
      <c r="P1406">
        <f>IFERROR(VLOOKUP(D1406,Products!A:F,4,0),"")</f>
        <v>1962</v>
      </c>
      <c r="Q1406" t="b">
        <f>IFERROR(VLOOKUP(D1406,Products!A:F,6,0),"")</f>
        <v>1</v>
      </c>
      <c r="R1406">
        <f t="shared" si="63"/>
        <v>0.2786764705882353</v>
      </c>
      <c r="S1406">
        <f t="shared" si="64"/>
        <v>1</v>
      </c>
      <c r="T1406">
        <f>IF(AND(S1406&gt;1,COUNTIF($A$2:A1406,A1406)=1),1,0)</f>
        <v>0</v>
      </c>
      <c r="U1406">
        <f>COUNTIF(Customers!$A$2:$A$301,C1406)</f>
        <v>1</v>
      </c>
      <c r="V1406">
        <f t="shared" si="65"/>
        <v>0</v>
      </c>
    </row>
    <row r="1407" spans="1:22" ht="14.25" customHeight="1" x14ac:dyDescent="0.35">
      <c r="A1407" s="10" t="s">
        <v>1860</v>
      </c>
      <c r="B1407" s="11">
        <v>45648</v>
      </c>
      <c r="C1407" s="10" t="s">
        <v>1029</v>
      </c>
      <c r="D1407" s="10" t="s">
        <v>49</v>
      </c>
      <c r="E1407" s="10" t="s">
        <v>103</v>
      </c>
      <c r="F1407" s="12">
        <v>4</v>
      </c>
      <c r="G1407" s="12">
        <v>3620</v>
      </c>
      <c r="H1407" s="12">
        <v>8</v>
      </c>
      <c r="I1407" s="12">
        <v>13321.6</v>
      </c>
      <c r="J1407" s="10" t="s">
        <v>57</v>
      </c>
      <c r="K1407" s="10" t="s">
        <v>58</v>
      </c>
      <c r="L1407" t="str">
        <f>IFERROR(VLOOKUP(D1407,Products!A:F,3,0),"")</f>
        <v>Apparel</v>
      </c>
      <c r="M1407" t="str">
        <f>IFERROR(VLOOKUP(E1407,Sales_Reps!A:E,3,0),"")</f>
        <v>North</v>
      </c>
      <c r="N1407" t="str">
        <f>IFERROR(VLOOKUP(C1407,Customers!A:F,5,0),"")</f>
        <v>Retail</v>
      </c>
      <c r="O1407">
        <f>IFERROR(VLOOKUP(C1407,Customers!A:F,3,0),"")</f>
        <v>49</v>
      </c>
      <c r="P1407">
        <f>IFERROR(VLOOKUP(D1407,Products!A:F,4,0),"")</f>
        <v>2509</v>
      </c>
      <c r="Q1407" t="b">
        <f>IFERROR(VLOOKUP(D1407,Products!A:F,6,0),"")</f>
        <v>1</v>
      </c>
      <c r="R1407">
        <f t="shared" si="63"/>
        <v>0.3069060773480663</v>
      </c>
      <c r="S1407">
        <f t="shared" si="64"/>
        <v>1</v>
      </c>
      <c r="T1407">
        <f>IF(AND(S1407&gt;1,COUNTIF($A$2:A1407,A1407)=1),1,0)</f>
        <v>0</v>
      </c>
      <c r="U1407">
        <f>COUNTIF(Customers!$A$2:$A$301,C1407)</f>
        <v>1</v>
      </c>
      <c r="V1407">
        <f t="shared" si="65"/>
        <v>0</v>
      </c>
    </row>
    <row r="1408" spans="1:22" ht="14.25" customHeight="1" x14ac:dyDescent="0.35">
      <c r="A1408" s="10" t="s">
        <v>1861</v>
      </c>
      <c r="B1408" s="11">
        <v>45325</v>
      </c>
      <c r="C1408" s="10" t="s">
        <v>476</v>
      </c>
      <c r="D1408" s="10" t="s">
        <v>416</v>
      </c>
      <c r="E1408" s="10" t="s">
        <v>103</v>
      </c>
      <c r="F1408" s="12">
        <v>1</v>
      </c>
      <c r="G1408" s="12">
        <v>3450</v>
      </c>
      <c r="H1408" s="12">
        <v>0.2</v>
      </c>
      <c r="I1408" s="12">
        <v>3443.1</v>
      </c>
      <c r="J1408" s="10" t="s">
        <v>51</v>
      </c>
      <c r="K1408" s="10" t="s">
        <v>97</v>
      </c>
      <c r="L1408" t="str">
        <f>IFERROR(VLOOKUP(D1408,Products!A:F,3,0),"")</f>
        <v>Apparel</v>
      </c>
      <c r="M1408" t="str">
        <f>IFERROR(VLOOKUP(E1408,Sales_Reps!A:E,3,0),"")</f>
        <v>North</v>
      </c>
      <c r="N1408" t="str">
        <f>IFERROR(VLOOKUP(C1408,Customers!A:F,5,0),"")</f>
        <v>Retail</v>
      </c>
      <c r="O1408">
        <f>IFERROR(VLOOKUP(C1408,Customers!A:F,3,0),"")</f>
        <v>61</v>
      </c>
      <c r="P1408">
        <f>IFERROR(VLOOKUP(D1408,Products!A:F,4,0),"")</f>
        <v>1748</v>
      </c>
      <c r="Q1408" t="b">
        <f>IFERROR(VLOOKUP(D1408,Products!A:F,6,0),"")</f>
        <v>1</v>
      </c>
      <c r="R1408">
        <f t="shared" si="63"/>
        <v>0.49333333333333335</v>
      </c>
      <c r="S1408">
        <f t="shared" si="64"/>
        <v>1</v>
      </c>
      <c r="T1408">
        <f>IF(AND(S1408&gt;1,COUNTIF($A$2:A1408,A1408)=1),1,0)</f>
        <v>0</v>
      </c>
      <c r="U1408">
        <f>COUNTIF(Customers!$A$2:$A$301,C1408)</f>
        <v>1</v>
      </c>
      <c r="V1408">
        <f t="shared" si="65"/>
        <v>0</v>
      </c>
    </row>
    <row r="1409" spans="1:22" ht="14.25" customHeight="1" x14ac:dyDescent="0.35">
      <c r="A1409" s="10" t="s">
        <v>1862</v>
      </c>
      <c r="B1409" s="11">
        <v>45640</v>
      </c>
      <c r="C1409" s="10" t="s">
        <v>510</v>
      </c>
      <c r="D1409" s="10" t="s">
        <v>201</v>
      </c>
      <c r="E1409" s="10" t="s">
        <v>62</v>
      </c>
      <c r="F1409" s="12">
        <v>7</v>
      </c>
      <c r="G1409" s="12">
        <v>3640</v>
      </c>
      <c r="H1409" s="12">
        <v>4.5999999999999996</v>
      </c>
      <c r="I1409" s="12">
        <v>24307.919999999998</v>
      </c>
      <c r="J1409" s="10" t="s">
        <v>51</v>
      </c>
      <c r="K1409" s="10" t="s">
        <v>63</v>
      </c>
      <c r="L1409" t="str">
        <f>IFERROR(VLOOKUP(D1409,Products!A:F,3,0),"")</f>
        <v>Apparel</v>
      </c>
      <c r="M1409" t="str">
        <f>IFERROR(VLOOKUP(E1409,Sales_Reps!A:E,3,0),"")</f>
        <v>South</v>
      </c>
      <c r="N1409" t="str">
        <f>IFERROR(VLOOKUP(C1409,Customers!A:F,5,0),"")</f>
        <v>SMB</v>
      </c>
      <c r="O1409">
        <f>IFERROR(VLOOKUP(C1409,Customers!A:F,3,0),"")</f>
        <v>29</v>
      </c>
      <c r="P1409">
        <f>IFERROR(VLOOKUP(D1409,Products!A:F,4,0),"")</f>
        <v>2611</v>
      </c>
      <c r="Q1409" t="b">
        <f>IFERROR(VLOOKUP(D1409,Products!A:F,6,0),"")</f>
        <v>1</v>
      </c>
      <c r="R1409">
        <f t="shared" si="63"/>
        <v>0.28269230769230769</v>
      </c>
      <c r="S1409">
        <f t="shared" si="64"/>
        <v>1</v>
      </c>
      <c r="T1409">
        <f>IF(AND(S1409&gt;1,COUNTIF($A$2:A1409,A1409)=1),1,0)</f>
        <v>0</v>
      </c>
      <c r="U1409">
        <f>COUNTIF(Customers!$A$2:$A$301,C1409)</f>
        <v>1</v>
      </c>
      <c r="V1409">
        <f t="shared" si="65"/>
        <v>0</v>
      </c>
    </row>
    <row r="1410" spans="1:22" ht="14.25" customHeight="1" x14ac:dyDescent="0.35">
      <c r="A1410" s="10" t="s">
        <v>1863</v>
      </c>
      <c r="B1410" s="11">
        <v>45423</v>
      </c>
      <c r="C1410" s="10" t="s">
        <v>1000</v>
      </c>
      <c r="D1410" s="10" t="s">
        <v>256</v>
      </c>
      <c r="E1410" s="10" t="s">
        <v>118</v>
      </c>
      <c r="F1410" s="12">
        <v>9</v>
      </c>
      <c r="G1410" s="12">
        <v>620</v>
      </c>
      <c r="H1410" s="12">
        <v>8.5</v>
      </c>
      <c r="I1410" s="12">
        <v>5105.7</v>
      </c>
      <c r="J1410" s="10" t="s">
        <v>51</v>
      </c>
      <c r="K1410" s="10" t="s">
        <v>76</v>
      </c>
      <c r="L1410" t="str">
        <f>IFERROR(VLOOKUP(D1410,Products!A:F,3,0),"")</f>
        <v>Apparel</v>
      </c>
      <c r="M1410" t="str">
        <f>IFERROR(VLOOKUP(E1410,Sales_Reps!A:E,3,0),"")</f>
        <v>East</v>
      </c>
      <c r="N1410" t="str">
        <f>IFERROR(VLOOKUP(C1410,Customers!A:F,5,0),"")</f>
        <v>Retail</v>
      </c>
      <c r="O1410">
        <f>IFERROR(VLOOKUP(C1410,Customers!A:F,3,0),"")</f>
        <v>33</v>
      </c>
      <c r="P1410">
        <f>IFERROR(VLOOKUP(D1410,Products!A:F,4,0),"")</f>
        <v>396</v>
      </c>
      <c r="Q1410" t="b">
        <f>IFERROR(VLOOKUP(D1410,Products!A:F,6,0),"")</f>
        <v>1</v>
      </c>
      <c r="R1410">
        <f t="shared" ref="R1410:R1473" si="66">IFERROR((G1410-P1410)/G1410,"")</f>
        <v>0.36129032258064514</v>
      </c>
      <c r="S1410">
        <f t="shared" ref="S1410:S1473" si="67">COUNTIF($A$2:$A$2001,A1410)</f>
        <v>1</v>
      </c>
      <c r="T1410">
        <f>IF(AND(S1410&gt;1,COUNTIF($A$2:A1410,A1410)=1),1,0)</f>
        <v>0</v>
      </c>
      <c r="U1410">
        <f>COUNTIF(Customers!$A$2:$A$301,C1410)</f>
        <v>1</v>
      </c>
      <c r="V1410">
        <f t="shared" ref="V1410:V1473" si="68">IF(AND(K1410="Bengaluru",L1410="Grocery"),I1410,0)</f>
        <v>0</v>
      </c>
    </row>
    <row r="1411" spans="1:22" ht="14.25" customHeight="1" x14ac:dyDescent="0.35">
      <c r="A1411" s="10" t="s">
        <v>1864</v>
      </c>
      <c r="B1411" s="11">
        <v>45423</v>
      </c>
      <c r="C1411" s="10" t="s">
        <v>678</v>
      </c>
      <c r="D1411" s="10" t="s">
        <v>425</v>
      </c>
      <c r="E1411" s="10" t="s">
        <v>310</v>
      </c>
      <c r="F1411" s="12">
        <v>10</v>
      </c>
      <c r="G1411" s="12">
        <v>3780</v>
      </c>
      <c r="H1411" s="12">
        <v>5.8</v>
      </c>
      <c r="I1411" s="12">
        <v>35607.599999999999</v>
      </c>
      <c r="J1411" s="10" t="s">
        <v>51</v>
      </c>
      <c r="K1411" s="10" t="s">
        <v>63</v>
      </c>
      <c r="L1411" t="str">
        <f>IFERROR(VLOOKUP(D1411,Products!A:F,3,0),"")</f>
        <v>Sports</v>
      </c>
      <c r="M1411" t="str">
        <f>IFERROR(VLOOKUP(E1411,Sales_Reps!A:E,3,0),"")</f>
        <v>South</v>
      </c>
      <c r="N1411" t="str">
        <f>IFERROR(VLOOKUP(C1411,Customers!A:F,5,0),"")</f>
        <v>Retail</v>
      </c>
      <c r="O1411">
        <f>IFERROR(VLOOKUP(C1411,Customers!A:F,3,0),"")</f>
        <v>24</v>
      </c>
      <c r="P1411">
        <f>IFERROR(VLOOKUP(D1411,Products!A:F,4,0),"")</f>
        <v>1860</v>
      </c>
      <c r="Q1411" t="b">
        <f>IFERROR(VLOOKUP(D1411,Products!A:F,6,0),"")</f>
        <v>1</v>
      </c>
      <c r="R1411">
        <f t="shared" si="66"/>
        <v>0.50793650793650791</v>
      </c>
      <c r="S1411">
        <f t="shared" si="67"/>
        <v>1</v>
      </c>
      <c r="T1411">
        <f>IF(AND(S1411&gt;1,COUNTIF($A$2:A1411,A1411)=1),1,0)</f>
        <v>0</v>
      </c>
      <c r="U1411">
        <f>COUNTIF(Customers!$A$2:$A$301,C1411)</f>
        <v>1</v>
      </c>
      <c r="V1411">
        <f t="shared" si="68"/>
        <v>0</v>
      </c>
    </row>
    <row r="1412" spans="1:22" ht="14.25" customHeight="1" x14ac:dyDescent="0.35">
      <c r="A1412" s="10" t="s">
        <v>1865</v>
      </c>
      <c r="B1412" s="11">
        <v>45518</v>
      </c>
      <c r="C1412" s="10" t="s">
        <v>486</v>
      </c>
      <c r="D1412" s="10" t="s">
        <v>151</v>
      </c>
      <c r="E1412" s="10" t="s">
        <v>168</v>
      </c>
      <c r="F1412" s="12">
        <v>7</v>
      </c>
      <c r="G1412" s="12">
        <v>3570</v>
      </c>
      <c r="H1412" s="12">
        <v>26.1</v>
      </c>
      <c r="I1412" s="12">
        <v>18467.61</v>
      </c>
      <c r="J1412" s="10" t="s">
        <v>51</v>
      </c>
      <c r="K1412" s="10" t="s">
        <v>63</v>
      </c>
      <c r="L1412" t="str">
        <f>IFERROR(VLOOKUP(D1412,Products!A:F,3,0),"")</f>
        <v>Electronics</v>
      </c>
      <c r="M1412" t="str">
        <f>IFERROR(VLOOKUP(E1412,Sales_Reps!A:E,3,0),"")</f>
        <v>South</v>
      </c>
      <c r="N1412" t="str">
        <f>IFERROR(VLOOKUP(C1412,Customers!A:F,5,0),"")</f>
        <v>SMB</v>
      </c>
      <c r="O1412">
        <f>IFERROR(VLOOKUP(C1412,Customers!A:F,3,0),"")</f>
        <v>55</v>
      </c>
      <c r="P1412">
        <f>IFERROR(VLOOKUP(D1412,Products!A:F,4,0),"")</f>
        <v>1665</v>
      </c>
      <c r="Q1412" t="b">
        <f>IFERROR(VLOOKUP(D1412,Products!A:F,6,0),"")</f>
        <v>1</v>
      </c>
      <c r="R1412">
        <f t="shared" si="66"/>
        <v>0.53361344537815125</v>
      </c>
      <c r="S1412">
        <f t="shared" si="67"/>
        <v>1</v>
      </c>
      <c r="T1412">
        <f>IF(AND(S1412&gt;1,COUNTIF($A$2:A1412,A1412)=1),1,0)</f>
        <v>0</v>
      </c>
      <c r="U1412">
        <f>COUNTIF(Customers!$A$2:$A$301,C1412)</f>
        <v>1</v>
      </c>
      <c r="V1412">
        <f t="shared" si="68"/>
        <v>0</v>
      </c>
    </row>
    <row r="1413" spans="1:22" ht="14.25" customHeight="1" x14ac:dyDescent="0.35">
      <c r="A1413" s="10" t="s">
        <v>1866</v>
      </c>
      <c r="B1413" s="11">
        <v>45306</v>
      </c>
      <c r="C1413" s="10" t="s">
        <v>678</v>
      </c>
      <c r="D1413" s="10" t="s">
        <v>140</v>
      </c>
      <c r="E1413" s="10" t="s">
        <v>261</v>
      </c>
      <c r="F1413" s="12">
        <v>2</v>
      </c>
      <c r="G1413" s="12">
        <v>1650</v>
      </c>
      <c r="H1413" s="12">
        <v>3.8</v>
      </c>
      <c r="I1413" s="12">
        <v>3174.6</v>
      </c>
      <c r="J1413" s="10" t="s">
        <v>51</v>
      </c>
      <c r="K1413" s="10" t="s">
        <v>63</v>
      </c>
      <c r="L1413" t="str">
        <f>IFERROR(VLOOKUP(D1413,Products!A:F,3,0),"")</f>
        <v>Beauty</v>
      </c>
      <c r="M1413" t="str">
        <f>IFERROR(VLOOKUP(E1413,Sales_Reps!A:E,3,0),"")</f>
        <v>North</v>
      </c>
      <c r="N1413" t="str">
        <f>IFERROR(VLOOKUP(C1413,Customers!A:F,5,0),"")</f>
        <v>Retail</v>
      </c>
      <c r="O1413">
        <f>IFERROR(VLOOKUP(C1413,Customers!A:F,3,0),"")</f>
        <v>24</v>
      </c>
      <c r="P1413">
        <f>IFERROR(VLOOKUP(D1413,Products!A:F,4,0),"")</f>
        <v>1222</v>
      </c>
      <c r="Q1413" t="b">
        <f>IFERROR(VLOOKUP(D1413,Products!A:F,6,0),"")</f>
        <v>1</v>
      </c>
      <c r="R1413">
        <f t="shared" si="66"/>
        <v>0.2593939393939394</v>
      </c>
      <c r="S1413">
        <f t="shared" si="67"/>
        <v>1</v>
      </c>
      <c r="T1413">
        <f>IF(AND(S1413&gt;1,COUNTIF($A$2:A1413,A1413)=1),1,0)</f>
        <v>0</v>
      </c>
      <c r="U1413">
        <f>COUNTIF(Customers!$A$2:$A$301,C1413)</f>
        <v>1</v>
      </c>
      <c r="V1413">
        <f t="shared" si="68"/>
        <v>0</v>
      </c>
    </row>
    <row r="1414" spans="1:22" ht="14.25" customHeight="1" x14ac:dyDescent="0.35">
      <c r="A1414" s="10" t="s">
        <v>1867</v>
      </c>
      <c r="B1414" s="11">
        <v>45346</v>
      </c>
      <c r="C1414" s="10" t="s">
        <v>1688</v>
      </c>
      <c r="D1414" s="10" t="s">
        <v>344</v>
      </c>
      <c r="E1414" s="10" t="s">
        <v>289</v>
      </c>
      <c r="F1414" s="12">
        <v>2</v>
      </c>
      <c r="G1414" s="12">
        <v>960</v>
      </c>
      <c r="H1414" s="12">
        <v>6.8</v>
      </c>
      <c r="I1414" s="12">
        <v>1789.44</v>
      </c>
      <c r="J1414" s="10" t="s">
        <v>51</v>
      </c>
      <c r="K1414" s="10" t="s">
        <v>81</v>
      </c>
      <c r="L1414" t="str">
        <f>IFERROR(VLOOKUP(D1414,Products!A:F,3,0),"")</f>
        <v>Beauty</v>
      </c>
      <c r="M1414" t="str">
        <f>IFERROR(VLOOKUP(E1414,Sales_Reps!A:E,3,0),"")</f>
        <v>South</v>
      </c>
      <c r="N1414" t="str">
        <f>IFERROR(VLOOKUP(C1414,Customers!A:F,5,0),"")</f>
        <v>SMB</v>
      </c>
      <c r="O1414">
        <f>IFERROR(VLOOKUP(C1414,Customers!A:F,3,0),"")</f>
        <v>54</v>
      </c>
      <c r="P1414">
        <f>IFERROR(VLOOKUP(D1414,Products!A:F,4,0),"")</f>
        <v>675</v>
      </c>
      <c r="Q1414" t="b">
        <f>IFERROR(VLOOKUP(D1414,Products!A:F,6,0),"")</f>
        <v>1</v>
      </c>
      <c r="R1414">
        <f t="shared" si="66"/>
        <v>0.296875</v>
      </c>
      <c r="S1414">
        <f t="shared" si="67"/>
        <v>1</v>
      </c>
      <c r="T1414">
        <f>IF(AND(S1414&gt;1,COUNTIF($A$2:A1414,A1414)=1),1,0)</f>
        <v>0</v>
      </c>
      <c r="U1414">
        <f>COUNTIF(Customers!$A$2:$A$301,C1414)</f>
        <v>1</v>
      </c>
      <c r="V1414">
        <f t="shared" si="68"/>
        <v>0</v>
      </c>
    </row>
    <row r="1415" spans="1:22" ht="14.25" customHeight="1" x14ac:dyDescent="0.35">
      <c r="A1415" s="10" t="s">
        <v>1868</v>
      </c>
      <c r="B1415" s="11">
        <v>45376</v>
      </c>
      <c r="C1415" s="10" t="s">
        <v>836</v>
      </c>
      <c r="D1415" s="10" t="s">
        <v>246</v>
      </c>
      <c r="E1415" s="10" t="s">
        <v>67</v>
      </c>
      <c r="F1415" s="12">
        <v>2</v>
      </c>
      <c r="G1415" s="12">
        <v>300</v>
      </c>
      <c r="H1415" s="12">
        <v>2.8</v>
      </c>
      <c r="I1415" s="12">
        <v>583.20000000000005</v>
      </c>
      <c r="J1415" s="10" t="s">
        <v>51</v>
      </c>
      <c r="K1415" s="10" t="s">
        <v>76</v>
      </c>
      <c r="L1415" t="str">
        <f>IFERROR(VLOOKUP(D1415,Products!A:F,3,0),"")</f>
        <v>Electronics</v>
      </c>
      <c r="M1415" t="str">
        <f>IFERROR(VLOOKUP(E1415,Sales_Reps!A:E,3,0),"")</f>
        <v>North</v>
      </c>
      <c r="N1415" t="str">
        <f>IFERROR(VLOOKUP(C1415,Customers!A:F,5,0),"")</f>
        <v>Corporate</v>
      </c>
      <c r="O1415">
        <f>IFERROR(VLOOKUP(C1415,Customers!A:F,3,0),"")</f>
        <v>62</v>
      </c>
      <c r="P1415">
        <f>IFERROR(VLOOKUP(D1415,Products!A:F,4,0),"")</f>
        <v>128</v>
      </c>
      <c r="Q1415" t="b">
        <f>IFERROR(VLOOKUP(D1415,Products!A:F,6,0),"")</f>
        <v>1</v>
      </c>
      <c r="R1415">
        <f t="shared" si="66"/>
        <v>0.57333333333333336</v>
      </c>
      <c r="S1415">
        <f t="shared" si="67"/>
        <v>1</v>
      </c>
      <c r="T1415">
        <f>IF(AND(S1415&gt;1,COUNTIF($A$2:A1415,A1415)=1),1,0)</f>
        <v>0</v>
      </c>
      <c r="U1415">
        <f>COUNTIF(Customers!$A$2:$A$301,C1415)</f>
        <v>1</v>
      </c>
      <c r="V1415">
        <f t="shared" si="68"/>
        <v>0</v>
      </c>
    </row>
    <row r="1416" spans="1:22" ht="14.25" customHeight="1" x14ac:dyDescent="0.35">
      <c r="A1416" s="10" t="s">
        <v>1869</v>
      </c>
      <c r="B1416" s="11">
        <v>45561</v>
      </c>
      <c r="C1416" s="10" t="s">
        <v>457</v>
      </c>
      <c r="D1416" s="10" t="s">
        <v>315</v>
      </c>
      <c r="E1416" s="10" t="s">
        <v>307</v>
      </c>
      <c r="F1416" s="12">
        <v>10</v>
      </c>
      <c r="G1416" s="12">
        <v>4060</v>
      </c>
      <c r="H1416" s="12">
        <v>15.1</v>
      </c>
      <c r="I1416" s="12">
        <v>34469.4</v>
      </c>
      <c r="J1416" s="10" t="s">
        <v>51</v>
      </c>
      <c r="K1416" s="10" t="s">
        <v>52</v>
      </c>
      <c r="L1416" t="str">
        <f>IFERROR(VLOOKUP(D1416,Products!A:F,3,0),"")</f>
        <v>Grocery</v>
      </c>
      <c r="M1416" t="str">
        <f>IFERROR(VLOOKUP(E1416,Sales_Reps!A:E,3,0),"")</f>
        <v>West</v>
      </c>
      <c r="N1416" t="str">
        <f>IFERROR(VLOOKUP(C1416,Customers!A:F,5,0),"")</f>
        <v>Retail</v>
      </c>
      <c r="O1416">
        <f>IFERROR(VLOOKUP(C1416,Customers!A:F,3,0),"")</f>
        <v>57</v>
      </c>
      <c r="P1416">
        <f>IFERROR(VLOOKUP(D1416,Products!A:F,4,0),"")</f>
        <v>2911</v>
      </c>
      <c r="Q1416" t="b">
        <f>IFERROR(VLOOKUP(D1416,Products!A:F,6,0),"")</f>
        <v>1</v>
      </c>
      <c r="R1416">
        <f t="shared" si="66"/>
        <v>0.28300492610837441</v>
      </c>
      <c r="S1416">
        <f t="shared" si="67"/>
        <v>1</v>
      </c>
      <c r="T1416">
        <f>IF(AND(S1416&gt;1,COUNTIF($A$2:A1416,A1416)=1),1,0)</f>
        <v>0</v>
      </c>
      <c r="U1416">
        <f>COUNTIF(Customers!$A$2:$A$301,C1416)</f>
        <v>1</v>
      </c>
      <c r="V1416">
        <f t="shared" si="68"/>
        <v>0</v>
      </c>
    </row>
    <row r="1417" spans="1:22" ht="14.25" customHeight="1" x14ac:dyDescent="0.35">
      <c r="A1417" s="10" t="s">
        <v>1870</v>
      </c>
      <c r="B1417" s="11">
        <v>45320</v>
      </c>
      <c r="C1417" s="10" t="s">
        <v>1155</v>
      </c>
      <c r="D1417" s="10" t="s">
        <v>328</v>
      </c>
      <c r="E1417" s="10" t="s">
        <v>249</v>
      </c>
      <c r="F1417" s="12">
        <v>6</v>
      </c>
      <c r="G1417" s="12">
        <v>5330</v>
      </c>
      <c r="H1417" s="12">
        <v>2</v>
      </c>
      <c r="I1417" s="12">
        <v>31340.400000000001</v>
      </c>
      <c r="J1417" s="10" t="s">
        <v>51</v>
      </c>
      <c r="K1417" s="10" t="s">
        <v>81</v>
      </c>
      <c r="L1417" t="str">
        <f>IFERROR(VLOOKUP(D1417,Products!A:F,3,0),"")</f>
        <v>Electronics</v>
      </c>
      <c r="M1417" t="str">
        <f>IFERROR(VLOOKUP(E1417,Sales_Reps!A:E,3,0),"")</f>
        <v>East</v>
      </c>
      <c r="N1417" t="str">
        <f>IFERROR(VLOOKUP(C1417,Customers!A:F,5,0),"")</f>
        <v>Retail</v>
      </c>
      <c r="O1417">
        <f>IFERROR(VLOOKUP(C1417,Customers!A:F,3,0),"")</f>
        <v>36</v>
      </c>
      <c r="P1417">
        <f>IFERROR(VLOOKUP(D1417,Products!A:F,4,0),"")</f>
        <v>2405</v>
      </c>
      <c r="Q1417" t="b">
        <f>IFERROR(VLOOKUP(D1417,Products!A:F,6,0),"")</f>
        <v>1</v>
      </c>
      <c r="R1417">
        <f t="shared" si="66"/>
        <v>0.54878048780487809</v>
      </c>
      <c r="S1417">
        <f t="shared" si="67"/>
        <v>1</v>
      </c>
      <c r="T1417">
        <f>IF(AND(S1417&gt;1,COUNTIF($A$2:A1417,A1417)=1),1,0)</f>
        <v>0</v>
      </c>
      <c r="U1417">
        <f>COUNTIF(Customers!$A$2:$A$301,C1417)</f>
        <v>1</v>
      </c>
      <c r="V1417">
        <f t="shared" si="68"/>
        <v>0</v>
      </c>
    </row>
    <row r="1418" spans="1:22" ht="14.25" customHeight="1" x14ac:dyDescent="0.35">
      <c r="A1418" s="10" t="s">
        <v>1871</v>
      </c>
      <c r="B1418" s="11">
        <v>45572</v>
      </c>
      <c r="C1418" s="10" t="s">
        <v>384</v>
      </c>
      <c r="D1418" s="10" t="s">
        <v>190</v>
      </c>
      <c r="E1418" s="10" t="s">
        <v>122</v>
      </c>
      <c r="F1418" s="12">
        <v>9</v>
      </c>
      <c r="G1418" s="12">
        <v>3730</v>
      </c>
      <c r="H1418" s="12">
        <v>24.5</v>
      </c>
      <c r="I1418" s="12">
        <v>25345.35</v>
      </c>
      <c r="J1418" s="10" t="s">
        <v>108</v>
      </c>
      <c r="K1418" s="10" t="s">
        <v>63</v>
      </c>
      <c r="L1418" t="str">
        <f>IFERROR(VLOOKUP(D1418,Products!A:F,3,0),"")</f>
        <v>Home</v>
      </c>
      <c r="M1418" t="str">
        <f>IFERROR(VLOOKUP(E1418,Sales_Reps!A:E,3,0),"")</f>
        <v>East</v>
      </c>
      <c r="N1418" t="str">
        <f>IFERROR(VLOOKUP(C1418,Customers!A:F,5,0),"")</f>
        <v>Retail</v>
      </c>
      <c r="O1418">
        <f>IFERROR(VLOOKUP(C1418,Customers!A:F,3,0),"")</f>
        <v>44</v>
      </c>
      <c r="P1418">
        <f>IFERROR(VLOOKUP(D1418,Products!A:F,4,0),"")</f>
        <v>2135</v>
      </c>
      <c r="Q1418" t="b">
        <f>IFERROR(VLOOKUP(D1418,Products!A:F,6,0),"")</f>
        <v>1</v>
      </c>
      <c r="R1418">
        <f t="shared" si="66"/>
        <v>0.42761394101876676</v>
      </c>
      <c r="S1418">
        <f t="shared" si="67"/>
        <v>1</v>
      </c>
      <c r="T1418">
        <f>IF(AND(S1418&gt;1,COUNTIF($A$2:A1418,A1418)=1),1,0)</f>
        <v>0</v>
      </c>
      <c r="U1418">
        <f>COUNTIF(Customers!$A$2:$A$301,C1418)</f>
        <v>1</v>
      </c>
      <c r="V1418">
        <f t="shared" si="68"/>
        <v>0</v>
      </c>
    </row>
    <row r="1419" spans="1:22" ht="14.25" customHeight="1" x14ac:dyDescent="0.35">
      <c r="A1419" s="10" t="s">
        <v>1872</v>
      </c>
      <c r="B1419" s="11">
        <v>45611</v>
      </c>
      <c r="C1419" s="10" t="s">
        <v>317</v>
      </c>
      <c r="D1419" s="10" t="s">
        <v>205</v>
      </c>
      <c r="E1419" s="10" t="s">
        <v>134</v>
      </c>
      <c r="F1419" s="12">
        <v>1</v>
      </c>
      <c r="G1419" s="12">
        <v>6080</v>
      </c>
      <c r="H1419" s="12">
        <v>4.4000000000000004</v>
      </c>
      <c r="I1419" s="12">
        <v>5812.48</v>
      </c>
      <c r="J1419" s="10" t="s">
        <v>104</v>
      </c>
      <c r="K1419" s="10" t="s">
        <v>58</v>
      </c>
      <c r="L1419" t="str">
        <f>IFERROR(VLOOKUP(D1419,Products!A:F,3,0),"")</f>
        <v>Beauty</v>
      </c>
      <c r="M1419" t="str">
        <f>IFERROR(VLOOKUP(E1419,Sales_Reps!A:E,3,0),"")</f>
        <v>West</v>
      </c>
      <c r="N1419" t="str">
        <f>IFERROR(VLOOKUP(C1419,Customers!A:F,5,0),"")</f>
        <v>Retail</v>
      </c>
      <c r="O1419">
        <f>IFERROR(VLOOKUP(C1419,Customers!A:F,3,0),"")</f>
        <v>60</v>
      </c>
      <c r="P1419">
        <f>IFERROR(VLOOKUP(D1419,Products!A:F,4,0),"")</f>
        <v>2617</v>
      </c>
      <c r="Q1419" t="b">
        <f>IFERROR(VLOOKUP(D1419,Products!A:F,6,0),"")</f>
        <v>1</v>
      </c>
      <c r="R1419">
        <f t="shared" si="66"/>
        <v>0.56957236842105263</v>
      </c>
      <c r="S1419">
        <f t="shared" si="67"/>
        <v>1</v>
      </c>
      <c r="T1419">
        <f>IF(AND(S1419&gt;1,COUNTIF($A$2:A1419,A1419)=1),1,0)</f>
        <v>0</v>
      </c>
      <c r="U1419">
        <f>COUNTIF(Customers!$A$2:$A$301,C1419)</f>
        <v>1</v>
      </c>
      <c r="V1419">
        <f t="shared" si="68"/>
        <v>0</v>
      </c>
    </row>
    <row r="1420" spans="1:22" ht="14.25" customHeight="1" x14ac:dyDescent="0.35">
      <c r="A1420" s="10" t="s">
        <v>1873</v>
      </c>
      <c r="B1420" s="11">
        <v>45524</v>
      </c>
      <c r="C1420" s="10" t="s">
        <v>671</v>
      </c>
      <c r="D1420" s="10" t="s">
        <v>137</v>
      </c>
      <c r="E1420" s="10" t="s">
        <v>75</v>
      </c>
      <c r="F1420" s="12">
        <v>5</v>
      </c>
      <c r="G1420" s="12">
        <v>2720</v>
      </c>
      <c r="H1420" s="12">
        <v>9.1999999999999993</v>
      </c>
      <c r="I1420" s="12">
        <v>12348.8</v>
      </c>
      <c r="J1420" s="10" t="s">
        <v>51</v>
      </c>
      <c r="K1420" s="10" t="s">
        <v>76</v>
      </c>
      <c r="L1420" t="str">
        <f>IFERROR(VLOOKUP(D1420,Products!A:F,3,0),"")</f>
        <v>Apparel</v>
      </c>
      <c r="M1420" t="str">
        <f>IFERROR(VLOOKUP(E1420,Sales_Reps!A:E,3,0),"")</f>
        <v>West</v>
      </c>
      <c r="N1420" t="str">
        <f>IFERROR(VLOOKUP(C1420,Customers!A:F,5,0),"")</f>
        <v>Retail</v>
      </c>
      <c r="O1420">
        <f>IFERROR(VLOOKUP(C1420,Customers!A:F,3,0),"")</f>
        <v>33</v>
      </c>
      <c r="P1420">
        <f>IFERROR(VLOOKUP(D1420,Products!A:F,4,0),"")</f>
        <v>1962</v>
      </c>
      <c r="Q1420" t="b">
        <f>IFERROR(VLOOKUP(D1420,Products!A:F,6,0),"")</f>
        <v>1</v>
      </c>
      <c r="R1420">
        <f t="shared" si="66"/>
        <v>0.2786764705882353</v>
      </c>
      <c r="S1420">
        <f t="shared" si="67"/>
        <v>1</v>
      </c>
      <c r="T1420">
        <f>IF(AND(S1420&gt;1,COUNTIF($A$2:A1420,A1420)=1),1,0)</f>
        <v>0</v>
      </c>
      <c r="U1420">
        <f>COUNTIF(Customers!$A$2:$A$301,C1420)</f>
        <v>1</v>
      </c>
      <c r="V1420">
        <f t="shared" si="68"/>
        <v>0</v>
      </c>
    </row>
    <row r="1421" spans="1:22" ht="14.25" customHeight="1" x14ac:dyDescent="0.35">
      <c r="A1421" s="10" t="s">
        <v>1874</v>
      </c>
      <c r="B1421" s="11">
        <v>45438</v>
      </c>
      <c r="C1421" s="10" t="s">
        <v>375</v>
      </c>
      <c r="D1421" s="10" t="s">
        <v>416</v>
      </c>
      <c r="E1421" s="10" t="s">
        <v>118</v>
      </c>
      <c r="F1421" s="12">
        <v>1</v>
      </c>
      <c r="G1421" s="12">
        <v>3450</v>
      </c>
      <c r="H1421" s="12">
        <v>15.6</v>
      </c>
      <c r="I1421" s="12">
        <v>2911.8</v>
      </c>
      <c r="J1421" s="10" t="s">
        <v>51</v>
      </c>
      <c r="K1421" s="10" t="s">
        <v>76</v>
      </c>
      <c r="L1421" t="str">
        <f>IFERROR(VLOOKUP(D1421,Products!A:F,3,0),"")</f>
        <v>Apparel</v>
      </c>
      <c r="M1421" t="str">
        <f>IFERROR(VLOOKUP(E1421,Sales_Reps!A:E,3,0),"")</f>
        <v>East</v>
      </c>
      <c r="N1421" t="str">
        <f>IFERROR(VLOOKUP(C1421,Customers!A:F,5,0),"")</f>
        <v>Retail</v>
      </c>
      <c r="O1421">
        <f>IFERROR(VLOOKUP(C1421,Customers!A:F,3,0),"")</f>
        <v>61</v>
      </c>
      <c r="P1421">
        <f>IFERROR(VLOOKUP(D1421,Products!A:F,4,0),"")</f>
        <v>1748</v>
      </c>
      <c r="Q1421" t="b">
        <f>IFERROR(VLOOKUP(D1421,Products!A:F,6,0),"")</f>
        <v>1</v>
      </c>
      <c r="R1421">
        <f t="shared" si="66"/>
        <v>0.49333333333333335</v>
      </c>
      <c r="S1421">
        <f t="shared" si="67"/>
        <v>1</v>
      </c>
      <c r="T1421">
        <f>IF(AND(S1421&gt;1,COUNTIF($A$2:A1421,A1421)=1),1,0)</f>
        <v>0</v>
      </c>
      <c r="U1421">
        <f>COUNTIF(Customers!$A$2:$A$301,C1421)</f>
        <v>1</v>
      </c>
      <c r="V1421">
        <f t="shared" si="68"/>
        <v>0</v>
      </c>
    </row>
    <row r="1422" spans="1:22" ht="14.25" customHeight="1" x14ac:dyDescent="0.35">
      <c r="A1422" s="10" t="s">
        <v>1875</v>
      </c>
      <c r="B1422" s="11">
        <v>45484</v>
      </c>
      <c r="C1422" s="10" t="s">
        <v>1587</v>
      </c>
      <c r="D1422" s="10" t="s">
        <v>466</v>
      </c>
      <c r="E1422" s="10" t="s">
        <v>249</v>
      </c>
      <c r="F1422" s="12">
        <v>2</v>
      </c>
      <c r="G1422" s="12">
        <v>1090</v>
      </c>
      <c r="H1422" s="12">
        <v>0.4</v>
      </c>
      <c r="I1422" s="12">
        <v>2171.2800000000002</v>
      </c>
      <c r="J1422" s="10" t="s">
        <v>108</v>
      </c>
      <c r="K1422" s="10" t="s">
        <v>81</v>
      </c>
      <c r="L1422" t="str">
        <f>IFERROR(VLOOKUP(D1422,Products!A:F,3,0),"")</f>
        <v>Home</v>
      </c>
      <c r="M1422" t="str">
        <f>IFERROR(VLOOKUP(E1422,Sales_Reps!A:E,3,0),"")</f>
        <v>East</v>
      </c>
      <c r="N1422" t="str">
        <f>IFERROR(VLOOKUP(C1422,Customers!A:F,5,0),"")</f>
        <v>Retail</v>
      </c>
      <c r="O1422">
        <f>IFERROR(VLOOKUP(C1422,Customers!A:F,3,0),"")</f>
        <v>53</v>
      </c>
      <c r="P1422">
        <f>IFERROR(VLOOKUP(D1422,Products!A:F,4,0),"")</f>
        <v>464</v>
      </c>
      <c r="Q1422" t="b">
        <f>IFERROR(VLOOKUP(D1422,Products!A:F,6,0),"")</f>
        <v>1</v>
      </c>
      <c r="R1422">
        <f t="shared" si="66"/>
        <v>0.57431192660550456</v>
      </c>
      <c r="S1422">
        <f t="shared" si="67"/>
        <v>1</v>
      </c>
      <c r="T1422">
        <f>IF(AND(S1422&gt;1,COUNTIF($A$2:A1422,A1422)=1),1,0)</f>
        <v>0</v>
      </c>
      <c r="U1422">
        <f>COUNTIF(Customers!$A$2:$A$301,C1422)</f>
        <v>1</v>
      </c>
      <c r="V1422">
        <f t="shared" si="68"/>
        <v>0</v>
      </c>
    </row>
    <row r="1423" spans="1:22" ht="14.25" customHeight="1" x14ac:dyDescent="0.35">
      <c r="A1423" s="10" t="s">
        <v>1876</v>
      </c>
      <c r="B1423" s="11">
        <v>45643</v>
      </c>
      <c r="C1423" s="10" t="s">
        <v>503</v>
      </c>
      <c r="D1423" s="10" t="s">
        <v>151</v>
      </c>
      <c r="E1423" s="10" t="s">
        <v>202</v>
      </c>
      <c r="F1423" s="12">
        <v>2</v>
      </c>
      <c r="G1423" s="12">
        <v>3570</v>
      </c>
      <c r="H1423" s="12">
        <v>9</v>
      </c>
      <c r="I1423" s="12">
        <v>6497.4</v>
      </c>
      <c r="J1423" s="10" t="s">
        <v>51</v>
      </c>
      <c r="K1423" s="10" t="s">
        <v>97</v>
      </c>
      <c r="L1423" t="str">
        <f>IFERROR(VLOOKUP(D1423,Products!A:F,3,0),"")</f>
        <v>Electronics</v>
      </c>
      <c r="M1423" t="str">
        <f>IFERROR(VLOOKUP(E1423,Sales_Reps!A:E,3,0),"")</f>
        <v>East</v>
      </c>
      <c r="N1423" t="str">
        <f>IFERROR(VLOOKUP(C1423,Customers!A:F,5,0),"")</f>
        <v>Retail</v>
      </c>
      <c r="O1423">
        <f>IFERROR(VLOOKUP(C1423,Customers!A:F,3,0),"")</f>
        <v>38</v>
      </c>
      <c r="P1423">
        <f>IFERROR(VLOOKUP(D1423,Products!A:F,4,0),"")</f>
        <v>1665</v>
      </c>
      <c r="Q1423" t="b">
        <f>IFERROR(VLOOKUP(D1423,Products!A:F,6,0),"")</f>
        <v>1</v>
      </c>
      <c r="R1423">
        <f t="shared" si="66"/>
        <v>0.53361344537815125</v>
      </c>
      <c r="S1423">
        <f t="shared" si="67"/>
        <v>1</v>
      </c>
      <c r="T1423">
        <f>IF(AND(S1423&gt;1,COUNTIF($A$2:A1423,A1423)=1),1,0)</f>
        <v>0</v>
      </c>
      <c r="U1423">
        <f>COUNTIF(Customers!$A$2:$A$301,C1423)</f>
        <v>1</v>
      </c>
      <c r="V1423">
        <f t="shared" si="68"/>
        <v>0</v>
      </c>
    </row>
    <row r="1424" spans="1:22" ht="14.25" customHeight="1" x14ac:dyDescent="0.35">
      <c r="A1424" s="10" t="s">
        <v>1877</v>
      </c>
      <c r="B1424" s="11">
        <v>45437</v>
      </c>
      <c r="C1424" s="10" t="s">
        <v>486</v>
      </c>
      <c r="D1424" s="10" t="s">
        <v>131</v>
      </c>
      <c r="E1424" s="10" t="s">
        <v>62</v>
      </c>
      <c r="F1424" s="12">
        <v>9</v>
      </c>
      <c r="G1424" s="12">
        <v>2480</v>
      </c>
      <c r="H1424" s="12">
        <v>3.6</v>
      </c>
      <c r="I1424" s="12">
        <v>21516.48</v>
      </c>
      <c r="J1424" s="10" t="s">
        <v>57</v>
      </c>
      <c r="K1424" s="10" t="s">
        <v>63</v>
      </c>
      <c r="L1424" t="str">
        <f>IFERROR(VLOOKUP(D1424,Products!A:F,3,0),"")</f>
        <v>Apparel</v>
      </c>
      <c r="M1424" t="str">
        <f>IFERROR(VLOOKUP(E1424,Sales_Reps!A:E,3,0),"")</f>
        <v>South</v>
      </c>
      <c r="N1424" t="str">
        <f>IFERROR(VLOOKUP(C1424,Customers!A:F,5,0),"")</f>
        <v>SMB</v>
      </c>
      <c r="O1424">
        <f>IFERROR(VLOOKUP(C1424,Customers!A:F,3,0),"")</f>
        <v>55</v>
      </c>
      <c r="P1424">
        <f>IFERROR(VLOOKUP(D1424,Products!A:F,4,0),"")</f>
        <v>1173</v>
      </c>
      <c r="Q1424" t="b">
        <f>IFERROR(VLOOKUP(D1424,Products!A:F,6,0),"")</f>
        <v>1</v>
      </c>
      <c r="R1424">
        <f t="shared" si="66"/>
        <v>0.52701612903225803</v>
      </c>
      <c r="S1424">
        <f t="shared" si="67"/>
        <v>1</v>
      </c>
      <c r="T1424">
        <f>IF(AND(S1424&gt;1,COUNTIF($A$2:A1424,A1424)=1),1,0)</f>
        <v>0</v>
      </c>
      <c r="U1424">
        <f>COUNTIF(Customers!$A$2:$A$301,C1424)</f>
        <v>1</v>
      </c>
      <c r="V1424">
        <f t="shared" si="68"/>
        <v>0</v>
      </c>
    </row>
    <row r="1425" spans="1:22" ht="14.25" customHeight="1" x14ac:dyDescent="0.35">
      <c r="A1425" s="10" t="s">
        <v>1878</v>
      </c>
      <c r="B1425" s="11">
        <v>45303</v>
      </c>
      <c r="C1425" s="10" t="s">
        <v>508</v>
      </c>
      <c r="D1425" s="10" t="s">
        <v>198</v>
      </c>
      <c r="E1425" s="10" t="s">
        <v>249</v>
      </c>
      <c r="F1425" s="12">
        <v>9</v>
      </c>
      <c r="G1425" s="12">
        <v>3780</v>
      </c>
      <c r="H1425" s="12">
        <v>4.5</v>
      </c>
      <c r="I1425" s="12">
        <v>32489.1</v>
      </c>
      <c r="J1425" s="10" t="s">
        <v>51</v>
      </c>
      <c r="K1425" s="10" t="s">
        <v>97</v>
      </c>
      <c r="L1425" t="str">
        <f>IFERROR(VLOOKUP(D1425,Products!A:F,3,0),"")</f>
        <v>Grocery</v>
      </c>
      <c r="M1425" t="str">
        <f>IFERROR(VLOOKUP(E1425,Sales_Reps!A:E,3,0),"")</f>
        <v>East</v>
      </c>
      <c r="N1425" t="str">
        <f>IFERROR(VLOOKUP(C1425,Customers!A:F,5,0),"")</f>
        <v>Retail</v>
      </c>
      <c r="O1425">
        <f>IFERROR(VLOOKUP(C1425,Customers!A:F,3,0),"")</f>
        <v>25</v>
      </c>
      <c r="P1425">
        <f>IFERROR(VLOOKUP(D1425,Products!A:F,4,0),"")</f>
        <v>2436</v>
      </c>
      <c r="Q1425" t="b">
        <f>IFERROR(VLOOKUP(D1425,Products!A:F,6,0),"")</f>
        <v>1</v>
      </c>
      <c r="R1425">
        <f t="shared" si="66"/>
        <v>0.35555555555555557</v>
      </c>
      <c r="S1425">
        <f t="shared" si="67"/>
        <v>1</v>
      </c>
      <c r="T1425">
        <f>IF(AND(S1425&gt;1,COUNTIF($A$2:A1425,A1425)=1),1,0)</f>
        <v>0</v>
      </c>
      <c r="U1425">
        <f>COUNTIF(Customers!$A$2:$A$301,C1425)</f>
        <v>1</v>
      </c>
      <c r="V1425">
        <f t="shared" si="68"/>
        <v>0</v>
      </c>
    </row>
    <row r="1426" spans="1:22" ht="14.25" customHeight="1" x14ac:dyDescent="0.35">
      <c r="A1426" s="10" t="s">
        <v>1879</v>
      </c>
      <c r="B1426" s="11">
        <v>45631</v>
      </c>
      <c r="C1426" s="10" t="s">
        <v>323</v>
      </c>
      <c r="D1426" s="10" t="s">
        <v>315</v>
      </c>
      <c r="E1426" s="10" t="s">
        <v>96</v>
      </c>
      <c r="F1426" s="12">
        <v>5</v>
      </c>
      <c r="G1426" s="12">
        <v>4060</v>
      </c>
      <c r="H1426" s="12">
        <v>2.7</v>
      </c>
      <c r="I1426" s="12">
        <v>19751.900000000001</v>
      </c>
      <c r="J1426" s="10" t="s">
        <v>51</v>
      </c>
      <c r="K1426" s="10" t="s">
        <v>63</v>
      </c>
      <c r="L1426" t="str">
        <f>IFERROR(VLOOKUP(D1426,Products!A:F,3,0),"")</f>
        <v>Grocery</v>
      </c>
      <c r="M1426" t="str">
        <f>IFERROR(VLOOKUP(E1426,Sales_Reps!A:E,3,0),"")</f>
        <v>South</v>
      </c>
      <c r="N1426" t="str">
        <f>IFERROR(VLOOKUP(C1426,Customers!A:F,5,0),"")</f>
        <v>SMB</v>
      </c>
      <c r="O1426">
        <f>IFERROR(VLOOKUP(C1426,Customers!A:F,3,0),"")</f>
        <v>28</v>
      </c>
      <c r="P1426">
        <f>IFERROR(VLOOKUP(D1426,Products!A:F,4,0),"")</f>
        <v>2911</v>
      </c>
      <c r="Q1426" t="b">
        <f>IFERROR(VLOOKUP(D1426,Products!A:F,6,0),"")</f>
        <v>1</v>
      </c>
      <c r="R1426">
        <f t="shared" si="66"/>
        <v>0.28300492610837441</v>
      </c>
      <c r="S1426">
        <f t="shared" si="67"/>
        <v>1</v>
      </c>
      <c r="T1426">
        <f>IF(AND(S1426&gt;1,COUNTIF($A$2:A1426,A1426)=1),1,0)</f>
        <v>0</v>
      </c>
      <c r="U1426">
        <f>COUNTIF(Customers!$A$2:$A$301,C1426)</f>
        <v>1</v>
      </c>
      <c r="V1426">
        <f t="shared" si="68"/>
        <v>0</v>
      </c>
    </row>
    <row r="1427" spans="1:22" ht="14.25" customHeight="1" x14ac:dyDescent="0.35">
      <c r="A1427" s="10" t="s">
        <v>1880</v>
      </c>
      <c r="B1427" s="11">
        <v>45564</v>
      </c>
      <c r="C1427" s="10" t="s">
        <v>572</v>
      </c>
      <c r="D1427" s="10" t="s">
        <v>246</v>
      </c>
      <c r="E1427" s="10" t="s">
        <v>261</v>
      </c>
      <c r="F1427" s="12">
        <v>8</v>
      </c>
      <c r="G1427" s="12">
        <v>300</v>
      </c>
      <c r="H1427" s="12">
        <v>19.8</v>
      </c>
      <c r="I1427" s="12">
        <v>1924.8</v>
      </c>
      <c r="J1427" s="10" t="s">
        <v>104</v>
      </c>
      <c r="K1427" s="10" t="s">
        <v>52</v>
      </c>
      <c r="L1427" t="str">
        <f>IFERROR(VLOOKUP(D1427,Products!A:F,3,0),"")</f>
        <v>Electronics</v>
      </c>
      <c r="M1427" t="str">
        <f>IFERROR(VLOOKUP(E1427,Sales_Reps!A:E,3,0),"")</f>
        <v>North</v>
      </c>
      <c r="N1427" t="str">
        <f>IFERROR(VLOOKUP(C1427,Customers!A:F,5,0),"")</f>
        <v>Corporate</v>
      </c>
      <c r="O1427">
        <f>IFERROR(VLOOKUP(C1427,Customers!A:F,3,0),"")</f>
        <v>40</v>
      </c>
      <c r="P1427">
        <f>IFERROR(VLOOKUP(D1427,Products!A:F,4,0),"")</f>
        <v>128</v>
      </c>
      <c r="Q1427" t="b">
        <f>IFERROR(VLOOKUP(D1427,Products!A:F,6,0),"")</f>
        <v>1</v>
      </c>
      <c r="R1427">
        <f t="shared" si="66"/>
        <v>0.57333333333333336</v>
      </c>
      <c r="S1427">
        <f t="shared" si="67"/>
        <v>1</v>
      </c>
      <c r="T1427">
        <f>IF(AND(S1427&gt;1,COUNTIF($A$2:A1427,A1427)=1),1,0)</f>
        <v>0</v>
      </c>
      <c r="U1427">
        <f>COUNTIF(Customers!$A$2:$A$301,C1427)</f>
        <v>1</v>
      </c>
      <c r="V1427">
        <f t="shared" si="68"/>
        <v>0</v>
      </c>
    </row>
    <row r="1428" spans="1:22" ht="14.25" customHeight="1" x14ac:dyDescent="0.35">
      <c r="A1428" s="10" t="s">
        <v>1881</v>
      </c>
      <c r="B1428" s="11">
        <v>45454</v>
      </c>
      <c r="C1428" s="10" t="s">
        <v>314</v>
      </c>
      <c r="D1428" s="10" t="s">
        <v>107</v>
      </c>
      <c r="E1428" s="10" t="s">
        <v>261</v>
      </c>
      <c r="F1428" s="12">
        <v>10</v>
      </c>
      <c r="G1428" s="12">
        <v>3250</v>
      </c>
      <c r="H1428" s="12">
        <v>21.3</v>
      </c>
      <c r="I1428" s="12">
        <v>25577.5</v>
      </c>
      <c r="J1428" s="10" t="s">
        <v>104</v>
      </c>
      <c r="K1428" s="10" t="s">
        <v>76</v>
      </c>
      <c r="L1428" t="str">
        <f>IFERROR(VLOOKUP(D1428,Products!A:F,3,0),"")</f>
        <v>Home</v>
      </c>
      <c r="M1428" t="str">
        <f>IFERROR(VLOOKUP(E1428,Sales_Reps!A:E,3,0),"")</f>
        <v>North</v>
      </c>
      <c r="N1428" t="str">
        <f>IFERROR(VLOOKUP(C1428,Customers!A:F,5,0),"")</f>
        <v>SMB</v>
      </c>
      <c r="O1428">
        <f>IFERROR(VLOOKUP(C1428,Customers!A:F,3,0),"")</f>
        <v>22</v>
      </c>
      <c r="P1428">
        <f>IFERROR(VLOOKUP(D1428,Products!A:F,4,0),"")</f>
        <v>1556</v>
      </c>
      <c r="Q1428" t="b">
        <f>IFERROR(VLOOKUP(D1428,Products!A:F,6,0),"")</f>
        <v>1</v>
      </c>
      <c r="R1428">
        <f t="shared" si="66"/>
        <v>0.52123076923076928</v>
      </c>
      <c r="S1428">
        <f t="shared" si="67"/>
        <v>1</v>
      </c>
      <c r="T1428">
        <f>IF(AND(S1428&gt;1,COUNTIF($A$2:A1428,A1428)=1),1,0)</f>
        <v>0</v>
      </c>
      <c r="U1428">
        <f>COUNTIF(Customers!$A$2:$A$301,C1428)</f>
        <v>1</v>
      </c>
      <c r="V1428">
        <f t="shared" si="68"/>
        <v>0</v>
      </c>
    </row>
    <row r="1429" spans="1:22" ht="14.25" customHeight="1" x14ac:dyDescent="0.35">
      <c r="A1429" s="10" t="s">
        <v>1882</v>
      </c>
      <c r="B1429" s="11">
        <v>45616</v>
      </c>
      <c r="C1429" s="10" t="s">
        <v>69</v>
      </c>
      <c r="D1429" s="10" t="s">
        <v>159</v>
      </c>
      <c r="E1429" s="10" t="s">
        <v>168</v>
      </c>
      <c r="F1429" s="12">
        <v>2</v>
      </c>
      <c r="G1429" s="12">
        <v>2860</v>
      </c>
      <c r="H1429" s="12">
        <v>13.7</v>
      </c>
      <c r="I1429" s="12">
        <v>4936.3599999999997</v>
      </c>
      <c r="J1429" s="10" t="s">
        <v>51</v>
      </c>
      <c r="K1429" s="10" t="s">
        <v>58</v>
      </c>
      <c r="L1429" t="str">
        <f>IFERROR(VLOOKUP(D1429,Products!A:F,3,0),"")</f>
        <v>Sports</v>
      </c>
      <c r="M1429" t="str">
        <f>IFERROR(VLOOKUP(E1429,Sales_Reps!A:E,3,0),"")</f>
        <v>South</v>
      </c>
      <c r="N1429" t="str">
        <f>IFERROR(VLOOKUP(C1429,Customers!A:F,5,0),"")</f>
        <v>Retail</v>
      </c>
      <c r="O1429">
        <f>IFERROR(VLOOKUP(C1429,Customers!A:F,3,0),"")</f>
        <v>36</v>
      </c>
      <c r="P1429">
        <f>IFERROR(VLOOKUP(D1429,Products!A:F,4,0),"")</f>
        <v>2028</v>
      </c>
      <c r="Q1429" t="b">
        <f>IFERROR(VLOOKUP(D1429,Products!A:F,6,0),"")</f>
        <v>1</v>
      </c>
      <c r="R1429">
        <f t="shared" si="66"/>
        <v>0.29090909090909089</v>
      </c>
      <c r="S1429">
        <f t="shared" si="67"/>
        <v>1</v>
      </c>
      <c r="T1429">
        <f>IF(AND(S1429&gt;1,COUNTIF($A$2:A1429,A1429)=1),1,0)</f>
        <v>0</v>
      </c>
      <c r="U1429">
        <f>COUNTIF(Customers!$A$2:$A$301,C1429)</f>
        <v>1</v>
      </c>
      <c r="V1429">
        <f t="shared" si="68"/>
        <v>0</v>
      </c>
    </row>
    <row r="1430" spans="1:22" ht="14.25" customHeight="1" x14ac:dyDescent="0.35">
      <c r="A1430" s="10" t="s">
        <v>1883</v>
      </c>
      <c r="B1430" s="11">
        <v>45523</v>
      </c>
      <c r="C1430" s="10" t="s">
        <v>678</v>
      </c>
      <c r="D1430" s="10" t="s">
        <v>231</v>
      </c>
      <c r="E1430" s="10" t="s">
        <v>202</v>
      </c>
      <c r="F1430" s="12">
        <v>10</v>
      </c>
      <c r="G1430" s="12">
        <v>1220</v>
      </c>
      <c r="H1430" s="12">
        <v>15.4</v>
      </c>
      <c r="I1430" s="12">
        <v>10321.200000000001</v>
      </c>
      <c r="J1430" s="10" t="s">
        <v>51</v>
      </c>
      <c r="K1430" s="10" t="s">
        <v>63</v>
      </c>
      <c r="L1430" t="str">
        <f>IFERROR(VLOOKUP(D1430,Products!A:F,3,0),"")</f>
        <v>Electronics</v>
      </c>
      <c r="M1430" t="str">
        <f>IFERROR(VLOOKUP(E1430,Sales_Reps!A:E,3,0),"")</f>
        <v>East</v>
      </c>
      <c r="N1430" t="str">
        <f>IFERROR(VLOOKUP(C1430,Customers!A:F,5,0),"")</f>
        <v>Retail</v>
      </c>
      <c r="O1430">
        <f>IFERROR(VLOOKUP(C1430,Customers!A:F,3,0),"")</f>
        <v>24</v>
      </c>
      <c r="P1430">
        <f>IFERROR(VLOOKUP(D1430,Products!A:F,4,0),"")</f>
        <v>517</v>
      </c>
      <c r="Q1430" t="b">
        <f>IFERROR(VLOOKUP(D1430,Products!A:F,6,0),"")</f>
        <v>1</v>
      </c>
      <c r="R1430">
        <f t="shared" si="66"/>
        <v>0.57622950819672136</v>
      </c>
      <c r="S1430">
        <f t="shared" si="67"/>
        <v>1</v>
      </c>
      <c r="T1430">
        <f>IF(AND(S1430&gt;1,COUNTIF($A$2:A1430,A1430)=1),1,0)</f>
        <v>0</v>
      </c>
      <c r="U1430">
        <f>COUNTIF(Customers!$A$2:$A$301,C1430)</f>
        <v>1</v>
      </c>
      <c r="V1430">
        <f t="shared" si="68"/>
        <v>0</v>
      </c>
    </row>
    <row r="1431" spans="1:22" ht="14.25" customHeight="1" x14ac:dyDescent="0.35">
      <c r="A1431" s="10" t="s">
        <v>1884</v>
      </c>
      <c r="B1431" s="11">
        <v>45439</v>
      </c>
      <c r="C1431" s="10" t="s">
        <v>220</v>
      </c>
      <c r="D1431" s="10" t="s">
        <v>198</v>
      </c>
      <c r="E1431" s="10" t="s">
        <v>96</v>
      </c>
      <c r="F1431" s="12">
        <v>3</v>
      </c>
      <c r="G1431" s="12">
        <v>3780</v>
      </c>
      <c r="H1431" s="12">
        <v>1.9</v>
      </c>
      <c r="I1431" s="12">
        <v>11124.54</v>
      </c>
      <c r="J1431" s="10" t="s">
        <v>51</v>
      </c>
      <c r="K1431" s="10" t="s">
        <v>97</v>
      </c>
      <c r="L1431" t="str">
        <f>IFERROR(VLOOKUP(D1431,Products!A:F,3,0),"")</f>
        <v>Grocery</v>
      </c>
      <c r="M1431" t="str">
        <f>IFERROR(VLOOKUP(E1431,Sales_Reps!A:E,3,0),"")</f>
        <v>South</v>
      </c>
      <c r="N1431" t="str">
        <f>IFERROR(VLOOKUP(C1431,Customers!A:F,5,0),"")</f>
        <v>Retail</v>
      </c>
      <c r="O1431">
        <f>IFERROR(VLOOKUP(C1431,Customers!A:F,3,0),"")</f>
        <v>27</v>
      </c>
      <c r="P1431">
        <f>IFERROR(VLOOKUP(D1431,Products!A:F,4,0),"")</f>
        <v>2436</v>
      </c>
      <c r="Q1431" t="b">
        <f>IFERROR(VLOOKUP(D1431,Products!A:F,6,0),"")</f>
        <v>1</v>
      </c>
      <c r="R1431">
        <f t="shared" si="66"/>
        <v>0.35555555555555557</v>
      </c>
      <c r="S1431">
        <f t="shared" si="67"/>
        <v>1</v>
      </c>
      <c r="T1431">
        <f>IF(AND(S1431&gt;1,COUNTIF($A$2:A1431,A1431)=1),1,0)</f>
        <v>0</v>
      </c>
      <c r="U1431">
        <f>COUNTIF(Customers!$A$2:$A$301,C1431)</f>
        <v>1</v>
      </c>
      <c r="V1431">
        <f t="shared" si="68"/>
        <v>0</v>
      </c>
    </row>
    <row r="1432" spans="1:22" ht="14.25" customHeight="1" x14ac:dyDescent="0.35">
      <c r="A1432" s="10" t="s">
        <v>1885</v>
      </c>
      <c r="B1432" s="11">
        <v>45579</v>
      </c>
      <c r="C1432" s="10" t="s">
        <v>932</v>
      </c>
      <c r="D1432" s="10" t="s">
        <v>88</v>
      </c>
      <c r="E1432" s="10" t="s">
        <v>267</v>
      </c>
      <c r="F1432" s="12">
        <v>6</v>
      </c>
      <c r="G1432" s="12">
        <v>5490</v>
      </c>
      <c r="H1432" s="12">
        <v>0.5</v>
      </c>
      <c r="I1432" s="12">
        <v>32775.300000000003</v>
      </c>
      <c r="J1432" s="10" t="s">
        <v>57</v>
      </c>
      <c r="K1432" s="10" t="s">
        <v>63</v>
      </c>
      <c r="L1432" t="str">
        <f>IFERROR(VLOOKUP(D1432,Products!A:F,3,0),"")</f>
        <v>Home</v>
      </c>
      <c r="M1432" t="str">
        <f>IFERROR(VLOOKUP(E1432,Sales_Reps!A:E,3,0),"")</f>
        <v>East</v>
      </c>
      <c r="N1432" t="str">
        <f>IFERROR(VLOOKUP(C1432,Customers!A:F,5,0),"")</f>
        <v>Retail</v>
      </c>
      <c r="O1432">
        <f>IFERROR(VLOOKUP(C1432,Customers!A:F,3,0),"")</f>
        <v>47</v>
      </c>
      <c r="P1432">
        <f>IFERROR(VLOOKUP(D1432,Products!A:F,4,0),"")</f>
        <v>2549</v>
      </c>
      <c r="Q1432" t="b">
        <f>IFERROR(VLOOKUP(D1432,Products!A:F,6,0),"")</f>
        <v>1</v>
      </c>
      <c r="R1432">
        <f t="shared" si="66"/>
        <v>0.53570127504553733</v>
      </c>
      <c r="S1432">
        <f t="shared" si="67"/>
        <v>1</v>
      </c>
      <c r="T1432">
        <f>IF(AND(S1432&gt;1,COUNTIF($A$2:A1432,A1432)=1),1,0)</f>
        <v>0</v>
      </c>
      <c r="U1432">
        <f>COUNTIF(Customers!$A$2:$A$301,C1432)</f>
        <v>1</v>
      </c>
      <c r="V1432">
        <f t="shared" si="68"/>
        <v>0</v>
      </c>
    </row>
    <row r="1433" spans="1:22" ht="14.25" customHeight="1" x14ac:dyDescent="0.35">
      <c r="A1433" s="10" t="s">
        <v>1886</v>
      </c>
      <c r="B1433" s="11">
        <v>45495</v>
      </c>
      <c r="C1433" s="10" t="s">
        <v>1839</v>
      </c>
      <c r="D1433" s="10" t="s">
        <v>209</v>
      </c>
      <c r="E1433" s="10" t="s">
        <v>193</v>
      </c>
      <c r="F1433" s="12">
        <v>6</v>
      </c>
      <c r="G1433" s="12">
        <v>2270</v>
      </c>
      <c r="H1433" s="12">
        <v>21.5</v>
      </c>
      <c r="I1433" s="12">
        <v>10691.7</v>
      </c>
      <c r="J1433" s="10" t="s">
        <v>51</v>
      </c>
      <c r="K1433" s="10" t="s">
        <v>58</v>
      </c>
      <c r="L1433" t="str">
        <f>IFERROR(VLOOKUP(D1433,Products!A:F,3,0),"")</f>
        <v>Grocery</v>
      </c>
      <c r="M1433" t="str">
        <f>IFERROR(VLOOKUP(E1433,Sales_Reps!A:E,3,0),"")</f>
        <v>West</v>
      </c>
      <c r="N1433" t="str">
        <f>IFERROR(VLOOKUP(C1433,Customers!A:F,5,0),"")</f>
        <v>Corporate</v>
      </c>
      <c r="O1433">
        <f>IFERROR(VLOOKUP(C1433,Customers!A:F,3,0),"")</f>
        <v>54</v>
      </c>
      <c r="P1433">
        <f>IFERROR(VLOOKUP(D1433,Products!A:F,4,0),"")</f>
        <v>1412</v>
      </c>
      <c r="Q1433" t="b">
        <f>IFERROR(VLOOKUP(D1433,Products!A:F,6,0),"")</f>
        <v>1</v>
      </c>
      <c r="R1433">
        <f t="shared" si="66"/>
        <v>0.37797356828193834</v>
      </c>
      <c r="S1433">
        <f t="shared" si="67"/>
        <v>1</v>
      </c>
      <c r="T1433">
        <f>IF(AND(S1433&gt;1,COUNTIF($A$2:A1433,A1433)=1),1,0)</f>
        <v>0</v>
      </c>
      <c r="U1433">
        <f>COUNTIF(Customers!$A$2:$A$301,C1433)</f>
        <v>1</v>
      </c>
      <c r="V1433">
        <f t="shared" si="68"/>
        <v>0</v>
      </c>
    </row>
    <row r="1434" spans="1:22" ht="14.25" customHeight="1" x14ac:dyDescent="0.35">
      <c r="A1434" s="10" t="s">
        <v>1887</v>
      </c>
      <c r="B1434" s="11">
        <v>45600</v>
      </c>
      <c r="C1434" s="10" t="s">
        <v>369</v>
      </c>
      <c r="D1434" s="10" t="s">
        <v>302</v>
      </c>
      <c r="E1434" s="10" t="s">
        <v>118</v>
      </c>
      <c r="F1434" s="12">
        <v>7</v>
      </c>
      <c r="G1434" s="12">
        <v>2210</v>
      </c>
      <c r="H1434" s="12">
        <v>10.3</v>
      </c>
      <c r="I1434" s="12">
        <v>13876.59</v>
      </c>
      <c r="J1434" s="10" t="s">
        <v>51</v>
      </c>
      <c r="K1434" s="10" t="s">
        <v>58</v>
      </c>
      <c r="L1434" t="str">
        <f>IFERROR(VLOOKUP(D1434,Products!A:F,3,0),"")</f>
        <v>Grocery</v>
      </c>
      <c r="M1434" t="str">
        <f>IFERROR(VLOOKUP(E1434,Sales_Reps!A:E,3,0),"")</f>
        <v>East</v>
      </c>
      <c r="N1434" t="str">
        <f>IFERROR(VLOOKUP(C1434,Customers!A:F,5,0),"")</f>
        <v>Corporate</v>
      </c>
      <c r="O1434">
        <f>IFERROR(VLOOKUP(C1434,Customers!A:F,3,0),"")</f>
        <v>24</v>
      </c>
      <c r="P1434">
        <f>IFERROR(VLOOKUP(D1434,Products!A:F,4,0),"")</f>
        <v>1010</v>
      </c>
      <c r="Q1434" t="b">
        <f>IFERROR(VLOOKUP(D1434,Products!A:F,6,0),"")</f>
        <v>1</v>
      </c>
      <c r="R1434">
        <f t="shared" si="66"/>
        <v>0.54298642533936647</v>
      </c>
      <c r="S1434">
        <f t="shared" si="67"/>
        <v>1</v>
      </c>
      <c r="T1434">
        <f>IF(AND(S1434&gt;1,COUNTIF($A$2:A1434,A1434)=1),1,0)</f>
        <v>0</v>
      </c>
      <c r="U1434">
        <f>COUNTIF(Customers!$A$2:$A$301,C1434)</f>
        <v>1</v>
      </c>
      <c r="V1434">
        <f t="shared" si="68"/>
        <v>0</v>
      </c>
    </row>
    <row r="1435" spans="1:22" ht="14.25" customHeight="1" x14ac:dyDescent="0.35">
      <c r="A1435" s="10" t="s">
        <v>1888</v>
      </c>
      <c r="B1435" s="11">
        <v>45605</v>
      </c>
      <c r="C1435" s="10" t="s">
        <v>1889</v>
      </c>
      <c r="D1435" s="10" t="s">
        <v>466</v>
      </c>
      <c r="E1435" s="10" t="s">
        <v>168</v>
      </c>
      <c r="F1435" s="12">
        <v>8</v>
      </c>
      <c r="G1435" s="12">
        <v>1090</v>
      </c>
      <c r="H1435" s="12">
        <v>21.7</v>
      </c>
      <c r="I1435" s="12">
        <v>6827.76</v>
      </c>
      <c r="J1435" s="10" t="s">
        <v>51</v>
      </c>
      <c r="K1435" s="10" t="s">
        <v>52</v>
      </c>
      <c r="L1435" t="str">
        <f>IFERROR(VLOOKUP(D1435,Products!A:F,3,0),"")</f>
        <v>Home</v>
      </c>
      <c r="M1435" t="str">
        <f>IFERROR(VLOOKUP(E1435,Sales_Reps!A:E,3,0),"")</f>
        <v>South</v>
      </c>
      <c r="N1435" t="str">
        <f>IFERROR(VLOOKUP(C1435,Customers!A:F,5,0),"")</f>
        <v/>
      </c>
      <c r="O1435" t="str">
        <f>IFERROR(VLOOKUP(C1435,Customers!A:F,3,0),"")</f>
        <v/>
      </c>
      <c r="P1435">
        <f>IFERROR(VLOOKUP(D1435,Products!A:F,4,0),"")</f>
        <v>464</v>
      </c>
      <c r="Q1435" t="b">
        <f>IFERROR(VLOOKUP(D1435,Products!A:F,6,0),"")</f>
        <v>1</v>
      </c>
      <c r="R1435">
        <f t="shared" si="66"/>
        <v>0.57431192660550456</v>
      </c>
      <c r="S1435">
        <f t="shared" si="67"/>
        <v>1</v>
      </c>
      <c r="T1435">
        <f>IF(AND(S1435&gt;1,COUNTIF($A$2:A1435,A1435)=1),1,0)</f>
        <v>0</v>
      </c>
      <c r="U1435">
        <f>COUNTIF(Customers!$A$2:$A$301,C1435)</f>
        <v>0</v>
      </c>
      <c r="V1435">
        <f t="shared" si="68"/>
        <v>0</v>
      </c>
    </row>
    <row r="1436" spans="1:22" ht="14.25" customHeight="1" x14ac:dyDescent="0.35">
      <c r="A1436" s="10" t="s">
        <v>1890</v>
      </c>
      <c r="B1436" s="11">
        <v>45598</v>
      </c>
      <c r="C1436" s="10" t="s">
        <v>805</v>
      </c>
      <c r="D1436" s="10" t="s">
        <v>623</v>
      </c>
      <c r="E1436" s="10" t="s">
        <v>261</v>
      </c>
      <c r="F1436" s="12">
        <v>5</v>
      </c>
      <c r="G1436" s="12">
        <v>3560</v>
      </c>
      <c r="H1436" s="12">
        <v>19.399999999999999</v>
      </c>
      <c r="I1436" s="12">
        <v>14346.8</v>
      </c>
      <c r="J1436" s="10" t="s">
        <v>57</v>
      </c>
      <c r="K1436" s="10" t="s">
        <v>81</v>
      </c>
      <c r="L1436" t="str">
        <f>IFERROR(VLOOKUP(D1436,Products!A:F,3,0),"")</f>
        <v>Apparel</v>
      </c>
      <c r="M1436" t="str">
        <f>IFERROR(VLOOKUP(E1436,Sales_Reps!A:E,3,0),"")</f>
        <v>North</v>
      </c>
      <c r="N1436" t="str">
        <f>IFERROR(VLOOKUP(C1436,Customers!A:F,5,0),"")</f>
        <v>Corporate</v>
      </c>
      <c r="O1436">
        <f>IFERROR(VLOOKUP(C1436,Customers!A:F,3,0),"")</f>
        <v>41</v>
      </c>
      <c r="P1436">
        <f>IFERROR(VLOOKUP(D1436,Products!A:F,4,0),"")</f>
        <v>2629</v>
      </c>
      <c r="Q1436" t="b">
        <f>IFERROR(VLOOKUP(D1436,Products!A:F,6,0),"")</f>
        <v>1</v>
      </c>
      <c r="R1436">
        <f t="shared" si="66"/>
        <v>0.26151685393258428</v>
      </c>
      <c r="S1436">
        <f t="shared" si="67"/>
        <v>1</v>
      </c>
      <c r="T1436">
        <f>IF(AND(S1436&gt;1,COUNTIF($A$2:A1436,A1436)=1),1,0)</f>
        <v>0</v>
      </c>
      <c r="U1436">
        <f>COUNTIF(Customers!$A$2:$A$301,C1436)</f>
        <v>1</v>
      </c>
      <c r="V1436">
        <f t="shared" si="68"/>
        <v>0</v>
      </c>
    </row>
    <row r="1437" spans="1:22" ht="14.25" customHeight="1" x14ac:dyDescent="0.35">
      <c r="A1437" s="10" t="s">
        <v>1891</v>
      </c>
      <c r="B1437" s="11">
        <v>45452</v>
      </c>
      <c r="C1437" s="10" t="s">
        <v>1136</v>
      </c>
      <c r="D1437" s="10" t="s">
        <v>146</v>
      </c>
      <c r="E1437" s="10" t="s">
        <v>92</v>
      </c>
      <c r="F1437" s="12">
        <v>7</v>
      </c>
      <c r="G1437" s="12">
        <v>1010</v>
      </c>
      <c r="H1437" s="12">
        <v>28.2</v>
      </c>
      <c r="I1437" s="12">
        <v>5076.26</v>
      </c>
      <c r="J1437" s="10" t="s">
        <v>51</v>
      </c>
      <c r="K1437" s="10" t="s">
        <v>52</v>
      </c>
      <c r="L1437" t="str">
        <f>IFERROR(VLOOKUP(D1437,Products!A:F,3,0),"")</f>
        <v>Sports</v>
      </c>
      <c r="M1437" t="str">
        <f>IFERROR(VLOOKUP(E1437,Sales_Reps!A:E,3,0),"")</f>
        <v>West</v>
      </c>
      <c r="N1437" t="str">
        <f>IFERROR(VLOOKUP(C1437,Customers!A:F,5,0),"")</f>
        <v>Retail</v>
      </c>
      <c r="O1437">
        <f>IFERROR(VLOOKUP(C1437,Customers!A:F,3,0),"")</f>
        <v>39</v>
      </c>
      <c r="P1437">
        <f>IFERROR(VLOOKUP(D1437,Products!A:F,4,0),"")</f>
        <v>516</v>
      </c>
      <c r="Q1437" t="b">
        <f>IFERROR(VLOOKUP(D1437,Products!A:F,6,0),"")</f>
        <v>1</v>
      </c>
      <c r="R1437">
        <f t="shared" si="66"/>
        <v>0.4891089108910891</v>
      </c>
      <c r="S1437">
        <f t="shared" si="67"/>
        <v>1</v>
      </c>
      <c r="T1437">
        <f>IF(AND(S1437&gt;1,COUNTIF($A$2:A1437,A1437)=1),1,0)</f>
        <v>0</v>
      </c>
      <c r="U1437">
        <f>COUNTIF(Customers!$A$2:$A$301,C1437)</f>
        <v>1</v>
      </c>
      <c r="V1437">
        <f t="shared" si="68"/>
        <v>0</v>
      </c>
    </row>
    <row r="1438" spans="1:22" ht="14.25" customHeight="1" x14ac:dyDescent="0.35">
      <c r="A1438" s="10" t="s">
        <v>1892</v>
      </c>
      <c r="B1438" s="11">
        <v>45470</v>
      </c>
      <c r="C1438" s="10" t="s">
        <v>676</v>
      </c>
      <c r="D1438" s="10" t="s">
        <v>259</v>
      </c>
      <c r="E1438" s="10" t="s">
        <v>152</v>
      </c>
      <c r="F1438" s="12">
        <v>2</v>
      </c>
      <c r="G1438" s="12">
        <v>2030</v>
      </c>
      <c r="H1438" s="12">
        <v>27.3</v>
      </c>
      <c r="I1438" s="12">
        <v>2951.62</v>
      </c>
      <c r="J1438" s="10" t="s">
        <v>108</v>
      </c>
      <c r="K1438" s="10" t="s">
        <v>76</v>
      </c>
      <c r="L1438" t="str">
        <f>IFERROR(VLOOKUP(D1438,Products!A:F,3,0),"")</f>
        <v>Home</v>
      </c>
      <c r="M1438" t="str">
        <f>IFERROR(VLOOKUP(E1438,Sales_Reps!A:E,3,0),"")</f>
        <v>South</v>
      </c>
      <c r="N1438" t="str">
        <f>IFERROR(VLOOKUP(C1438,Customers!A:F,5,0),"")</f>
        <v>Corporate</v>
      </c>
      <c r="O1438">
        <f>IFERROR(VLOOKUP(C1438,Customers!A:F,3,0),"")</f>
        <v>51</v>
      </c>
      <c r="P1438">
        <f>IFERROR(VLOOKUP(D1438,Products!A:F,4,0),"")</f>
        <v>1143</v>
      </c>
      <c r="Q1438" t="b">
        <f>IFERROR(VLOOKUP(D1438,Products!A:F,6,0),"")</f>
        <v>1</v>
      </c>
      <c r="R1438">
        <f t="shared" si="66"/>
        <v>0.43694581280788175</v>
      </c>
      <c r="S1438">
        <f t="shared" si="67"/>
        <v>1</v>
      </c>
      <c r="T1438">
        <f>IF(AND(S1438&gt;1,COUNTIF($A$2:A1438,A1438)=1),1,0)</f>
        <v>0</v>
      </c>
      <c r="U1438">
        <f>COUNTIF(Customers!$A$2:$A$301,C1438)</f>
        <v>1</v>
      </c>
      <c r="V1438">
        <f t="shared" si="68"/>
        <v>0</v>
      </c>
    </row>
    <row r="1439" spans="1:22" ht="14.25" customHeight="1" x14ac:dyDescent="0.35">
      <c r="A1439" s="10" t="s">
        <v>1893</v>
      </c>
      <c r="B1439" s="11">
        <v>45350</v>
      </c>
      <c r="C1439" s="10" t="s">
        <v>174</v>
      </c>
      <c r="D1439" s="10" t="s">
        <v>328</v>
      </c>
      <c r="E1439" s="10" t="s">
        <v>289</v>
      </c>
      <c r="F1439" s="12">
        <v>6</v>
      </c>
      <c r="G1439" s="12">
        <v>5330</v>
      </c>
      <c r="H1439" s="12">
        <v>0.6</v>
      </c>
      <c r="I1439" s="12">
        <v>31788.12</v>
      </c>
      <c r="J1439" s="10" t="s">
        <v>51</v>
      </c>
      <c r="K1439" s="10" t="s">
        <v>63</v>
      </c>
      <c r="L1439" t="str">
        <f>IFERROR(VLOOKUP(D1439,Products!A:F,3,0),"")</f>
        <v>Electronics</v>
      </c>
      <c r="M1439" t="str">
        <f>IFERROR(VLOOKUP(E1439,Sales_Reps!A:E,3,0),"")</f>
        <v>South</v>
      </c>
      <c r="N1439" t="str">
        <f>IFERROR(VLOOKUP(C1439,Customers!A:F,5,0),"")</f>
        <v>Retail</v>
      </c>
      <c r="O1439">
        <f>IFERROR(VLOOKUP(C1439,Customers!A:F,3,0),"")</f>
        <v>41</v>
      </c>
      <c r="P1439">
        <f>IFERROR(VLOOKUP(D1439,Products!A:F,4,0),"")</f>
        <v>2405</v>
      </c>
      <c r="Q1439" t="b">
        <f>IFERROR(VLOOKUP(D1439,Products!A:F,6,0),"")</f>
        <v>1</v>
      </c>
      <c r="R1439">
        <f t="shared" si="66"/>
        <v>0.54878048780487809</v>
      </c>
      <c r="S1439">
        <f t="shared" si="67"/>
        <v>1</v>
      </c>
      <c r="T1439">
        <f>IF(AND(S1439&gt;1,COUNTIF($A$2:A1439,A1439)=1),1,0)</f>
        <v>0</v>
      </c>
      <c r="U1439">
        <f>COUNTIF(Customers!$A$2:$A$301,C1439)</f>
        <v>1</v>
      </c>
      <c r="V1439">
        <f t="shared" si="68"/>
        <v>0</v>
      </c>
    </row>
    <row r="1440" spans="1:22" ht="14.25" customHeight="1" x14ac:dyDescent="0.35">
      <c r="A1440" s="10" t="s">
        <v>1894</v>
      </c>
      <c r="B1440" s="11">
        <v>45514</v>
      </c>
      <c r="C1440" s="10" t="s">
        <v>274</v>
      </c>
      <c r="D1440" s="10" t="s">
        <v>99</v>
      </c>
      <c r="E1440" s="10" t="s">
        <v>50</v>
      </c>
      <c r="F1440" s="12">
        <v>2</v>
      </c>
      <c r="G1440" s="12">
        <v>2640</v>
      </c>
      <c r="H1440" s="12">
        <v>26</v>
      </c>
      <c r="I1440" s="12">
        <v>3907.2</v>
      </c>
      <c r="J1440" s="10" t="s">
        <v>57</v>
      </c>
      <c r="K1440" s="10" t="s">
        <v>81</v>
      </c>
      <c r="L1440" t="str">
        <f>IFERROR(VLOOKUP(D1440,Products!A:F,3,0),"")</f>
        <v>Electronics</v>
      </c>
      <c r="M1440" t="str">
        <f>IFERROR(VLOOKUP(E1440,Sales_Reps!A:E,3,0),"")</f>
        <v>North</v>
      </c>
      <c r="N1440" t="str">
        <f>IFERROR(VLOOKUP(C1440,Customers!A:F,5,0),"")</f>
        <v>Retail</v>
      </c>
      <c r="O1440">
        <f>IFERROR(VLOOKUP(C1440,Customers!A:F,3,0),"")</f>
        <v>42</v>
      </c>
      <c r="P1440">
        <f>IFERROR(VLOOKUP(D1440,Products!A:F,4,0),"")</f>
        <v>1149</v>
      </c>
      <c r="Q1440" t="b">
        <f>IFERROR(VLOOKUP(D1440,Products!A:F,6,0),"")</f>
        <v>1</v>
      </c>
      <c r="R1440">
        <f t="shared" si="66"/>
        <v>0.56477272727272732</v>
      </c>
      <c r="S1440">
        <f t="shared" si="67"/>
        <v>1</v>
      </c>
      <c r="T1440">
        <f>IF(AND(S1440&gt;1,COUNTIF($A$2:A1440,A1440)=1),1,0)</f>
        <v>0</v>
      </c>
      <c r="U1440">
        <f>COUNTIF(Customers!$A$2:$A$301,C1440)</f>
        <v>1</v>
      </c>
      <c r="V1440">
        <f t="shared" si="68"/>
        <v>0</v>
      </c>
    </row>
    <row r="1441" spans="1:22" ht="14.25" customHeight="1" x14ac:dyDescent="0.35">
      <c r="A1441" s="10" t="s">
        <v>1895</v>
      </c>
      <c r="B1441" s="11">
        <v>45447</v>
      </c>
      <c r="C1441" s="10" t="s">
        <v>314</v>
      </c>
      <c r="D1441" s="10" t="s">
        <v>243</v>
      </c>
      <c r="E1441" s="10" t="s">
        <v>289</v>
      </c>
      <c r="F1441" s="12">
        <v>8</v>
      </c>
      <c r="G1441" s="12">
        <v>2660</v>
      </c>
      <c r="H1441" s="12">
        <v>2.9</v>
      </c>
      <c r="I1441" s="12">
        <v>20662.88</v>
      </c>
      <c r="J1441" s="10" t="s">
        <v>51</v>
      </c>
      <c r="K1441" s="10" t="s">
        <v>76</v>
      </c>
      <c r="L1441" t="str">
        <f>IFERROR(VLOOKUP(D1441,Products!A:F,3,0),"")</f>
        <v>Electronics</v>
      </c>
      <c r="M1441" t="str">
        <f>IFERROR(VLOOKUP(E1441,Sales_Reps!A:E,3,0),"")</f>
        <v>South</v>
      </c>
      <c r="N1441" t="str">
        <f>IFERROR(VLOOKUP(C1441,Customers!A:F,5,0),"")</f>
        <v>SMB</v>
      </c>
      <c r="O1441">
        <f>IFERROR(VLOOKUP(C1441,Customers!A:F,3,0),"")</f>
        <v>22</v>
      </c>
      <c r="P1441">
        <f>IFERROR(VLOOKUP(D1441,Products!A:F,4,0),"")</f>
        <v>1259</v>
      </c>
      <c r="Q1441" t="b">
        <f>IFERROR(VLOOKUP(D1441,Products!A:F,6,0),"")</f>
        <v>0</v>
      </c>
      <c r="R1441">
        <f t="shared" si="66"/>
        <v>0.52669172932330832</v>
      </c>
      <c r="S1441">
        <f t="shared" si="67"/>
        <v>1</v>
      </c>
      <c r="T1441">
        <f>IF(AND(S1441&gt;1,COUNTIF($A$2:A1441,A1441)=1),1,0)</f>
        <v>0</v>
      </c>
      <c r="U1441">
        <f>COUNTIF(Customers!$A$2:$A$301,C1441)</f>
        <v>1</v>
      </c>
      <c r="V1441">
        <f t="shared" si="68"/>
        <v>0</v>
      </c>
    </row>
    <row r="1442" spans="1:22" ht="14.25" customHeight="1" x14ac:dyDescent="0.35">
      <c r="A1442" s="10" t="s">
        <v>1896</v>
      </c>
      <c r="B1442" s="11">
        <v>45390</v>
      </c>
      <c r="C1442" s="10" t="s">
        <v>1036</v>
      </c>
      <c r="D1442" s="10" t="s">
        <v>107</v>
      </c>
      <c r="E1442" s="10" t="s">
        <v>118</v>
      </c>
      <c r="F1442" s="12">
        <v>6</v>
      </c>
      <c r="G1442" s="12">
        <v>3250</v>
      </c>
      <c r="H1442" s="12">
        <v>11.1</v>
      </c>
      <c r="I1442" s="12">
        <v>17335.5</v>
      </c>
      <c r="J1442" s="10" t="s">
        <v>51</v>
      </c>
      <c r="K1442" s="10" t="s">
        <v>76</v>
      </c>
      <c r="L1442" t="str">
        <f>IFERROR(VLOOKUP(D1442,Products!A:F,3,0),"")</f>
        <v>Home</v>
      </c>
      <c r="M1442" t="str">
        <f>IFERROR(VLOOKUP(E1442,Sales_Reps!A:E,3,0),"")</f>
        <v>East</v>
      </c>
      <c r="N1442" t="str">
        <f>IFERROR(VLOOKUP(C1442,Customers!A:F,5,0),"")</f>
        <v>SMB</v>
      </c>
      <c r="O1442">
        <f>IFERROR(VLOOKUP(C1442,Customers!A:F,3,0),"")</f>
        <v>53</v>
      </c>
      <c r="P1442">
        <f>IFERROR(VLOOKUP(D1442,Products!A:F,4,0),"")</f>
        <v>1556</v>
      </c>
      <c r="Q1442" t="b">
        <f>IFERROR(VLOOKUP(D1442,Products!A:F,6,0),"")</f>
        <v>1</v>
      </c>
      <c r="R1442">
        <f t="shared" si="66"/>
        <v>0.52123076923076928</v>
      </c>
      <c r="S1442">
        <f t="shared" si="67"/>
        <v>1</v>
      </c>
      <c r="T1442">
        <f>IF(AND(S1442&gt;1,COUNTIF($A$2:A1442,A1442)=1),1,0)</f>
        <v>0</v>
      </c>
      <c r="U1442">
        <f>COUNTIF(Customers!$A$2:$A$301,C1442)</f>
        <v>1</v>
      </c>
      <c r="V1442">
        <f t="shared" si="68"/>
        <v>0</v>
      </c>
    </row>
    <row r="1443" spans="1:22" ht="14.25" customHeight="1" x14ac:dyDescent="0.35">
      <c r="A1443" s="10" t="s">
        <v>1897</v>
      </c>
      <c r="B1443" s="11">
        <v>45307</v>
      </c>
      <c r="C1443" s="10" t="s">
        <v>245</v>
      </c>
      <c r="D1443" s="10" t="s">
        <v>302</v>
      </c>
      <c r="E1443" s="10" t="s">
        <v>103</v>
      </c>
      <c r="F1443" s="12">
        <v>1</v>
      </c>
      <c r="G1443" s="12">
        <v>2210</v>
      </c>
      <c r="H1443" s="12">
        <v>3.5</v>
      </c>
      <c r="I1443" s="12">
        <v>2132.65</v>
      </c>
      <c r="J1443" s="10" t="s">
        <v>51</v>
      </c>
      <c r="K1443" s="10" t="s">
        <v>52</v>
      </c>
      <c r="L1443" t="str">
        <f>IFERROR(VLOOKUP(D1443,Products!A:F,3,0),"")</f>
        <v>Grocery</v>
      </c>
      <c r="M1443" t="str">
        <f>IFERROR(VLOOKUP(E1443,Sales_Reps!A:E,3,0),"")</f>
        <v>North</v>
      </c>
      <c r="N1443" t="str">
        <f>IFERROR(VLOOKUP(C1443,Customers!A:F,5,0),"")</f>
        <v>Retail</v>
      </c>
      <c r="O1443">
        <f>IFERROR(VLOOKUP(C1443,Customers!A:F,3,0),"")</f>
        <v>25</v>
      </c>
      <c r="P1443">
        <f>IFERROR(VLOOKUP(D1443,Products!A:F,4,0),"")</f>
        <v>1010</v>
      </c>
      <c r="Q1443" t="b">
        <f>IFERROR(VLOOKUP(D1443,Products!A:F,6,0),"")</f>
        <v>1</v>
      </c>
      <c r="R1443">
        <f t="shared" si="66"/>
        <v>0.54298642533936647</v>
      </c>
      <c r="S1443">
        <f t="shared" si="67"/>
        <v>1</v>
      </c>
      <c r="T1443">
        <f>IF(AND(S1443&gt;1,COUNTIF($A$2:A1443,A1443)=1),1,0)</f>
        <v>0</v>
      </c>
      <c r="U1443">
        <f>COUNTIF(Customers!$A$2:$A$301,C1443)</f>
        <v>1</v>
      </c>
      <c r="V1443">
        <f t="shared" si="68"/>
        <v>0</v>
      </c>
    </row>
    <row r="1444" spans="1:22" ht="14.25" customHeight="1" x14ac:dyDescent="0.35">
      <c r="A1444" s="10" t="s">
        <v>1898</v>
      </c>
      <c r="B1444" s="11">
        <v>45432</v>
      </c>
      <c r="C1444" s="10" t="s">
        <v>457</v>
      </c>
      <c r="D1444" s="10" t="s">
        <v>74</v>
      </c>
      <c r="E1444" s="10" t="s">
        <v>85</v>
      </c>
      <c r="F1444" s="12">
        <v>9</v>
      </c>
      <c r="G1444" s="12">
        <v>370</v>
      </c>
      <c r="H1444" s="12">
        <v>12.4</v>
      </c>
      <c r="I1444" s="12">
        <v>2917.08</v>
      </c>
      <c r="J1444" s="10" t="s">
        <v>51</v>
      </c>
      <c r="K1444" s="10" t="s">
        <v>52</v>
      </c>
      <c r="L1444" t="str">
        <f>IFERROR(VLOOKUP(D1444,Products!A:F,3,0),"")</f>
        <v>Home</v>
      </c>
      <c r="M1444" t="str">
        <f>IFERROR(VLOOKUP(E1444,Sales_Reps!A:E,3,0),"")</f>
        <v>East</v>
      </c>
      <c r="N1444" t="str">
        <f>IFERROR(VLOOKUP(C1444,Customers!A:F,5,0),"")</f>
        <v>Retail</v>
      </c>
      <c r="O1444">
        <f>IFERROR(VLOOKUP(C1444,Customers!A:F,3,0),"")</f>
        <v>57</v>
      </c>
      <c r="P1444">
        <f>IFERROR(VLOOKUP(D1444,Products!A:F,4,0),"")</f>
        <v>288</v>
      </c>
      <c r="Q1444" t="b">
        <f>IFERROR(VLOOKUP(D1444,Products!A:F,6,0),"")</f>
        <v>1</v>
      </c>
      <c r="R1444">
        <f t="shared" si="66"/>
        <v>0.22162162162162163</v>
      </c>
      <c r="S1444">
        <f t="shared" si="67"/>
        <v>1</v>
      </c>
      <c r="T1444">
        <f>IF(AND(S1444&gt;1,COUNTIF($A$2:A1444,A1444)=1),1,0)</f>
        <v>0</v>
      </c>
      <c r="U1444">
        <f>COUNTIF(Customers!$A$2:$A$301,C1444)</f>
        <v>1</v>
      </c>
      <c r="V1444">
        <f t="shared" si="68"/>
        <v>0</v>
      </c>
    </row>
    <row r="1445" spans="1:22" ht="14.25" customHeight="1" x14ac:dyDescent="0.35">
      <c r="A1445" s="10" t="s">
        <v>1899</v>
      </c>
      <c r="B1445" s="11">
        <v>45453</v>
      </c>
      <c r="C1445" s="10" t="s">
        <v>681</v>
      </c>
      <c r="D1445" s="10" t="s">
        <v>425</v>
      </c>
      <c r="E1445" s="10" t="s">
        <v>249</v>
      </c>
      <c r="F1445" s="12">
        <v>3</v>
      </c>
      <c r="G1445" s="12">
        <v>3780</v>
      </c>
      <c r="H1445" s="12">
        <v>8.5</v>
      </c>
      <c r="I1445" s="12">
        <v>10376.1</v>
      </c>
      <c r="J1445" s="10" t="s">
        <v>57</v>
      </c>
      <c r="K1445" s="10" t="s">
        <v>58</v>
      </c>
      <c r="L1445" t="str">
        <f>IFERROR(VLOOKUP(D1445,Products!A:F,3,0),"")</f>
        <v>Sports</v>
      </c>
      <c r="M1445" t="str">
        <f>IFERROR(VLOOKUP(E1445,Sales_Reps!A:E,3,0),"")</f>
        <v>East</v>
      </c>
      <c r="N1445" t="str">
        <f>IFERROR(VLOOKUP(C1445,Customers!A:F,5,0),"")</f>
        <v>Retail</v>
      </c>
      <c r="O1445">
        <f>IFERROR(VLOOKUP(C1445,Customers!A:F,3,0),"")</f>
        <v>24</v>
      </c>
      <c r="P1445">
        <f>IFERROR(VLOOKUP(D1445,Products!A:F,4,0),"")</f>
        <v>1860</v>
      </c>
      <c r="Q1445" t="b">
        <f>IFERROR(VLOOKUP(D1445,Products!A:F,6,0),"")</f>
        <v>1</v>
      </c>
      <c r="R1445">
        <f t="shared" si="66"/>
        <v>0.50793650793650791</v>
      </c>
      <c r="S1445">
        <f t="shared" si="67"/>
        <v>1</v>
      </c>
      <c r="T1445">
        <f>IF(AND(S1445&gt;1,COUNTIF($A$2:A1445,A1445)=1),1,0)</f>
        <v>0</v>
      </c>
      <c r="U1445">
        <f>COUNTIF(Customers!$A$2:$A$301,C1445)</f>
        <v>1</v>
      </c>
      <c r="V1445">
        <f t="shared" si="68"/>
        <v>0</v>
      </c>
    </row>
    <row r="1446" spans="1:22" ht="14.25" customHeight="1" x14ac:dyDescent="0.35">
      <c r="A1446" s="10" t="s">
        <v>387</v>
      </c>
      <c r="B1446" s="11">
        <v>45397</v>
      </c>
      <c r="C1446" s="10" t="s">
        <v>382</v>
      </c>
      <c r="D1446" s="10" t="s">
        <v>146</v>
      </c>
      <c r="E1446" s="10" t="s">
        <v>261</v>
      </c>
      <c r="F1446" s="12">
        <v>2</v>
      </c>
      <c r="G1446" s="12">
        <v>1010</v>
      </c>
      <c r="H1446" s="12">
        <v>2.7</v>
      </c>
      <c r="I1446" s="12">
        <v>1965.46</v>
      </c>
      <c r="J1446" s="10" t="s">
        <v>51</v>
      </c>
      <c r="K1446" s="10" t="s">
        <v>97</v>
      </c>
      <c r="L1446" t="str">
        <f>IFERROR(VLOOKUP(D1446,Products!A:F,3,0),"")</f>
        <v>Sports</v>
      </c>
      <c r="M1446" t="str">
        <f>IFERROR(VLOOKUP(E1446,Sales_Reps!A:E,3,0),"")</f>
        <v>North</v>
      </c>
      <c r="N1446" t="str">
        <f>IFERROR(VLOOKUP(C1446,Customers!A:F,5,0),"")</f>
        <v>Retail</v>
      </c>
      <c r="O1446">
        <f>IFERROR(VLOOKUP(C1446,Customers!A:F,3,0),"")</f>
        <v>22</v>
      </c>
      <c r="P1446">
        <f>IFERROR(VLOOKUP(D1446,Products!A:F,4,0),"")</f>
        <v>516</v>
      </c>
      <c r="Q1446" t="b">
        <f>IFERROR(VLOOKUP(D1446,Products!A:F,6,0),"")</f>
        <v>1</v>
      </c>
      <c r="R1446">
        <f t="shared" si="66"/>
        <v>0.4891089108910891</v>
      </c>
      <c r="S1446">
        <f t="shared" si="67"/>
        <v>2</v>
      </c>
      <c r="T1446">
        <f>IF(AND(S1446&gt;1,COUNTIF($A$2:A1446,A1446)=1),1,0)</f>
        <v>0</v>
      </c>
      <c r="U1446">
        <f>COUNTIF(Customers!$A$2:$A$301,C1446)</f>
        <v>1</v>
      </c>
      <c r="V1446">
        <f t="shared" si="68"/>
        <v>0</v>
      </c>
    </row>
    <row r="1447" spans="1:22" ht="14.25" customHeight="1" x14ac:dyDescent="0.35">
      <c r="A1447" s="10" t="s">
        <v>1900</v>
      </c>
      <c r="B1447" s="11">
        <v>45639</v>
      </c>
      <c r="C1447" s="10" t="s">
        <v>954</v>
      </c>
      <c r="D1447" s="10" t="s">
        <v>55</v>
      </c>
      <c r="E1447" s="10" t="s">
        <v>289</v>
      </c>
      <c r="F1447" s="12">
        <v>2</v>
      </c>
      <c r="G1447" s="12">
        <v>820</v>
      </c>
      <c r="H1447" s="12">
        <v>13.2</v>
      </c>
      <c r="I1447" s="12">
        <v>1423.52</v>
      </c>
      <c r="J1447" s="10" t="s">
        <v>57</v>
      </c>
      <c r="K1447" s="10" t="s">
        <v>81</v>
      </c>
      <c r="L1447" t="str">
        <f>IFERROR(VLOOKUP(D1447,Products!A:F,3,0),"")</f>
        <v>Apparel</v>
      </c>
      <c r="M1447" t="str">
        <f>IFERROR(VLOOKUP(E1447,Sales_Reps!A:E,3,0),"")</f>
        <v>South</v>
      </c>
      <c r="N1447" t="str">
        <f>IFERROR(VLOOKUP(C1447,Customers!A:F,5,0),"")</f>
        <v>Retail</v>
      </c>
      <c r="O1447">
        <f>IFERROR(VLOOKUP(C1447,Customers!A:F,3,0),"")</f>
        <v>61</v>
      </c>
      <c r="P1447">
        <f>IFERROR(VLOOKUP(D1447,Products!A:F,4,0),"")</f>
        <v>391</v>
      </c>
      <c r="Q1447" t="b">
        <f>IFERROR(VLOOKUP(D1447,Products!A:F,6,0),"")</f>
        <v>1</v>
      </c>
      <c r="R1447">
        <f t="shared" si="66"/>
        <v>0.52317073170731709</v>
      </c>
      <c r="S1447">
        <f t="shared" si="67"/>
        <v>1</v>
      </c>
      <c r="T1447">
        <f>IF(AND(S1447&gt;1,COUNTIF($A$2:A1447,A1447)=1),1,0)</f>
        <v>0</v>
      </c>
      <c r="U1447">
        <f>COUNTIF(Customers!$A$2:$A$301,C1447)</f>
        <v>1</v>
      </c>
      <c r="V1447">
        <f t="shared" si="68"/>
        <v>0</v>
      </c>
    </row>
    <row r="1448" spans="1:22" ht="14.25" customHeight="1" x14ac:dyDescent="0.35">
      <c r="A1448" s="10" t="s">
        <v>1901</v>
      </c>
      <c r="B1448" s="11">
        <v>45482</v>
      </c>
      <c r="C1448" s="10" t="s">
        <v>197</v>
      </c>
      <c r="D1448" s="10" t="s">
        <v>66</v>
      </c>
      <c r="E1448" s="10" t="s">
        <v>289</v>
      </c>
      <c r="F1448" s="12">
        <v>1</v>
      </c>
      <c r="G1448" s="12">
        <v>3660</v>
      </c>
      <c r="H1448" s="12">
        <v>14</v>
      </c>
      <c r="I1448" s="12">
        <v>3147.6</v>
      </c>
      <c r="J1448" s="10" t="s">
        <v>108</v>
      </c>
      <c r="K1448" s="10" t="s">
        <v>52</v>
      </c>
      <c r="L1448" t="str">
        <f>IFERROR(VLOOKUP(D1448,Products!A:F,3,0),"")</f>
        <v>Grocery</v>
      </c>
      <c r="M1448" t="str">
        <f>IFERROR(VLOOKUP(E1448,Sales_Reps!A:E,3,0),"")</f>
        <v>South</v>
      </c>
      <c r="N1448" t="str">
        <f>IFERROR(VLOOKUP(C1448,Customers!A:F,5,0),"")</f>
        <v>SMB</v>
      </c>
      <c r="O1448">
        <f>IFERROR(VLOOKUP(C1448,Customers!A:F,3,0),"")</f>
        <v>29</v>
      </c>
      <c r="P1448">
        <f>IFERROR(VLOOKUP(D1448,Products!A:F,4,0),"")</f>
        <v>2214</v>
      </c>
      <c r="Q1448" t="b">
        <f>IFERROR(VLOOKUP(D1448,Products!A:F,6,0),"")</f>
        <v>0</v>
      </c>
      <c r="R1448">
        <f t="shared" si="66"/>
        <v>0.39508196721311473</v>
      </c>
      <c r="S1448">
        <f t="shared" si="67"/>
        <v>1</v>
      </c>
      <c r="T1448">
        <f>IF(AND(S1448&gt;1,COUNTIF($A$2:A1448,A1448)=1),1,0)</f>
        <v>0</v>
      </c>
      <c r="U1448">
        <f>COUNTIF(Customers!$A$2:$A$301,C1448)</f>
        <v>1</v>
      </c>
      <c r="V1448">
        <f t="shared" si="68"/>
        <v>0</v>
      </c>
    </row>
    <row r="1449" spans="1:22" ht="14.25" customHeight="1" x14ac:dyDescent="0.35">
      <c r="A1449" s="10" t="s">
        <v>1902</v>
      </c>
      <c r="B1449" s="11">
        <v>45447</v>
      </c>
      <c r="C1449" s="10" t="s">
        <v>189</v>
      </c>
      <c r="D1449" s="10" t="s">
        <v>209</v>
      </c>
      <c r="E1449" s="10" t="s">
        <v>202</v>
      </c>
      <c r="F1449" s="12">
        <v>6</v>
      </c>
      <c r="G1449" s="12">
        <v>2270</v>
      </c>
      <c r="H1449" s="12">
        <v>16</v>
      </c>
      <c r="I1449" s="12">
        <v>11440.8</v>
      </c>
      <c r="J1449" s="10" t="s">
        <v>51</v>
      </c>
      <c r="K1449" s="10" t="s">
        <v>58</v>
      </c>
      <c r="L1449" t="str">
        <f>IFERROR(VLOOKUP(D1449,Products!A:F,3,0),"")</f>
        <v>Grocery</v>
      </c>
      <c r="M1449" t="str">
        <f>IFERROR(VLOOKUP(E1449,Sales_Reps!A:E,3,0),"")</f>
        <v>East</v>
      </c>
      <c r="N1449" t="str">
        <f>IFERROR(VLOOKUP(C1449,Customers!A:F,5,0),"")</f>
        <v>Retail</v>
      </c>
      <c r="O1449">
        <f>IFERROR(VLOOKUP(C1449,Customers!A:F,3,0),"")</f>
        <v>37</v>
      </c>
      <c r="P1449">
        <f>IFERROR(VLOOKUP(D1449,Products!A:F,4,0),"")</f>
        <v>1412</v>
      </c>
      <c r="Q1449" t="b">
        <f>IFERROR(VLOOKUP(D1449,Products!A:F,6,0),"")</f>
        <v>1</v>
      </c>
      <c r="R1449">
        <f t="shared" si="66"/>
        <v>0.37797356828193834</v>
      </c>
      <c r="S1449">
        <f t="shared" si="67"/>
        <v>1</v>
      </c>
      <c r="T1449">
        <f>IF(AND(S1449&gt;1,COUNTIF($A$2:A1449,A1449)=1),1,0)</f>
        <v>0</v>
      </c>
      <c r="U1449">
        <f>COUNTIF(Customers!$A$2:$A$301,C1449)</f>
        <v>1</v>
      </c>
      <c r="V1449">
        <f t="shared" si="68"/>
        <v>0</v>
      </c>
    </row>
    <row r="1450" spans="1:22" ht="14.25" customHeight="1" x14ac:dyDescent="0.35">
      <c r="A1450" s="10" t="s">
        <v>1903</v>
      </c>
      <c r="B1450" s="11">
        <v>45598</v>
      </c>
      <c r="C1450" s="10" t="s">
        <v>411</v>
      </c>
      <c r="D1450" s="10" t="s">
        <v>344</v>
      </c>
      <c r="E1450" s="10" t="s">
        <v>85</v>
      </c>
      <c r="F1450" s="12">
        <v>7</v>
      </c>
      <c r="G1450" s="12">
        <v>960</v>
      </c>
      <c r="H1450" s="12">
        <v>28.8</v>
      </c>
      <c r="I1450" s="12">
        <v>4784.6400000000003</v>
      </c>
      <c r="J1450" s="10" t="s">
        <v>108</v>
      </c>
      <c r="K1450" s="10" t="s">
        <v>76</v>
      </c>
      <c r="L1450" t="str">
        <f>IFERROR(VLOOKUP(D1450,Products!A:F,3,0),"")</f>
        <v>Beauty</v>
      </c>
      <c r="M1450" t="str">
        <f>IFERROR(VLOOKUP(E1450,Sales_Reps!A:E,3,0),"")</f>
        <v>East</v>
      </c>
      <c r="N1450" t="str">
        <f>IFERROR(VLOOKUP(C1450,Customers!A:F,5,0),"")</f>
        <v>Retail</v>
      </c>
      <c r="O1450">
        <f>IFERROR(VLOOKUP(C1450,Customers!A:F,3,0),"")</f>
        <v>41</v>
      </c>
      <c r="P1450">
        <f>IFERROR(VLOOKUP(D1450,Products!A:F,4,0),"")</f>
        <v>675</v>
      </c>
      <c r="Q1450" t="b">
        <f>IFERROR(VLOOKUP(D1450,Products!A:F,6,0),"")</f>
        <v>1</v>
      </c>
      <c r="R1450">
        <f t="shared" si="66"/>
        <v>0.296875</v>
      </c>
      <c r="S1450">
        <f t="shared" si="67"/>
        <v>1</v>
      </c>
      <c r="T1450">
        <f>IF(AND(S1450&gt;1,COUNTIF($A$2:A1450,A1450)=1),1,0)</f>
        <v>0</v>
      </c>
      <c r="U1450">
        <f>COUNTIF(Customers!$A$2:$A$301,C1450)</f>
        <v>1</v>
      </c>
      <c r="V1450">
        <f t="shared" si="68"/>
        <v>0</v>
      </c>
    </row>
    <row r="1451" spans="1:22" ht="14.25" customHeight="1" x14ac:dyDescent="0.35">
      <c r="A1451" s="10" t="s">
        <v>1904</v>
      </c>
      <c r="B1451" s="11">
        <v>45645</v>
      </c>
      <c r="C1451" s="10" t="s">
        <v>371</v>
      </c>
      <c r="D1451" s="10" t="s">
        <v>259</v>
      </c>
      <c r="E1451" s="10" t="s">
        <v>75</v>
      </c>
      <c r="F1451" s="12">
        <v>9</v>
      </c>
      <c r="G1451" s="12">
        <v>2030</v>
      </c>
      <c r="H1451" s="12">
        <v>3.4</v>
      </c>
      <c r="I1451" s="12">
        <v>17648.82</v>
      </c>
      <c r="J1451" s="10" t="s">
        <v>51</v>
      </c>
      <c r="K1451" s="10" t="s">
        <v>52</v>
      </c>
      <c r="L1451" t="str">
        <f>IFERROR(VLOOKUP(D1451,Products!A:F,3,0),"")</f>
        <v>Home</v>
      </c>
      <c r="M1451" t="str">
        <f>IFERROR(VLOOKUP(E1451,Sales_Reps!A:E,3,0),"")</f>
        <v>West</v>
      </c>
      <c r="N1451" t="str">
        <f>IFERROR(VLOOKUP(C1451,Customers!A:F,5,0),"")</f>
        <v>SMB</v>
      </c>
      <c r="O1451">
        <f>IFERROR(VLOOKUP(C1451,Customers!A:F,3,0),"")</f>
        <v>53</v>
      </c>
      <c r="P1451">
        <f>IFERROR(VLOOKUP(D1451,Products!A:F,4,0),"")</f>
        <v>1143</v>
      </c>
      <c r="Q1451" t="b">
        <f>IFERROR(VLOOKUP(D1451,Products!A:F,6,0),"")</f>
        <v>1</v>
      </c>
      <c r="R1451">
        <f t="shared" si="66"/>
        <v>0.43694581280788175</v>
      </c>
      <c r="S1451">
        <f t="shared" si="67"/>
        <v>1</v>
      </c>
      <c r="T1451">
        <f>IF(AND(S1451&gt;1,COUNTIF($A$2:A1451,A1451)=1),1,0)</f>
        <v>0</v>
      </c>
      <c r="U1451">
        <f>COUNTIF(Customers!$A$2:$A$301,C1451)</f>
        <v>1</v>
      </c>
      <c r="V1451">
        <f t="shared" si="68"/>
        <v>0</v>
      </c>
    </row>
    <row r="1452" spans="1:22" ht="14.25" customHeight="1" x14ac:dyDescent="0.35">
      <c r="A1452" s="10" t="s">
        <v>1905</v>
      </c>
      <c r="B1452" s="11">
        <v>45299</v>
      </c>
      <c r="C1452" s="10" t="s">
        <v>980</v>
      </c>
      <c r="D1452" s="10" t="s">
        <v>331</v>
      </c>
      <c r="E1452" s="10" t="s">
        <v>56</v>
      </c>
      <c r="F1452" s="12">
        <v>6</v>
      </c>
      <c r="G1452" s="12">
        <v>2380</v>
      </c>
      <c r="H1452" s="12">
        <v>13.2</v>
      </c>
      <c r="I1452" s="12">
        <v>12395.04</v>
      </c>
      <c r="J1452" s="10" t="s">
        <v>51</v>
      </c>
      <c r="K1452" s="10" t="s">
        <v>81</v>
      </c>
      <c r="L1452" t="str">
        <f>IFERROR(VLOOKUP(D1452,Products!A:F,3,0),"")</f>
        <v>Grocery</v>
      </c>
      <c r="M1452" t="str">
        <f>IFERROR(VLOOKUP(E1452,Sales_Reps!A:E,3,0),"")</f>
        <v>North</v>
      </c>
      <c r="N1452" t="str">
        <f>IFERROR(VLOOKUP(C1452,Customers!A:F,5,0),"")</f>
        <v>SMB</v>
      </c>
      <c r="O1452">
        <f>IFERROR(VLOOKUP(C1452,Customers!A:F,3,0),"")</f>
        <v>49</v>
      </c>
      <c r="P1452">
        <f>IFERROR(VLOOKUP(D1452,Products!A:F,4,0),"")</f>
        <v>1182</v>
      </c>
      <c r="Q1452" t="b">
        <f>IFERROR(VLOOKUP(D1452,Products!A:F,6,0),"")</f>
        <v>1</v>
      </c>
      <c r="R1452">
        <f t="shared" si="66"/>
        <v>0.50336134453781511</v>
      </c>
      <c r="S1452">
        <f t="shared" si="67"/>
        <v>1</v>
      </c>
      <c r="T1452">
        <f>IF(AND(S1452&gt;1,COUNTIF($A$2:A1452,A1452)=1),1,0)</f>
        <v>0</v>
      </c>
      <c r="U1452">
        <f>COUNTIF(Customers!$A$2:$A$301,C1452)</f>
        <v>1</v>
      </c>
      <c r="V1452">
        <f t="shared" si="68"/>
        <v>12395.04</v>
      </c>
    </row>
    <row r="1453" spans="1:22" ht="14.25" customHeight="1" x14ac:dyDescent="0.35">
      <c r="A1453" s="10" t="s">
        <v>1906</v>
      </c>
      <c r="B1453" s="11">
        <v>45308</v>
      </c>
      <c r="C1453" s="10" t="s">
        <v>365</v>
      </c>
      <c r="D1453" s="10" t="s">
        <v>121</v>
      </c>
      <c r="E1453" s="10" t="s">
        <v>168</v>
      </c>
      <c r="F1453" s="12">
        <v>10</v>
      </c>
      <c r="G1453" s="12">
        <v>3450</v>
      </c>
      <c r="H1453" s="12">
        <v>8.6999999999999993</v>
      </c>
      <c r="I1453" s="12">
        <v>31498.5</v>
      </c>
      <c r="J1453" s="10" t="s">
        <v>51</v>
      </c>
      <c r="K1453" s="10" t="s">
        <v>58</v>
      </c>
      <c r="L1453" t="str">
        <f>IFERROR(VLOOKUP(D1453,Products!A:F,3,0),"")</f>
        <v>Beauty</v>
      </c>
      <c r="M1453" t="str">
        <f>IFERROR(VLOOKUP(E1453,Sales_Reps!A:E,3,0),"")</f>
        <v>South</v>
      </c>
      <c r="N1453" t="str">
        <f>IFERROR(VLOOKUP(C1453,Customers!A:F,5,0),"")</f>
        <v>SMB</v>
      </c>
      <c r="O1453">
        <f>IFERROR(VLOOKUP(C1453,Customers!A:F,3,0),"")</f>
        <v>51</v>
      </c>
      <c r="P1453">
        <f>IFERROR(VLOOKUP(D1453,Products!A:F,4,0),"")</f>
        <v>2420</v>
      </c>
      <c r="Q1453" t="b">
        <f>IFERROR(VLOOKUP(D1453,Products!A:F,6,0),"")</f>
        <v>1</v>
      </c>
      <c r="R1453">
        <f t="shared" si="66"/>
        <v>0.29855072463768118</v>
      </c>
      <c r="S1453">
        <f t="shared" si="67"/>
        <v>1</v>
      </c>
      <c r="T1453">
        <f>IF(AND(S1453&gt;1,COUNTIF($A$2:A1453,A1453)=1),1,0)</f>
        <v>0</v>
      </c>
      <c r="U1453">
        <f>COUNTIF(Customers!$A$2:$A$301,C1453)</f>
        <v>1</v>
      </c>
      <c r="V1453">
        <f t="shared" si="68"/>
        <v>0</v>
      </c>
    </row>
    <row r="1454" spans="1:22" ht="14.25" customHeight="1" x14ac:dyDescent="0.35">
      <c r="A1454" s="10" t="s">
        <v>1907</v>
      </c>
      <c r="B1454" s="11">
        <v>45487</v>
      </c>
      <c r="C1454" s="10" t="s">
        <v>1587</v>
      </c>
      <c r="D1454" s="10" t="s">
        <v>344</v>
      </c>
      <c r="E1454" s="10" t="s">
        <v>122</v>
      </c>
      <c r="F1454" s="12">
        <v>6</v>
      </c>
      <c r="G1454" s="12">
        <v>960</v>
      </c>
      <c r="H1454" s="12">
        <v>20.6</v>
      </c>
      <c r="I1454" s="12">
        <v>4573.4399999999996</v>
      </c>
      <c r="J1454" s="10" t="s">
        <v>57</v>
      </c>
      <c r="K1454" s="10" t="s">
        <v>81</v>
      </c>
      <c r="L1454" t="str">
        <f>IFERROR(VLOOKUP(D1454,Products!A:F,3,0),"")</f>
        <v>Beauty</v>
      </c>
      <c r="M1454" t="str">
        <f>IFERROR(VLOOKUP(E1454,Sales_Reps!A:E,3,0),"")</f>
        <v>East</v>
      </c>
      <c r="N1454" t="str">
        <f>IFERROR(VLOOKUP(C1454,Customers!A:F,5,0),"")</f>
        <v>Retail</v>
      </c>
      <c r="O1454">
        <f>IFERROR(VLOOKUP(C1454,Customers!A:F,3,0),"")</f>
        <v>53</v>
      </c>
      <c r="P1454">
        <f>IFERROR(VLOOKUP(D1454,Products!A:F,4,0),"")</f>
        <v>675</v>
      </c>
      <c r="Q1454" t="b">
        <f>IFERROR(VLOOKUP(D1454,Products!A:F,6,0),"")</f>
        <v>1</v>
      </c>
      <c r="R1454">
        <f t="shared" si="66"/>
        <v>0.296875</v>
      </c>
      <c r="S1454">
        <f t="shared" si="67"/>
        <v>1</v>
      </c>
      <c r="T1454">
        <f>IF(AND(S1454&gt;1,COUNTIF($A$2:A1454,A1454)=1),1,0)</f>
        <v>0</v>
      </c>
      <c r="U1454">
        <f>COUNTIF(Customers!$A$2:$A$301,C1454)</f>
        <v>1</v>
      </c>
      <c r="V1454">
        <f t="shared" si="68"/>
        <v>0</v>
      </c>
    </row>
    <row r="1455" spans="1:22" ht="14.25" customHeight="1" x14ac:dyDescent="0.35">
      <c r="A1455" s="10" t="s">
        <v>1908</v>
      </c>
      <c r="B1455" s="11">
        <v>45341</v>
      </c>
      <c r="C1455" s="10" t="s">
        <v>761</v>
      </c>
      <c r="D1455" s="10" t="s">
        <v>623</v>
      </c>
      <c r="E1455" s="10" t="s">
        <v>216</v>
      </c>
      <c r="F1455" s="12">
        <v>10</v>
      </c>
      <c r="G1455" s="12">
        <v>3560</v>
      </c>
      <c r="H1455" s="12">
        <v>1.4</v>
      </c>
      <c r="I1455" s="12">
        <v>35101.599999999999</v>
      </c>
      <c r="J1455" s="10" t="s">
        <v>57</v>
      </c>
      <c r="K1455" s="10" t="s">
        <v>63</v>
      </c>
      <c r="L1455" t="str">
        <f>IFERROR(VLOOKUP(D1455,Products!A:F,3,0),"")</f>
        <v>Apparel</v>
      </c>
      <c r="M1455" t="str">
        <f>IFERROR(VLOOKUP(E1455,Sales_Reps!A:E,3,0),"")</f>
        <v>South</v>
      </c>
      <c r="N1455" t="str">
        <f>IFERROR(VLOOKUP(C1455,Customers!A:F,5,0),"")</f>
        <v>Retail</v>
      </c>
      <c r="O1455">
        <f>IFERROR(VLOOKUP(C1455,Customers!A:F,3,0),"")</f>
        <v>63</v>
      </c>
      <c r="P1455">
        <f>IFERROR(VLOOKUP(D1455,Products!A:F,4,0),"")</f>
        <v>2629</v>
      </c>
      <c r="Q1455" t="b">
        <f>IFERROR(VLOOKUP(D1455,Products!A:F,6,0),"")</f>
        <v>1</v>
      </c>
      <c r="R1455">
        <f t="shared" si="66"/>
        <v>0.26151685393258428</v>
      </c>
      <c r="S1455">
        <f t="shared" si="67"/>
        <v>1</v>
      </c>
      <c r="T1455">
        <f>IF(AND(S1455&gt;1,COUNTIF($A$2:A1455,A1455)=1),1,0)</f>
        <v>0</v>
      </c>
      <c r="U1455">
        <f>COUNTIF(Customers!$A$2:$A$301,C1455)</f>
        <v>1</v>
      </c>
      <c r="V1455">
        <f t="shared" si="68"/>
        <v>0</v>
      </c>
    </row>
    <row r="1456" spans="1:22" ht="14.25" customHeight="1" x14ac:dyDescent="0.35">
      <c r="A1456" s="10" t="s">
        <v>1909</v>
      </c>
      <c r="B1456" s="11">
        <v>45354</v>
      </c>
      <c r="C1456" s="10" t="s">
        <v>187</v>
      </c>
      <c r="D1456" s="10" t="s">
        <v>137</v>
      </c>
      <c r="E1456" s="10" t="s">
        <v>62</v>
      </c>
      <c r="F1456" s="12">
        <v>4</v>
      </c>
      <c r="G1456" s="12">
        <v>2720</v>
      </c>
      <c r="H1456" s="12">
        <v>19.399999999999999</v>
      </c>
      <c r="I1456" s="12">
        <v>8769.2800000000007</v>
      </c>
      <c r="J1456" s="10" t="s">
        <v>108</v>
      </c>
      <c r="K1456" s="10" t="s">
        <v>63</v>
      </c>
      <c r="L1456" t="str">
        <f>IFERROR(VLOOKUP(D1456,Products!A:F,3,0),"")</f>
        <v>Apparel</v>
      </c>
      <c r="M1456" t="str">
        <f>IFERROR(VLOOKUP(E1456,Sales_Reps!A:E,3,0),"")</f>
        <v>South</v>
      </c>
      <c r="N1456" t="str">
        <f>IFERROR(VLOOKUP(C1456,Customers!A:F,5,0),"")</f>
        <v>Retail</v>
      </c>
      <c r="O1456">
        <f>IFERROR(VLOOKUP(C1456,Customers!A:F,3,0),"")</f>
        <v>53</v>
      </c>
      <c r="P1456">
        <f>IFERROR(VLOOKUP(D1456,Products!A:F,4,0),"")</f>
        <v>1962</v>
      </c>
      <c r="Q1456" t="b">
        <f>IFERROR(VLOOKUP(D1456,Products!A:F,6,0),"")</f>
        <v>1</v>
      </c>
      <c r="R1456">
        <f t="shared" si="66"/>
        <v>0.2786764705882353</v>
      </c>
      <c r="S1456">
        <f t="shared" si="67"/>
        <v>1</v>
      </c>
      <c r="T1456">
        <f>IF(AND(S1456&gt;1,COUNTIF($A$2:A1456,A1456)=1),1,0)</f>
        <v>0</v>
      </c>
      <c r="U1456">
        <f>COUNTIF(Customers!$A$2:$A$301,C1456)</f>
        <v>1</v>
      </c>
      <c r="V1456">
        <f t="shared" si="68"/>
        <v>0</v>
      </c>
    </row>
    <row r="1457" spans="1:22" ht="14.25" customHeight="1" x14ac:dyDescent="0.35">
      <c r="A1457" s="10" t="s">
        <v>1910</v>
      </c>
      <c r="B1457" s="11">
        <v>45458</v>
      </c>
      <c r="C1457" s="10" t="s">
        <v>705</v>
      </c>
      <c r="D1457" s="10" t="s">
        <v>231</v>
      </c>
      <c r="E1457" s="10" t="s">
        <v>193</v>
      </c>
      <c r="F1457" s="12">
        <v>5</v>
      </c>
      <c r="G1457" s="12">
        <v>1220</v>
      </c>
      <c r="H1457" s="12">
        <v>15.6</v>
      </c>
      <c r="I1457" s="12">
        <v>5148.3999999999996</v>
      </c>
      <c r="J1457" s="10" t="s">
        <v>51</v>
      </c>
      <c r="K1457" s="10" t="s">
        <v>97</v>
      </c>
      <c r="L1457" t="str">
        <f>IFERROR(VLOOKUP(D1457,Products!A:F,3,0),"")</f>
        <v>Electronics</v>
      </c>
      <c r="M1457" t="str">
        <f>IFERROR(VLOOKUP(E1457,Sales_Reps!A:E,3,0),"")</f>
        <v>West</v>
      </c>
      <c r="N1457" t="str">
        <f>IFERROR(VLOOKUP(C1457,Customers!A:F,5,0),"")</f>
        <v>SMB</v>
      </c>
      <c r="O1457">
        <f>IFERROR(VLOOKUP(C1457,Customers!A:F,3,0),"")</f>
        <v>29</v>
      </c>
      <c r="P1457">
        <f>IFERROR(VLOOKUP(D1457,Products!A:F,4,0),"")</f>
        <v>517</v>
      </c>
      <c r="Q1457" t="b">
        <f>IFERROR(VLOOKUP(D1457,Products!A:F,6,0),"")</f>
        <v>1</v>
      </c>
      <c r="R1457">
        <f t="shared" si="66"/>
        <v>0.57622950819672136</v>
      </c>
      <c r="S1457">
        <f t="shared" si="67"/>
        <v>1</v>
      </c>
      <c r="T1457">
        <f>IF(AND(S1457&gt;1,COUNTIF($A$2:A1457,A1457)=1),1,0)</f>
        <v>0</v>
      </c>
      <c r="U1457">
        <f>COUNTIF(Customers!$A$2:$A$301,C1457)</f>
        <v>1</v>
      </c>
      <c r="V1457">
        <f t="shared" si="68"/>
        <v>0</v>
      </c>
    </row>
    <row r="1458" spans="1:22" ht="14.25" customHeight="1" x14ac:dyDescent="0.35">
      <c r="A1458" s="10" t="s">
        <v>1911</v>
      </c>
      <c r="B1458" s="11">
        <v>45364</v>
      </c>
      <c r="C1458" s="10" t="s">
        <v>220</v>
      </c>
      <c r="D1458" s="10" t="s">
        <v>466</v>
      </c>
      <c r="E1458" s="10" t="s">
        <v>165</v>
      </c>
      <c r="F1458" s="12">
        <v>5</v>
      </c>
      <c r="G1458" s="12">
        <v>1090</v>
      </c>
      <c r="H1458" s="12">
        <v>15</v>
      </c>
      <c r="I1458" s="12">
        <v>4632.5</v>
      </c>
      <c r="J1458" s="10" t="s">
        <v>51</v>
      </c>
      <c r="K1458" s="10" t="s">
        <v>97</v>
      </c>
      <c r="L1458" t="str">
        <f>IFERROR(VLOOKUP(D1458,Products!A:F,3,0),"")</f>
        <v>Home</v>
      </c>
      <c r="M1458" t="str">
        <f>IFERROR(VLOOKUP(E1458,Sales_Reps!A:E,3,0),"")</f>
        <v>West</v>
      </c>
      <c r="N1458" t="str">
        <f>IFERROR(VLOOKUP(C1458,Customers!A:F,5,0),"")</f>
        <v>Retail</v>
      </c>
      <c r="O1458">
        <f>IFERROR(VLOOKUP(C1458,Customers!A:F,3,0),"")</f>
        <v>27</v>
      </c>
      <c r="P1458">
        <f>IFERROR(VLOOKUP(D1458,Products!A:F,4,0),"")</f>
        <v>464</v>
      </c>
      <c r="Q1458" t="b">
        <f>IFERROR(VLOOKUP(D1458,Products!A:F,6,0),"")</f>
        <v>1</v>
      </c>
      <c r="R1458">
        <f t="shared" si="66"/>
        <v>0.57431192660550456</v>
      </c>
      <c r="S1458">
        <f t="shared" si="67"/>
        <v>1</v>
      </c>
      <c r="T1458">
        <f>IF(AND(S1458&gt;1,COUNTIF($A$2:A1458,A1458)=1),1,0)</f>
        <v>0</v>
      </c>
      <c r="U1458">
        <f>COUNTIF(Customers!$A$2:$A$301,C1458)</f>
        <v>1</v>
      </c>
      <c r="V1458">
        <f t="shared" si="68"/>
        <v>0</v>
      </c>
    </row>
    <row r="1459" spans="1:22" ht="14.25" customHeight="1" x14ac:dyDescent="0.35">
      <c r="A1459" s="10" t="s">
        <v>1912</v>
      </c>
      <c r="B1459" s="11">
        <v>45618</v>
      </c>
      <c r="C1459" s="10" t="s">
        <v>1026</v>
      </c>
      <c r="D1459" s="10" t="s">
        <v>74</v>
      </c>
      <c r="E1459" s="10" t="s">
        <v>193</v>
      </c>
      <c r="F1459" s="12">
        <v>9</v>
      </c>
      <c r="G1459" s="12">
        <v>370</v>
      </c>
      <c r="H1459" s="12">
        <v>25.4</v>
      </c>
      <c r="I1459" s="12">
        <v>2484.1799999999998</v>
      </c>
      <c r="J1459" s="10" t="s">
        <v>51</v>
      </c>
      <c r="K1459" s="10" t="s">
        <v>76</v>
      </c>
      <c r="L1459" t="str">
        <f>IFERROR(VLOOKUP(D1459,Products!A:F,3,0),"")</f>
        <v>Home</v>
      </c>
      <c r="M1459" t="str">
        <f>IFERROR(VLOOKUP(E1459,Sales_Reps!A:E,3,0),"")</f>
        <v>West</v>
      </c>
      <c r="N1459" t="str">
        <f>IFERROR(VLOOKUP(C1459,Customers!A:F,5,0),"")</f>
        <v>SMB</v>
      </c>
      <c r="O1459">
        <f>IFERROR(VLOOKUP(C1459,Customers!A:F,3,0),"")</f>
        <v>54</v>
      </c>
      <c r="P1459">
        <f>IFERROR(VLOOKUP(D1459,Products!A:F,4,0),"")</f>
        <v>288</v>
      </c>
      <c r="Q1459" t="b">
        <f>IFERROR(VLOOKUP(D1459,Products!A:F,6,0),"")</f>
        <v>1</v>
      </c>
      <c r="R1459">
        <f t="shared" si="66"/>
        <v>0.22162162162162163</v>
      </c>
      <c r="S1459">
        <f t="shared" si="67"/>
        <v>1</v>
      </c>
      <c r="T1459">
        <f>IF(AND(S1459&gt;1,COUNTIF($A$2:A1459,A1459)=1),1,0)</f>
        <v>0</v>
      </c>
      <c r="U1459">
        <f>COUNTIF(Customers!$A$2:$A$301,C1459)</f>
        <v>1</v>
      </c>
      <c r="V1459">
        <f t="shared" si="68"/>
        <v>0</v>
      </c>
    </row>
    <row r="1460" spans="1:22" ht="14.25" customHeight="1" x14ac:dyDescent="0.35">
      <c r="A1460" s="10" t="s">
        <v>1913</v>
      </c>
      <c r="B1460" s="11">
        <v>45456</v>
      </c>
      <c r="C1460" s="10" t="s">
        <v>869</v>
      </c>
      <c r="D1460" s="10" t="s">
        <v>159</v>
      </c>
      <c r="E1460" s="10" t="s">
        <v>50</v>
      </c>
      <c r="F1460" s="12">
        <v>7</v>
      </c>
      <c r="G1460" s="12">
        <v>2860</v>
      </c>
      <c r="H1460" s="12">
        <v>14</v>
      </c>
      <c r="I1460" s="12">
        <v>17217.2</v>
      </c>
      <c r="J1460" s="10" t="s">
        <v>51</v>
      </c>
      <c r="K1460" s="10" t="s">
        <v>76</v>
      </c>
      <c r="L1460" t="str">
        <f>IFERROR(VLOOKUP(D1460,Products!A:F,3,0),"")</f>
        <v>Sports</v>
      </c>
      <c r="M1460" t="str">
        <f>IFERROR(VLOOKUP(E1460,Sales_Reps!A:E,3,0),"")</f>
        <v>North</v>
      </c>
      <c r="N1460" t="str">
        <f>IFERROR(VLOOKUP(C1460,Customers!A:F,5,0),"")</f>
        <v>SMB</v>
      </c>
      <c r="O1460">
        <f>IFERROR(VLOOKUP(C1460,Customers!A:F,3,0),"")</f>
        <v>43</v>
      </c>
      <c r="P1460">
        <f>IFERROR(VLOOKUP(D1460,Products!A:F,4,0),"")</f>
        <v>2028</v>
      </c>
      <c r="Q1460" t="b">
        <f>IFERROR(VLOOKUP(D1460,Products!A:F,6,0),"")</f>
        <v>1</v>
      </c>
      <c r="R1460">
        <f t="shared" si="66"/>
        <v>0.29090909090909089</v>
      </c>
      <c r="S1460">
        <f t="shared" si="67"/>
        <v>1</v>
      </c>
      <c r="T1460">
        <f>IF(AND(S1460&gt;1,COUNTIF($A$2:A1460,A1460)=1),1,0)</f>
        <v>0</v>
      </c>
      <c r="U1460">
        <f>COUNTIF(Customers!$A$2:$A$301,C1460)</f>
        <v>1</v>
      </c>
      <c r="V1460">
        <f t="shared" si="68"/>
        <v>0</v>
      </c>
    </row>
    <row r="1461" spans="1:22" ht="14.25" customHeight="1" x14ac:dyDescent="0.35">
      <c r="A1461" s="10" t="s">
        <v>1914</v>
      </c>
      <c r="B1461" s="11">
        <v>45490</v>
      </c>
      <c r="C1461" s="10" t="s">
        <v>563</v>
      </c>
      <c r="D1461" s="10" t="s">
        <v>302</v>
      </c>
      <c r="E1461" s="10" t="s">
        <v>165</v>
      </c>
      <c r="F1461" s="12">
        <v>1</v>
      </c>
      <c r="G1461" s="12">
        <v>2210</v>
      </c>
      <c r="H1461" s="12">
        <v>1.7</v>
      </c>
      <c r="I1461" s="12">
        <v>2172.4299999999998</v>
      </c>
      <c r="J1461" s="10" t="s">
        <v>51</v>
      </c>
      <c r="K1461" s="10" t="s">
        <v>81</v>
      </c>
      <c r="L1461" t="str">
        <f>IFERROR(VLOOKUP(D1461,Products!A:F,3,0),"")</f>
        <v>Grocery</v>
      </c>
      <c r="M1461" t="str">
        <f>IFERROR(VLOOKUP(E1461,Sales_Reps!A:E,3,0),"")</f>
        <v>West</v>
      </c>
      <c r="N1461" t="str">
        <f>IFERROR(VLOOKUP(C1461,Customers!A:F,5,0),"")</f>
        <v>Corporate</v>
      </c>
      <c r="O1461">
        <f>IFERROR(VLOOKUP(C1461,Customers!A:F,3,0),"")</f>
        <v>26</v>
      </c>
      <c r="P1461">
        <f>IFERROR(VLOOKUP(D1461,Products!A:F,4,0),"")</f>
        <v>1010</v>
      </c>
      <c r="Q1461" t="b">
        <f>IFERROR(VLOOKUP(D1461,Products!A:F,6,0),"")</f>
        <v>1</v>
      </c>
      <c r="R1461">
        <f t="shared" si="66"/>
        <v>0.54298642533936647</v>
      </c>
      <c r="S1461">
        <f t="shared" si="67"/>
        <v>1</v>
      </c>
      <c r="T1461">
        <f>IF(AND(S1461&gt;1,COUNTIF($A$2:A1461,A1461)=1),1,0)</f>
        <v>0</v>
      </c>
      <c r="U1461">
        <f>COUNTIF(Customers!$A$2:$A$301,C1461)</f>
        <v>1</v>
      </c>
      <c r="V1461">
        <f t="shared" si="68"/>
        <v>2172.4299999999998</v>
      </c>
    </row>
    <row r="1462" spans="1:22" ht="14.25" customHeight="1" x14ac:dyDescent="0.35">
      <c r="A1462" s="10" t="s">
        <v>1915</v>
      </c>
      <c r="B1462" s="11">
        <v>45584</v>
      </c>
      <c r="C1462" s="10" t="s">
        <v>527</v>
      </c>
      <c r="D1462" s="10" t="s">
        <v>91</v>
      </c>
      <c r="E1462" s="10" t="s">
        <v>75</v>
      </c>
      <c r="F1462" s="12">
        <v>3</v>
      </c>
      <c r="G1462" s="12">
        <v>970</v>
      </c>
      <c r="H1462" s="12">
        <v>20.3</v>
      </c>
      <c r="I1462" s="12">
        <v>2319.27</v>
      </c>
      <c r="J1462" s="10" t="s">
        <v>57</v>
      </c>
      <c r="K1462" s="10" t="s">
        <v>52</v>
      </c>
      <c r="L1462" t="str">
        <f>IFERROR(VLOOKUP(D1462,Products!A:F,3,0),"")</f>
        <v>Grocery</v>
      </c>
      <c r="M1462" t="str">
        <f>IFERROR(VLOOKUP(E1462,Sales_Reps!A:E,3,0),"")</f>
        <v>West</v>
      </c>
      <c r="N1462" t="str">
        <f>IFERROR(VLOOKUP(C1462,Customers!A:F,5,0),"")</f>
        <v>SMB</v>
      </c>
      <c r="O1462">
        <f>IFERROR(VLOOKUP(C1462,Customers!A:F,3,0),"")</f>
        <v>24</v>
      </c>
      <c r="P1462">
        <f>IFERROR(VLOOKUP(D1462,Products!A:F,4,0),"")</f>
        <v>434</v>
      </c>
      <c r="Q1462" t="b">
        <f>IFERROR(VLOOKUP(D1462,Products!A:F,6,0),"")</f>
        <v>1</v>
      </c>
      <c r="R1462">
        <f t="shared" si="66"/>
        <v>0.5525773195876289</v>
      </c>
      <c r="S1462">
        <f t="shared" si="67"/>
        <v>1</v>
      </c>
      <c r="T1462">
        <f>IF(AND(S1462&gt;1,COUNTIF($A$2:A1462,A1462)=1),1,0)</f>
        <v>0</v>
      </c>
      <c r="U1462">
        <f>COUNTIF(Customers!$A$2:$A$301,C1462)</f>
        <v>1</v>
      </c>
      <c r="V1462">
        <f t="shared" si="68"/>
        <v>0</v>
      </c>
    </row>
    <row r="1463" spans="1:22" ht="14.25" customHeight="1" x14ac:dyDescent="0.35">
      <c r="A1463" s="10" t="s">
        <v>1916</v>
      </c>
      <c r="B1463" s="11">
        <v>45476</v>
      </c>
      <c r="C1463" s="10" t="s">
        <v>964</v>
      </c>
      <c r="D1463" s="10" t="s">
        <v>623</v>
      </c>
      <c r="E1463" s="10" t="s">
        <v>122</v>
      </c>
      <c r="F1463" s="12">
        <v>5</v>
      </c>
      <c r="G1463" s="12">
        <v>3560</v>
      </c>
      <c r="H1463" s="12">
        <v>17.100000000000001</v>
      </c>
      <c r="I1463" s="12">
        <v>14756.2</v>
      </c>
      <c r="J1463" s="10" t="s">
        <v>51</v>
      </c>
      <c r="K1463" s="10" t="s">
        <v>81</v>
      </c>
      <c r="L1463" t="str">
        <f>IFERROR(VLOOKUP(D1463,Products!A:F,3,0),"")</f>
        <v>Apparel</v>
      </c>
      <c r="M1463" t="str">
        <f>IFERROR(VLOOKUP(E1463,Sales_Reps!A:E,3,0),"")</f>
        <v>East</v>
      </c>
      <c r="N1463" t="str">
        <f>IFERROR(VLOOKUP(C1463,Customers!A:F,5,0),"")</f>
        <v>Retail</v>
      </c>
      <c r="O1463">
        <f>IFERROR(VLOOKUP(C1463,Customers!A:F,3,0),"")</f>
        <v>27</v>
      </c>
      <c r="P1463">
        <f>IFERROR(VLOOKUP(D1463,Products!A:F,4,0),"")</f>
        <v>2629</v>
      </c>
      <c r="Q1463" t="b">
        <f>IFERROR(VLOOKUP(D1463,Products!A:F,6,0),"")</f>
        <v>1</v>
      </c>
      <c r="R1463">
        <f t="shared" si="66"/>
        <v>0.26151685393258428</v>
      </c>
      <c r="S1463">
        <f t="shared" si="67"/>
        <v>1</v>
      </c>
      <c r="T1463">
        <f>IF(AND(S1463&gt;1,COUNTIF($A$2:A1463,A1463)=1),1,0)</f>
        <v>0</v>
      </c>
      <c r="U1463">
        <f>COUNTIF(Customers!$A$2:$A$301,C1463)</f>
        <v>1</v>
      </c>
      <c r="V1463">
        <f t="shared" si="68"/>
        <v>0</v>
      </c>
    </row>
    <row r="1464" spans="1:22" ht="14.25" customHeight="1" x14ac:dyDescent="0.35">
      <c r="A1464" s="10" t="s">
        <v>1917</v>
      </c>
      <c r="B1464" s="11">
        <v>45387</v>
      </c>
      <c r="C1464" s="10" t="s">
        <v>154</v>
      </c>
      <c r="D1464" s="10" t="s">
        <v>128</v>
      </c>
      <c r="E1464" s="10" t="s">
        <v>118</v>
      </c>
      <c r="F1464" s="12">
        <v>10</v>
      </c>
      <c r="G1464" s="12">
        <v>1080</v>
      </c>
      <c r="H1464" s="12">
        <v>12.8</v>
      </c>
      <c r="I1464" s="12">
        <v>9417.6</v>
      </c>
      <c r="J1464" s="10" t="s">
        <v>51</v>
      </c>
      <c r="K1464" s="10" t="s">
        <v>97</v>
      </c>
      <c r="L1464" t="str">
        <f>IFERROR(VLOOKUP(D1464,Products!A:F,3,0),"")</f>
        <v>Home</v>
      </c>
      <c r="M1464" t="str">
        <f>IFERROR(VLOOKUP(E1464,Sales_Reps!A:E,3,0),"")</f>
        <v>East</v>
      </c>
      <c r="N1464" t="str">
        <f>IFERROR(VLOOKUP(C1464,Customers!A:F,5,0),"")</f>
        <v>Corporate</v>
      </c>
      <c r="O1464">
        <f>IFERROR(VLOOKUP(C1464,Customers!A:F,3,0),"")</f>
        <v>56</v>
      </c>
      <c r="P1464">
        <f>IFERROR(VLOOKUP(D1464,Products!A:F,4,0),"")</f>
        <v>519</v>
      </c>
      <c r="Q1464" t="b">
        <f>IFERROR(VLOOKUP(D1464,Products!A:F,6,0),"")</f>
        <v>1</v>
      </c>
      <c r="R1464">
        <f t="shared" si="66"/>
        <v>0.51944444444444449</v>
      </c>
      <c r="S1464">
        <f t="shared" si="67"/>
        <v>1</v>
      </c>
      <c r="T1464">
        <f>IF(AND(S1464&gt;1,COUNTIF($A$2:A1464,A1464)=1),1,0)</f>
        <v>0</v>
      </c>
      <c r="U1464">
        <f>COUNTIF(Customers!$A$2:$A$301,C1464)</f>
        <v>1</v>
      </c>
      <c r="V1464">
        <f t="shared" si="68"/>
        <v>0</v>
      </c>
    </row>
    <row r="1465" spans="1:22" ht="14.25" customHeight="1" x14ac:dyDescent="0.35">
      <c r="A1465" s="10" t="s">
        <v>1918</v>
      </c>
      <c r="B1465" s="11">
        <v>45324</v>
      </c>
      <c r="C1465" s="10" t="s">
        <v>471</v>
      </c>
      <c r="D1465" s="10" t="s">
        <v>231</v>
      </c>
      <c r="E1465" s="10" t="s">
        <v>237</v>
      </c>
      <c r="F1465" s="12">
        <v>3</v>
      </c>
      <c r="G1465" s="12">
        <v>1220</v>
      </c>
      <c r="H1465" s="12">
        <v>1.9</v>
      </c>
      <c r="I1465" s="12">
        <v>3590.46</v>
      </c>
      <c r="J1465" s="10" t="s">
        <v>51</v>
      </c>
      <c r="K1465" s="10" t="s">
        <v>52</v>
      </c>
      <c r="L1465" t="str">
        <f>IFERROR(VLOOKUP(D1465,Products!A:F,3,0),"")</f>
        <v>Electronics</v>
      </c>
      <c r="M1465" t="str">
        <f>IFERROR(VLOOKUP(E1465,Sales_Reps!A:E,3,0),"")</f>
        <v>South</v>
      </c>
      <c r="N1465" t="str">
        <f>IFERROR(VLOOKUP(C1465,Customers!A:F,5,0),"")</f>
        <v>Retail</v>
      </c>
      <c r="O1465">
        <f>IFERROR(VLOOKUP(C1465,Customers!A:F,3,0),"")</f>
        <v>59</v>
      </c>
      <c r="P1465">
        <f>IFERROR(VLOOKUP(D1465,Products!A:F,4,0),"")</f>
        <v>517</v>
      </c>
      <c r="Q1465" t="b">
        <f>IFERROR(VLOOKUP(D1465,Products!A:F,6,0),"")</f>
        <v>1</v>
      </c>
      <c r="R1465">
        <f t="shared" si="66"/>
        <v>0.57622950819672136</v>
      </c>
      <c r="S1465">
        <f t="shared" si="67"/>
        <v>1</v>
      </c>
      <c r="T1465">
        <f>IF(AND(S1465&gt;1,COUNTIF($A$2:A1465,A1465)=1),1,0)</f>
        <v>0</v>
      </c>
      <c r="U1465">
        <f>COUNTIF(Customers!$A$2:$A$301,C1465)</f>
        <v>1</v>
      </c>
      <c r="V1465">
        <f t="shared" si="68"/>
        <v>0</v>
      </c>
    </row>
    <row r="1466" spans="1:22" ht="14.25" customHeight="1" x14ac:dyDescent="0.35">
      <c r="A1466" s="10" t="s">
        <v>1919</v>
      </c>
      <c r="B1466" s="11">
        <v>45479</v>
      </c>
      <c r="C1466" s="10" t="s">
        <v>1920</v>
      </c>
      <c r="D1466" s="10" t="s">
        <v>190</v>
      </c>
      <c r="E1466" s="10" t="s">
        <v>168</v>
      </c>
      <c r="F1466" s="12">
        <v>1</v>
      </c>
      <c r="G1466" s="12">
        <v>3730</v>
      </c>
      <c r="H1466" s="12">
        <v>14.7</v>
      </c>
      <c r="I1466" s="12">
        <v>3181.69</v>
      </c>
      <c r="J1466" s="10" t="s">
        <v>57</v>
      </c>
      <c r="K1466" s="10" t="s">
        <v>52</v>
      </c>
      <c r="L1466" t="str">
        <f>IFERROR(VLOOKUP(D1466,Products!A:F,3,0),"")</f>
        <v>Home</v>
      </c>
      <c r="M1466" t="str">
        <f>IFERROR(VLOOKUP(E1466,Sales_Reps!A:E,3,0),"")</f>
        <v>South</v>
      </c>
      <c r="N1466" t="str">
        <f>IFERROR(VLOOKUP(C1466,Customers!A:F,5,0),"")</f>
        <v/>
      </c>
      <c r="O1466" t="str">
        <f>IFERROR(VLOOKUP(C1466,Customers!A:F,3,0),"")</f>
        <v/>
      </c>
      <c r="P1466">
        <f>IFERROR(VLOOKUP(D1466,Products!A:F,4,0),"")</f>
        <v>2135</v>
      </c>
      <c r="Q1466" t="b">
        <f>IFERROR(VLOOKUP(D1466,Products!A:F,6,0),"")</f>
        <v>1</v>
      </c>
      <c r="R1466">
        <f t="shared" si="66"/>
        <v>0.42761394101876676</v>
      </c>
      <c r="S1466">
        <f t="shared" si="67"/>
        <v>1</v>
      </c>
      <c r="T1466">
        <f>IF(AND(S1466&gt;1,COUNTIF($A$2:A1466,A1466)=1),1,0)</f>
        <v>0</v>
      </c>
      <c r="U1466">
        <f>COUNTIF(Customers!$A$2:$A$301,C1466)</f>
        <v>0</v>
      </c>
      <c r="V1466">
        <f t="shared" si="68"/>
        <v>0</v>
      </c>
    </row>
    <row r="1467" spans="1:22" ht="14.25" customHeight="1" x14ac:dyDescent="0.35">
      <c r="A1467" s="10" t="s">
        <v>1921</v>
      </c>
      <c r="B1467" s="11">
        <v>45628</v>
      </c>
      <c r="C1467" s="10" t="s">
        <v>150</v>
      </c>
      <c r="D1467" s="10" t="s">
        <v>84</v>
      </c>
      <c r="E1467" s="10" t="s">
        <v>179</v>
      </c>
      <c r="F1467" s="12">
        <v>3</v>
      </c>
      <c r="G1467" s="12">
        <v>1430</v>
      </c>
      <c r="H1467" s="12">
        <v>13.2</v>
      </c>
      <c r="I1467" s="12">
        <v>3723.72</v>
      </c>
      <c r="J1467" s="10" t="s">
        <v>51</v>
      </c>
      <c r="K1467" s="10" t="s">
        <v>58</v>
      </c>
      <c r="L1467" t="str">
        <f>IFERROR(VLOOKUP(D1467,Products!A:F,3,0),"")</f>
        <v>Electronics</v>
      </c>
      <c r="M1467" t="str">
        <f>IFERROR(VLOOKUP(E1467,Sales_Reps!A:E,3,0),"")</f>
        <v>North</v>
      </c>
      <c r="N1467" t="str">
        <f>IFERROR(VLOOKUP(C1467,Customers!A:F,5,0),"")</f>
        <v>SMB</v>
      </c>
      <c r="O1467">
        <f>IFERROR(VLOOKUP(C1467,Customers!A:F,3,0),"")</f>
        <v>52</v>
      </c>
      <c r="P1467">
        <f>IFERROR(VLOOKUP(D1467,Products!A:F,4,0),"")</f>
        <v>861</v>
      </c>
      <c r="Q1467" t="b">
        <f>IFERROR(VLOOKUP(D1467,Products!A:F,6,0),"")</f>
        <v>1</v>
      </c>
      <c r="R1467">
        <f t="shared" si="66"/>
        <v>0.39790209790209791</v>
      </c>
      <c r="S1467">
        <f t="shared" si="67"/>
        <v>1</v>
      </c>
      <c r="T1467">
        <f>IF(AND(S1467&gt;1,COUNTIF($A$2:A1467,A1467)=1),1,0)</f>
        <v>0</v>
      </c>
      <c r="U1467">
        <f>COUNTIF(Customers!$A$2:$A$301,C1467)</f>
        <v>1</v>
      </c>
      <c r="V1467">
        <f t="shared" si="68"/>
        <v>0</v>
      </c>
    </row>
    <row r="1468" spans="1:22" ht="14.25" customHeight="1" x14ac:dyDescent="0.35">
      <c r="A1468" s="10" t="s">
        <v>1922</v>
      </c>
      <c r="B1468" s="11">
        <v>45413</v>
      </c>
      <c r="C1468" s="10" t="s">
        <v>154</v>
      </c>
      <c r="D1468" s="10" t="s">
        <v>205</v>
      </c>
      <c r="E1468" s="10" t="s">
        <v>267</v>
      </c>
      <c r="F1468" s="12">
        <v>2</v>
      </c>
      <c r="G1468" s="12">
        <v>6080</v>
      </c>
      <c r="H1468" s="12">
        <v>21.8</v>
      </c>
      <c r="I1468" s="12">
        <v>9509.1200000000008</v>
      </c>
      <c r="J1468" s="10" t="s">
        <v>104</v>
      </c>
      <c r="K1468" s="10" t="s">
        <v>97</v>
      </c>
      <c r="L1468" t="str">
        <f>IFERROR(VLOOKUP(D1468,Products!A:F,3,0),"")</f>
        <v>Beauty</v>
      </c>
      <c r="M1468" t="str">
        <f>IFERROR(VLOOKUP(E1468,Sales_Reps!A:E,3,0),"")</f>
        <v>East</v>
      </c>
      <c r="N1468" t="str">
        <f>IFERROR(VLOOKUP(C1468,Customers!A:F,5,0),"")</f>
        <v>Corporate</v>
      </c>
      <c r="O1468">
        <f>IFERROR(VLOOKUP(C1468,Customers!A:F,3,0),"")</f>
        <v>56</v>
      </c>
      <c r="P1468">
        <f>IFERROR(VLOOKUP(D1468,Products!A:F,4,0),"")</f>
        <v>2617</v>
      </c>
      <c r="Q1468" t="b">
        <f>IFERROR(VLOOKUP(D1468,Products!A:F,6,0),"")</f>
        <v>1</v>
      </c>
      <c r="R1468">
        <f t="shared" si="66"/>
        <v>0.56957236842105263</v>
      </c>
      <c r="S1468">
        <f t="shared" si="67"/>
        <v>1</v>
      </c>
      <c r="T1468">
        <f>IF(AND(S1468&gt;1,COUNTIF($A$2:A1468,A1468)=1),1,0)</f>
        <v>0</v>
      </c>
      <c r="U1468">
        <f>COUNTIF(Customers!$A$2:$A$301,C1468)</f>
        <v>1</v>
      </c>
      <c r="V1468">
        <f t="shared" si="68"/>
        <v>0</v>
      </c>
    </row>
    <row r="1469" spans="1:22" ht="14.25" customHeight="1" x14ac:dyDescent="0.35">
      <c r="A1469" s="10" t="s">
        <v>1923</v>
      </c>
      <c r="B1469" s="11">
        <v>45343</v>
      </c>
      <c r="C1469" s="10" t="s">
        <v>644</v>
      </c>
      <c r="D1469" s="10" t="s">
        <v>155</v>
      </c>
      <c r="E1469" s="10" t="s">
        <v>152</v>
      </c>
      <c r="F1469" s="12">
        <v>9</v>
      </c>
      <c r="G1469" s="12">
        <v>5100</v>
      </c>
      <c r="H1469" s="12">
        <v>29.3</v>
      </c>
      <c r="I1469" s="12">
        <v>32451.3</v>
      </c>
      <c r="J1469" s="10" t="s">
        <v>51</v>
      </c>
      <c r="K1469" s="10" t="s">
        <v>58</v>
      </c>
      <c r="L1469" t="str">
        <f>IFERROR(VLOOKUP(D1469,Products!A:F,3,0),"")</f>
        <v>Beauty</v>
      </c>
      <c r="M1469" t="str">
        <f>IFERROR(VLOOKUP(E1469,Sales_Reps!A:E,3,0),"")</f>
        <v>South</v>
      </c>
      <c r="N1469" t="str">
        <f>IFERROR(VLOOKUP(C1469,Customers!A:F,5,0),"")</f>
        <v>Retail</v>
      </c>
      <c r="O1469">
        <f>IFERROR(VLOOKUP(C1469,Customers!A:F,3,0),"")</f>
        <v>26</v>
      </c>
      <c r="P1469">
        <f>IFERROR(VLOOKUP(D1469,Products!A:F,4,0),"")</f>
        <v>2237</v>
      </c>
      <c r="Q1469" t="b">
        <f>IFERROR(VLOOKUP(D1469,Products!A:F,6,0),"")</f>
        <v>1</v>
      </c>
      <c r="R1469">
        <f t="shared" si="66"/>
        <v>0.56137254901960787</v>
      </c>
      <c r="S1469">
        <f t="shared" si="67"/>
        <v>1</v>
      </c>
      <c r="T1469">
        <f>IF(AND(S1469&gt;1,COUNTIF($A$2:A1469,A1469)=1),1,0)</f>
        <v>0</v>
      </c>
      <c r="U1469">
        <f>COUNTIF(Customers!$A$2:$A$301,C1469)</f>
        <v>1</v>
      </c>
      <c r="V1469">
        <f t="shared" si="68"/>
        <v>0</v>
      </c>
    </row>
    <row r="1470" spans="1:22" ht="14.25" customHeight="1" x14ac:dyDescent="0.35">
      <c r="A1470" s="10" t="s">
        <v>1924</v>
      </c>
      <c r="B1470" s="11">
        <v>45424</v>
      </c>
      <c r="C1470" s="10" t="s">
        <v>869</v>
      </c>
      <c r="D1470" s="10" t="s">
        <v>416</v>
      </c>
      <c r="E1470" s="10" t="s">
        <v>62</v>
      </c>
      <c r="F1470" s="12">
        <v>5</v>
      </c>
      <c r="G1470" s="12">
        <v>3450</v>
      </c>
      <c r="H1470" s="12">
        <v>5.3</v>
      </c>
      <c r="I1470" s="12">
        <v>16335.75</v>
      </c>
      <c r="J1470" s="10" t="s">
        <v>51</v>
      </c>
      <c r="K1470" s="10" t="s">
        <v>76</v>
      </c>
      <c r="L1470" t="str">
        <f>IFERROR(VLOOKUP(D1470,Products!A:F,3,0),"")</f>
        <v>Apparel</v>
      </c>
      <c r="M1470" t="str">
        <f>IFERROR(VLOOKUP(E1470,Sales_Reps!A:E,3,0),"")</f>
        <v>South</v>
      </c>
      <c r="N1470" t="str">
        <f>IFERROR(VLOOKUP(C1470,Customers!A:F,5,0),"")</f>
        <v>SMB</v>
      </c>
      <c r="O1470">
        <f>IFERROR(VLOOKUP(C1470,Customers!A:F,3,0),"")</f>
        <v>43</v>
      </c>
      <c r="P1470">
        <f>IFERROR(VLOOKUP(D1470,Products!A:F,4,0),"")</f>
        <v>1748</v>
      </c>
      <c r="Q1470" t="b">
        <f>IFERROR(VLOOKUP(D1470,Products!A:F,6,0),"")</f>
        <v>1</v>
      </c>
      <c r="R1470">
        <f t="shared" si="66"/>
        <v>0.49333333333333335</v>
      </c>
      <c r="S1470">
        <f t="shared" si="67"/>
        <v>1</v>
      </c>
      <c r="T1470">
        <f>IF(AND(S1470&gt;1,COUNTIF($A$2:A1470,A1470)=1),1,0)</f>
        <v>0</v>
      </c>
      <c r="U1470">
        <f>COUNTIF(Customers!$A$2:$A$301,C1470)</f>
        <v>1</v>
      </c>
      <c r="V1470">
        <f t="shared" si="68"/>
        <v>0</v>
      </c>
    </row>
    <row r="1471" spans="1:22" ht="14.25" customHeight="1" x14ac:dyDescent="0.35">
      <c r="A1471" s="10" t="s">
        <v>1925</v>
      </c>
      <c r="B1471" s="11">
        <v>45632</v>
      </c>
      <c r="C1471" s="10" t="s">
        <v>352</v>
      </c>
      <c r="D1471" s="10" t="s">
        <v>151</v>
      </c>
      <c r="E1471" s="10" t="s">
        <v>261</v>
      </c>
      <c r="F1471" s="12">
        <v>6</v>
      </c>
      <c r="G1471" s="12">
        <v>3570</v>
      </c>
      <c r="H1471" s="12">
        <v>17.3</v>
      </c>
      <c r="I1471" s="12">
        <v>17714.34</v>
      </c>
      <c r="J1471" s="10" t="s">
        <v>51</v>
      </c>
      <c r="K1471" s="10" t="s">
        <v>97</v>
      </c>
      <c r="L1471" t="str">
        <f>IFERROR(VLOOKUP(D1471,Products!A:F,3,0),"")</f>
        <v>Electronics</v>
      </c>
      <c r="M1471" t="str">
        <f>IFERROR(VLOOKUP(E1471,Sales_Reps!A:E,3,0),"")</f>
        <v>North</v>
      </c>
      <c r="N1471" t="str">
        <f>IFERROR(VLOOKUP(C1471,Customers!A:F,5,0),"")</f>
        <v>Retail</v>
      </c>
      <c r="O1471">
        <f>IFERROR(VLOOKUP(C1471,Customers!A:F,3,0),"")</f>
        <v>44</v>
      </c>
      <c r="P1471">
        <f>IFERROR(VLOOKUP(D1471,Products!A:F,4,0),"")</f>
        <v>1665</v>
      </c>
      <c r="Q1471" t="b">
        <f>IFERROR(VLOOKUP(D1471,Products!A:F,6,0),"")</f>
        <v>1</v>
      </c>
      <c r="R1471">
        <f t="shared" si="66"/>
        <v>0.53361344537815125</v>
      </c>
      <c r="S1471">
        <f t="shared" si="67"/>
        <v>1</v>
      </c>
      <c r="T1471">
        <f>IF(AND(S1471&gt;1,COUNTIF($A$2:A1471,A1471)=1),1,0)</f>
        <v>0</v>
      </c>
      <c r="U1471">
        <f>COUNTIF(Customers!$A$2:$A$301,C1471)</f>
        <v>1</v>
      </c>
      <c r="V1471">
        <f t="shared" si="68"/>
        <v>0</v>
      </c>
    </row>
    <row r="1472" spans="1:22" ht="14.25" customHeight="1" x14ac:dyDescent="0.35">
      <c r="A1472" s="10" t="s">
        <v>1926</v>
      </c>
      <c r="B1472" s="11">
        <v>45444</v>
      </c>
      <c r="C1472" s="10" t="s">
        <v>253</v>
      </c>
      <c r="D1472" s="10" t="s">
        <v>190</v>
      </c>
      <c r="E1472" s="10" t="s">
        <v>267</v>
      </c>
      <c r="F1472" s="12">
        <v>6</v>
      </c>
      <c r="G1472" s="12">
        <v>3730</v>
      </c>
      <c r="H1472" s="12">
        <v>1</v>
      </c>
      <c r="I1472" s="12">
        <v>22156.2</v>
      </c>
      <c r="J1472" s="10" t="s">
        <v>51</v>
      </c>
      <c r="K1472" s="10" t="s">
        <v>58</v>
      </c>
      <c r="L1472" t="str">
        <f>IFERROR(VLOOKUP(D1472,Products!A:F,3,0),"")</f>
        <v>Home</v>
      </c>
      <c r="M1472" t="str">
        <f>IFERROR(VLOOKUP(E1472,Sales_Reps!A:E,3,0),"")</f>
        <v>East</v>
      </c>
      <c r="N1472" t="str">
        <f>IFERROR(VLOOKUP(C1472,Customers!A:F,5,0),"")</f>
        <v>Retail</v>
      </c>
      <c r="O1472">
        <f>IFERROR(VLOOKUP(C1472,Customers!A:F,3,0),"")</f>
        <v>38</v>
      </c>
      <c r="P1472">
        <f>IFERROR(VLOOKUP(D1472,Products!A:F,4,0),"")</f>
        <v>2135</v>
      </c>
      <c r="Q1472" t="b">
        <f>IFERROR(VLOOKUP(D1472,Products!A:F,6,0),"")</f>
        <v>1</v>
      </c>
      <c r="R1472">
        <f t="shared" si="66"/>
        <v>0.42761394101876676</v>
      </c>
      <c r="S1472">
        <f t="shared" si="67"/>
        <v>1</v>
      </c>
      <c r="T1472">
        <f>IF(AND(S1472&gt;1,COUNTIF($A$2:A1472,A1472)=1),1,0)</f>
        <v>0</v>
      </c>
      <c r="U1472">
        <f>COUNTIF(Customers!$A$2:$A$301,C1472)</f>
        <v>1</v>
      </c>
      <c r="V1472">
        <f t="shared" si="68"/>
        <v>0</v>
      </c>
    </row>
    <row r="1473" spans="1:22" ht="14.25" customHeight="1" x14ac:dyDescent="0.35">
      <c r="A1473" s="10" t="s">
        <v>1927</v>
      </c>
      <c r="B1473" s="11">
        <v>45545</v>
      </c>
      <c r="C1473" s="10" t="s">
        <v>1002</v>
      </c>
      <c r="D1473" s="10" t="s">
        <v>425</v>
      </c>
      <c r="E1473" s="10" t="s">
        <v>85</v>
      </c>
      <c r="F1473" s="12">
        <v>4</v>
      </c>
      <c r="G1473" s="12">
        <v>3780</v>
      </c>
      <c r="H1473" s="12">
        <v>13.1</v>
      </c>
      <c r="I1473" s="12">
        <v>13139.28</v>
      </c>
      <c r="J1473" s="10" t="s">
        <v>51</v>
      </c>
      <c r="K1473" s="10" t="s">
        <v>81</v>
      </c>
      <c r="L1473" t="str">
        <f>IFERROR(VLOOKUP(D1473,Products!A:F,3,0),"")</f>
        <v>Sports</v>
      </c>
      <c r="M1473" t="str">
        <f>IFERROR(VLOOKUP(E1473,Sales_Reps!A:E,3,0),"")</f>
        <v>East</v>
      </c>
      <c r="N1473" t="str">
        <f>IFERROR(VLOOKUP(C1473,Customers!A:F,5,0),"")</f>
        <v>Corporate</v>
      </c>
      <c r="O1473">
        <f>IFERROR(VLOOKUP(C1473,Customers!A:F,3,0),"")</f>
        <v>55</v>
      </c>
      <c r="P1473">
        <f>IFERROR(VLOOKUP(D1473,Products!A:F,4,0),"")</f>
        <v>1860</v>
      </c>
      <c r="Q1473" t="b">
        <f>IFERROR(VLOOKUP(D1473,Products!A:F,6,0),"")</f>
        <v>1</v>
      </c>
      <c r="R1473">
        <f t="shared" si="66"/>
        <v>0.50793650793650791</v>
      </c>
      <c r="S1473">
        <f t="shared" si="67"/>
        <v>1</v>
      </c>
      <c r="T1473">
        <f>IF(AND(S1473&gt;1,COUNTIF($A$2:A1473,A1473)=1),1,0)</f>
        <v>0</v>
      </c>
      <c r="U1473">
        <f>COUNTIF(Customers!$A$2:$A$301,C1473)</f>
        <v>1</v>
      </c>
      <c r="V1473">
        <f t="shared" si="68"/>
        <v>0</v>
      </c>
    </row>
    <row r="1474" spans="1:22" ht="14.25" customHeight="1" x14ac:dyDescent="0.35">
      <c r="A1474" s="10" t="s">
        <v>1928</v>
      </c>
      <c r="B1474" s="11">
        <v>45511</v>
      </c>
      <c r="C1474" s="10" t="s">
        <v>574</v>
      </c>
      <c r="D1474" s="10" t="s">
        <v>319</v>
      </c>
      <c r="E1474" s="10" t="s">
        <v>237</v>
      </c>
      <c r="F1474" s="12">
        <v>1</v>
      </c>
      <c r="G1474" s="12">
        <v>2510</v>
      </c>
      <c r="H1474" s="12">
        <v>27.8</v>
      </c>
      <c r="I1474" s="12">
        <v>1812.22</v>
      </c>
      <c r="J1474" s="10" t="s">
        <v>104</v>
      </c>
      <c r="K1474" s="10" t="s">
        <v>81</v>
      </c>
      <c r="L1474" t="str">
        <f>IFERROR(VLOOKUP(D1474,Products!A:F,3,0),"")</f>
        <v>Apparel</v>
      </c>
      <c r="M1474" t="str">
        <f>IFERROR(VLOOKUP(E1474,Sales_Reps!A:E,3,0),"")</f>
        <v>South</v>
      </c>
      <c r="N1474" t="str">
        <f>IFERROR(VLOOKUP(C1474,Customers!A:F,5,0),"")</f>
        <v>SMB</v>
      </c>
      <c r="O1474">
        <f>IFERROR(VLOOKUP(C1474,Customers!A:F,3,0),"")</f>
        <v>42</v>
      </c>
      <c r="P1474">
        <f>IFERROR(VLOOKUP(D1474,Products!A:F,4,0),"")</f>
        <v>1075</v>
      </c>
      <c r="Q1474" t="b">
        <f>IFERROR(VLOOKUP(D1474,Products!A:F,6,0),"")</f>
        <v>0</v>
      </c>
      <c r="R1474">
        <f t="shared" ref="R1474:R1537" si="69">IFERROR((G1474-P1474)/G1474,"")</f>
        <v>0.57171314741035861</v>
      </c>
      <c r="S1474">
        <f t="shared" ref="S1474:S1537" si="70">COUNTIF($A$2:$A$2001,A1474)</f>
        <v>1</v>
      </c>
      <c r="T1474">
        <f>IF(AND(S1474&gt;1,COUNTIF($A$2:A1474,A1474)=1),1,0)</f>
        <v>0</v>
      </c>
      <c r="U1474">
        <f>COUNTIF(Customers!$A$2:$A$301,C1474)</f>
        <v>1</v>
      </c>
      <c r="V1474">
        <f t="shared" ref="V1474:V1537" si="71">IF(AND(K1474="Bengaluru",L1474="Grocery"),I1474,0)</f>
        <v>0</v>
      </c>
    </row>
    <row r="1475" spans="1:22" ht="14.25" customHeight="1" x14ac:dyDescent="0.35">
      <c r="A1475" s="10" t="s">
        <v>1929</v>
      </c>
      <c r="B1475" s="11">
        <v>45577</v>
      </c>
      <c r="C1475" s="10" t="s">
        <v>761</v>
      </c>
      <c r="D1475" s="10" t="s">
        <v>167</v>
      </c>
      <c r="E1475" s="10" t="s">
        <v>50</v>
      </c>
      <c r="F1475" s="12">
        <v>9</v>
      </c>
      <c r="G1475" s="12">
        <v>660</v>
      </c>
      <c r="H1475" s="12">
        <v>29.3</v>
      </c>
      <c r="I1475" s="12">
        <v>4199.58</v>
      </c>
      <c r="J1475" s="10" t="s">
        <v>51</v>
      </c>
      <c r="K1475" s="10" t="s">
        <v>63</v>
      </c>
      <c r="L1475" t="str">
        <f>IFERROR(VLOOKUP(D1475,Products!A:F,3,0),"")</f>
        <v>Home</v>
      </c>
      <c r="M1475" t="str">
        <f>IFERROR(VLOOKUP(E1475,Sales_Reps!A:E,3,0),"")</f>
        <v>North</v>
      </c>
      <c r="N1475" t="str">
        <f>IFERROR(VLOOKUP(C1475,Customers!A:F,5,0),"")</f>
        <v>Retail</v>
      </c>
      <c r="O1475">
        <f>IFERROR(VLOOKUP(C1475,Customers!A:F,3,0),"")</f>
        <v>63</v>
      </c>
      <c r="P1475">
        <f>IFERROR(VLOOKUP(D1475,Products!A:F,4,0),"")</f>
        <v>329</v>
      </c>
      <c r="Q1475" t="b">
        <f>IFERROR(VLOOKUP(D1475,Products!A:F,6,0),"")</f>
        <v>1</v>
      </c>
      <c r="R1475">
        <f t="shared" si="69"/>
        <v>0.50151515151515147</v>
      </c>
      <c r="S1475">
        <f t="shared" si="70"/>
        <v>1</v>
      </c>
      <c r="T1475">
        <f>IF(AND(S1475&gt;1,COUNTIF($A$2:A1475,A1475)=1),1,0)</f>
        <v>0</v>
      </c>
      <c r="U1475">
        <f>COUNTIF(Customers!$A$2:$A$301,C1475)</f>
        <v>1</v>
      </c>
      <c r="V1475">
        <f t="shared" si="71"/>
        <v>0</v>
      </c>
    </row>
    <row r="1476" spans="1:22" ht="14.25" customHeight="1" x14ac:dyDescent="0.35">
      <c r="A1476" s="10" t="s">
        <v>1930</v>
      </c>
      <c r="B1476" s="11">
        <v>45507</v>
      </c>
      <c r="C1476" s="10" t="s">
        <v>1000</v>
      </c>
      <c r="D1476" s="10" t="s">
        <v>201</v>
      </c>
      <c r="E1476" s="10" t="s">
        <v>134</v>
      </c>
      <c r="F1476" s="12">
        <v>7</v>
      </c>
      <c r="G1476" s="12">
        <v>3640</v>
      </c>
      <c r="H1476" s="12">
        <v>11.6</v>
      </c>
      <c r="I1476" s="12">
        <v>22524.32</v>
      </c>
      <c r="J1476" s="10" t="s">
        <v>51</v>
      </c>
      <c r="K1476" s="10" t="s">
        <v>76</v>
      </c>
      <c r="L1476" t="str">
        <f>IFERROR(VLOOKUP(D1476,Products!A:F,3,0),"")</f>
        <v>Apparel</v>
      </c>
      <c r="M1476" t="str">
        <f>IFERROR(VLOOKUP(E1476,Sales_Reps!A:E,3,0),"")</f>
        <v>West</v>
      </c>
      <c r="N1476" t="str">
        <f>IFERROR(VLOOKUP(C1476,Customers!A:F,5,0),"")</f>
        <v>Retail</v>
      </c>
      <c r="O1476">
        <f>IFERROR(VLOOKUP(C1476,Customers!A:F,3,0),"")</f>
        <v>33</v>
      </c>
      <c r="P1476">
        <f>IFERROR(VLOOKUP(D1476,Products!A:F,4,0),"")</f>
        <v>2611</v>
      </c>
      <c r="Q1476" t="b">
        <f>IFERROR(VLOOKUP(D1476,Products!A:F,6,0),"")</f>
        <v>1</v>
      </c>
      <c r="R1476">
        <f t="shared" si="69"/>
        <v>0.28269230769230769</v>
      </c>
      <c r="S1476">
        <f t="shared" si="70"/>
        <v>1</v>
      </c>
      <c r="T1476">
        <f>IF(AND(S1476&gt;1,COUNTIF($A$2:A1476,A1476)=1),1,0)</f>
        <v>0</v>
      </c>
      <c r="U1476">
        <f>COUNTIF(Customers!$A$2:$A$301,C1476)</f>
        <v>1</v>
      </c>
      <c r="V1476">
        <f t="shared" si="71"/>
        <v>0</v>
      </c>
    </row>
    <row r="1477" spans="1:22" ht="14.25" customHeight="1" x14ac:dyDescent="0.35">
      <c r="A1477" s="10" t="s">
        <v>1931</v>
      </c>
      <c r="B1477" s="11">
        <v>45415</v>
      </c>
      <c r="C1477" s="10" t="s">
        <v>950</v>
      </c>
      <c r="D1477" s="10" t="s">
        <v>324</v>
      </c>
      <c r="E1477" s="10" t="s">
        <v>85</v>
      </c>
      <c r="F1477" s="12">
        <v>8</v>
      </c>
      <c r="G1477" s="12">
        <v>5410</v>
      </c>
      <c r="H1477" s="12">
        <v>25.6</v>
      </c>
      <c r="I1477" s="12">
        <v>32200.32</v>
      </c>
      <c r="J1477" s="10" t="s">
        <v>51</v>
      </c>
      <c r="K1477" s="10" t="s">
        <v>58</v>
      </c>
      <c r="L1477" t="str">
        <f>IFERROR(VLOOKUP(D1477,Products!A:F,3,0),"")</f>
        <v>Sports</v>
      </c>
      <c r="M1477" t="str">
        <f>IFERROR(VLOOKUP(E1477,Sales_Reps!A:E,3,0),"")</f>
        <v>East</v>
      </c>
      <c r="N1477" t="str">
        <f>IFERROR(VLOOKUP(C1477,Customers!A:F,5,0),"")</f>
        <v>Corporate</v>
      </c>
      <c r="O1477">
        <f>IFERROR(VLOOKUP(C1477,Customers!A:F,3,0),"")</f>
        <v>52</v>
      </c>
      <c r="P1477">
        <f>IFERROR(VLOOKUP(D1477,Products!A:F,4,0),"")</f>
        <v>2265</v>
      </c>
      <c r="Q1477" t="b">
        <f>IFERROR(VLOOKUP(D1477,Products!A:F,6,0),"")</f>
        <v>1</v>
      </c>
      <c r="R1477">
        <f t="shared" si="69"/>
        <v>0.58133086876155271</v>
      </c>
      <c r="S1477">
        <f t="shared" si="70"/>
        <v>1</v>
      </c>
      <c r="T1477">
        <f>IF(AND(S1477&gt;1,COUNTIF($A$2:A1477,A1477)=1),1,0)</f>
        <v>0</v>
      </c>
      <c r="U1477">
        <f>COUNTIF(Customers!$A$2:$A$301,C1477)</f>
        <v>1</v>
      </c>
      <c r="V1477">
        <f t="shared" si="71"/>
        <v>0</v>
      </c>
    </row>
    <row r="1478" spans="1:22" ht="14.25" customHeight="1" x14ac:dyDescent="0.35">
      <c r="A1478" s="10" t="s">
        <v>1932</v>
      </c>
      <c r="B1478" s="11">
        <v>45342</v>
      </c>
      <c r="C1478" s="10" t="s">
        <v>934</v>
      </c>
      <c r="D1478" s="10" t="s">
        <v>115</v>
      </c>
      <c r="E1478" s="10" t="s">
        <v>71</v>
      </c>
      <c r="F1478" s="12">
        <v>4</v>
      </c>
      <c r="G1478" s="12">
        <v>2400</v>
      </c>
      <c r="H1478" s="12">
        <v>10.4</v>
      </c>
      <c r="I1478" s="12">
        <v>8601.6</v>
      </c>
      <c r="J1478" s="10" t="s">
        <v>51</v>
      </c>
      <c r="K1478" s="10" t="s">
        <v>76</v>
      </c>
      <c r="L1478" t="str">
        <f>IFERROR(VLOOKUP(D1478,Products!A:F,3,0),"")</f>
        <v>Sports</v>
      </c>
      <c r="M1478" t="str">
        <f>IFERROR(VLOOKUP(E1478,Sales_Reps!A:E,3,0),"")</f>
        <v>North</v>
      </c>
      <c r="N1478" t="str">
        <f>IFERROR(VLOOKUP(C1478,Customers!A:F,5,0),"")</f>
        <v>Retail</v>
      </c>
      <c r="O1478">
        <f>IFERROR(VLOOKUP(C1478,Customers!A:F,3,0),"")</f>
        <v>40</v>
      </c>
      <c r="P1478">
        <f>IFERROR(VLOOKUP(D1478,Products!A:F,4,0),"")</f>
        <v>974</v>
      </c>
      <c r="Q1478" t="b">
        <f>IFERROR(VLOOKUP(D1478,Products!A:F,6,0),"")</f>
        <v>1</v>
      </c>
      <c r="R1478">
        <f t="shared" si="69"/>
        <v>0.59416666666666662</v>
      </c>
      <c r="S1478">
        <f t="shared" si="70"/>
        <v>1</v>
      </c>
      <c r="T1478">
        <f>IF(AND(S1478&gt;1,COUNTIF($A$2:A1478,A1478)=1),1,0)</f>
        <v>0</v>
      </c>
      <c r="U1478">
        <f>COUNTIF(Customers!$A$2:$A$301,C1478)</f>
        <v>1</v>
      </c>
      <c r="V1478">
        <f t="shared" si="71"/>
        <v>0</v>
      </c>
    </row>
    <row r="1479" spans="1:22" ht="14.25" customHeight="1" x14ac:dyDescent="0.35">
      <c r="A1479" s="10" t="s">
        <v>1933</v>
      </c>
      <c r="B1479" s="11">
        <v>45333</v>
      </c>
      <c r="C1479" s="10" t="s">
        <v>436</v>
      </c>
      <c r="D1479" s="10" t="s">
        <v>88</v>
      </c>
      <c r="E1479" s="10" t="s">
        <v>92</v>
      </c>
      <c r="F1479" s="12">
        <v>2</v>
      </c>
      <c r="G1479" s="12">
        <v>5490</v>
      </c>
      <c r="H1479" s="12">
        <v>5.4</v>
      </c>
      <c r="I1479" s="12">
        <v>10387.08</v>
      </c>
      <c r="J1479" s="10" t="s">
        <v>51</v>
      </c>
      <c r="K1479" s="10" t="s">
        <v>58</v>
      </c>
      <c r="L1479" t="str">
        <f>IFERROR(VLOOKUP(D1479,Products!A:F,3,0),"")</f>
        <v>Home</v>
      </c>
      <c r="M1479" t="str">
        <f>IFERROR(VLOOKUP(E1479,Sales_Reps!A:E,3,0),"")</f>
        <v>West</v>
      </c>
      <c r="N1479" t="str">
        <f>IFERROR(VLOOKUP(C1479,Customers!A:F,5,0),"")</f>
        <v>Corporate</v>
      </c>
      <c r="O1479">
        <f>IFERROR(VLOOKUP(C1479,Customers!A:F,3,0),"")</f>
        <v>35</v>
      </c>
      <c r="P1479">
        <f>IFERROR(VLOOKUP(D1479,Products!A:F,4,0),"")</f>
        <v>2549</v>
      </c>
      <c r="Q1479" t="b">
        <f>IFERROR(VLOOKUP(D1479,Products!A:F,6,0),"")</f>
        <v>1</v>
      </c>
      <c r="R1479">
        <f t="shared" si="69"/>
        <v>0.53570127504553733</v>
      </c>
      <c r="S1479">
        <f t="shared" si="70"/>
        <v>1</v>
      </c>
      <c r="T1479">
        <f>IF(AND(S1479&gt;1,COUNTIF($A$2:A1479,A1479)=1),1,0)</f>
        <v>0</v>
      </c>
      <c r="U1479">
        <f>COUNTIF(Customers!$A$2:$A$301,C1479)</f>
        <v>1</v>
      </c>
      <c r="V1479">
        <f t="shared" si="71"/>
        <v>0</v>
      </c>
    </row>
    <row r="1480" spans="1:22" ht="14.25" customHeight="1" x14ac:dyDescent="0.35">
      <c r="A1480" s="10" t="s">
        <v>1934</v>
      </c>
      <c r="B1480" s="11">
        <v>45516</v>
      </c>
      <c r="C1480" s="10" t="s">
        <v>1195</v>
      </c>
      <c r="D1480" s="10" t="s">
        <v>223</v>
      </c>
      <c r="E1480" s="10" t="s">
        <v>310</v>
      </c>
      <c r="F1480" s="12">
        <v>6</v>
      </c>
      <c r="G1480" s="12">
        <v>1540</v>
      </c>
      <c r="H1480" s="12">
        <v>0.6</v>
      </c>
      <c r="I1480" s="12">
        <v>9184.56</v>
      </c>
      <c r="J1480" s="10" t="s">
        <v>51</v>
      </c>
      <c r="K1480" s="10" t="s">
        <v>52</v>
      </c>
      <c r="L1480" t="str">
        <f>IFERROR(VLOOKUP(D1480,Products!A:F,3,0),"")</f>
        <v>Beauty</v>
      </c>
      <c r="M1480" t="str">
        <f>IFERROR(VLOOKUP(E1480,Sales_Reps!A:E,3,0),"")</f>
        <v>South</v>
      </c>
      <c r="N1480" t="str">
        <f>IFERROR(VLOOKUP(C1480,Customers!A:F,5,0),"")</f>
        <v>Retail</v>
      </c>
      <c r="O1480">
        <f>IFERROR(VLOOKUP(C1480,Customers!A:F,3,0),"")</f>
        <v>42</v>
      </c>
      <c r="P1480">
        <f>IFERROR(VLOOKUP(D1480,Products!A:F,4,0),"")</f>
        <v>647</v>
      </c>
      <c r="Q1480" t="b">
        <f>IFERROR(VLOOKUP(D1480,Products!A:F,6,0),"")</f>
        <v>0</v>
      </c>
      <c r="R1480">
        <f t="shared" si="69"/>
        <v>0.57987012987012987</v>
      </c>
      <c r="S1480">
        <f t="shared" si="70"/>
        <v>1</v>
      </c>
      <c r="T1480">
        <f>IF(AND(S1480&gt;1,COUNTIF($A$2:A1480,A1480)=1),1,0)</f>
        <v>0</v>
      </c>
      <c r="U1480">
        <f>COUNTIF(Customers!$A$2:$A$301,C1480)</f>
        <v>1</v>
      </c>
      <c r="V1480">
        <f t="shared" si="71"/>
        <v>0</v>
      </c>
    </row>
    <row r="1481" spans="1:22" ht="14.25" customHeight="1" x14ac:dyDescent="0.35">
      <c r="A1481" s="10" t="s">
        <v>1935</v>
      </c>
      <c r="B1481" s="11">
        <v>45343</v>
      </c>
      <c r="C1481" s="10" t="s">
        <v>872</v>
      </c>
      <c r="D1481" s="10" t="s">
        <v>328</v>
      </c>
      <c r="E1481" s="10" t="s">
        <v>179</v>
      </c>
      <c r="F1481" s="12">
        <v>3</v>
      </c>
      <c r="G1481" s="12">
        <v>5330</v>
      </c>
      <c r="H1481" s="12">
        <v>1</v>
      </c>
      <c r="I1481" s="12">
        <v>15830.1</v>
      </c>
      <c r="J1481" s="10" t="s">
        <v>57</v>
      </c>
      <c r="K1481" s="10" t="s">
        <v>97</v>
      </c>
      <c r="L1481" t="str">
        <f>IFERROR(VLOOKUP(D1481,Products!A:F,3,0),"")</f>
        <v>Electronics</v>
      </c>
      <c r="M1481" t="str">
        <f>IFERROR(VLOOKUP(E1481,Sales_Reps!A:E,3,0),"")</f>
        <v>North</v>
      </c>
      <c r="N1481" t="str">
        <f>IFERROR(VLOOKUP(C1481,Customers!A:F,5,0),"")</f>
        <v>Retail</v>
      </c>
      <c r="O1481">
        <f>IFERROR(VLOOKUP(C1481,Customers!A:F,3,0),"")</f>
        <v>31</v>
      </c>
      <c r="P1481">
        <f>IFERROR(VLOOKUP(D1481,Products!A:F,4,0),"")</f>
        <v>2405</v>
      </c>
      <c r="Q1481" t="b">
        <f>IFERROR(VLOOKUP(D1481,Products!A:F,6,0),"")</f>
        <v>1</v>
      </c>
      <c r="R1481">
        <f t="shared" si="69"/>
        <v>0.54878048780487809</v>
      </c>
      <c r="S1481">
        <f t="shared" si="70"/>
        <v>1</v>
      </c>
      <c r="T1481">
        <f>IF(AND(S1481&gt;1,COUNTIF($A$2:A1481,A1481)=1),1,0)</f>
        <v>0</v>
      </c>
      <c r="U1481">
        <f>COUNTIF(Customers!$A$2:$A$301,C1481)</f>
        <v>1</v>
      </c>
      <c r="V1481">
        <f t="shared" si="71"/>
        <v>0</v>
      </c>
    </row>
    <row r="1482" spans="1:22" ht="14.25" customHeight="1" x14ac:dyDescent="0.35">
      <c r="A1482" s="10" t="s">
        <v>1936</v>
      </c>
      <c r="B1482" s="11">
        <v>45522</v>
      </c>
      <c r="C1482" s="10" t="s">
        <v>1539</v>
      </c>
      <c r="D1482" s="10" t="s">
        <v>159</v>
      </c>
      <c r="E1482" s="10" t="s">
        <v>289</v>
      </c>
      <c r="F1482" s="12">
        <v>6</v>
      </c>
      <c r="G1482" s="12">
        <v>2860</v>
      </c>
      <c r="H1482" s="12">
        <v>13.3</v>
      </c>
      <c r="I1482" s="12">
        <v>14877.72</v>
      </c>
      <c r="J1482" s="10" t="s">
        <v>51</v>
      </c>
      <c r="K1482" s="10" t="s">
        <v>97</v>
      </c>
      <c r="L1482" t="str">
        <f>IFERROR(VLOOKUP(D1482,Products!A:F,3,0),"")</f>
        <v>Sports</v>
      </c>
      <c r="M1482" t="str">
        <f>IFERROR(VLOOKUP(E1482,Sales_Reps!A:E,3,0),"")</f>
        <v>South</v>
      </c>
      <c r="N1482" t="str">
        <f>IFERROR(VLOOKUP(C1482,Customers!A:F,5,0),"")</f>
        <v>Corporate</v>
      </c>
      <c r="O1482">
        <f>IFERROR(VLOOKUP(C1482,Customers!A:F,3,0),"")</f>
        <v>60</v>
      </c>
      <c r="P1482">
        <f>IFERROR(VLOOKUP(D1482,Products!A:F,4,0),"")</f>
        <v>2028</v>
      </c>
      <c r="Q1482" t="b">
        <f>IFERROR(VLOOKUP(D1482,Products!A:F,6,0),"")</f>
        <v>1</v>
      </c>
      <c r="R1482">
        <f t="shared" si="69"/>
        <v>0.29090909090909089</v>
      </c>
      <c r="S1482">
        <f t="shared" si="70"/>
        <v>1</v>
      </c>
      <c r="T1482">
        <f>IF(AND(S1482&gt;1,COUNTIF($A$2:A1482,A1482)=1),1,0)</f>
        <v>0</v>
      </c>
      <c r="U1482">
        <f>COUNTIF(Customers!$A$2:$A$301,C1482)</f>
        <v>1</v>
      </c>
      <c r="V1482">
        <f t="shared" si="71"/>
        <v>0</v>
      </c>
    </row>
    <row r="1483" spans="1:22" ht="14.25" customHeight="1" x14ac:dyDescent="0.35">
      <c r="A1483" s="10" t="s">
        <v>1937</v>
      </c>
      <c r="B1483" s="11">
        <v>45305</v>
      </c>
      <c r="C1483" s="10" t="s">
        <v>570</v>
      </c>
      <c r="D1483" s="10" t="s">
        <v>148</v>
      </c>
      <c r="E1483" s="10" t="s">
        <v>67</v>
      </c>
      <c r="F1483" s="12">
        <v>3</v>
      </c>
      <c r="G1483" s="12">
        <v>4880</v>
      </c>
      <c r="H1483" s="12">
        <v>12.1</v>
      </c>
      <c r="I1483" s="12">
        <v>12868.56</v>
      </c>
      <c r="J1483" s="10" t="s">
        <v>51</v>
      </c>
      <c r="K1483" s="10" t="s">
        <v>76</v>
      </c>
      <c r="L1483" t="str">
        <f>IFERROR(VLOOKUP(D1483,Products!A:F,3,0),"")</f>
        <v>Beauty</v>
      </c>
      <c r="M1483" t="str">
        <f>IFERROR(VLOOKUP(E1483,Sales_Reps!A:E,3,0),"")</f>
        <v>North</v>
      </c>
      <c r="N1483" t="str">
        <f>IFERROR(VLOOKUP(C1483,Customers!A:F,5,0),"")</f>
        <v>Retail</v>
      </c>
      <c r="O1483">
        <f>IFERROR(VLOOKUP(C1483,Customers!A:F,3,0),"")</f>
        <v>52</v>
      </c>
      <c r="P1483">
        <f>IFERROR(VLOOKUP(D1483,Products!A:F,4,0),"")</f>
        <v>2768</v>
      </c>
      <c r="Q1483" t="b">
        <f>IFERROR(VLOOKUP(D1483,Products!A:F,6,0),"")</f>
        <v>1</v>
      </c>
      <c r="R1483">
        <f t="shared" si="69"/>
        <v>0.43278688524590164</v>
      </c>
      <c r="S1483">
        <f t="shared" si="70"/>
        <v>1</v>
      </c>
      <c r="T1483">
        <f>IF(AND(S1483&gt;1,COUNTIF($A$2:A1483,A1483)=1),1,0)</f>
        <v>0</v>
      </c>
      <c r="U1483">
        <f>COUNTIF(Customers!$A$2:$A$301,C1483)</f>
        <v>1</v>
      </c>
      <c r="V1483">
        <f t="shared" si="71"/>
        <v>0</v>
      </c>
    </row>
    <row r="1484" spans="1:22" ht="14.25" customHeight="1" x14ac:dyDescent="0.35">
      <c r="A1484" s="10" t="s">
        <v>1938</v>
      </c>
      <c r="B1484" s="11">
        <v>45353</v>
      </c>
      <c r="C1484" s="10" t="s">
        <v>438</v>
      </c>
      <c r="D1484" s="10" t="s">
        <v>319</v>
      </c>
      <c r="E1484" s="10" t="s">
        <v>56</v>
      </c>
      <c r="F1484" s="12">
        <v>5</v>
      </c>
      <c r="G1484" s="12">
        <v>2510</v>
      </c>
      <c r="H1484" s="12">
        <v>2.9</v>
      </c>
      <c r="I1484" s="12">
        <v>12186.05</v>
      </c>
      <c r="J1484" s="10" t="s">
        <v>57</v>
      </c>
      <c r="K1484" s="10" t="s">
        <v>63</v>
      </c>
      <c r="L1484" t="str">
        <f>IFERROR(VLOOKUP(D1484,Products!A:F,3,0),"")</f>
        <v>Apparel</v>
      </c>
      <c r="M1484" t="str">
        <f>IFERROR(VLOOKUP(E1484,Sales_Reps!A:E,3,0),"")</f>
        <v>North</v>
      </c>
      <c r="N1484" t="str">
        <f>IFERROR(VLOOKUP(C1484,Customers!A:F,5,0),"")</f>
        <v>SMB</v>
      </c>
      <c r="O1484">
        <f>IFERROR(VLOOKUP(C1484,Customers!A:F,3,0),"")</f>
        <v>59</v>
      </c>
      <c r="P1484">
        <f>IFERROR(VLOOKUP(D1484,Products!A:F,4,0),"")</f>
        <v>1075</v>
      </c>
      <c r="Q1484" t="b">
        <f>IFERROR(VLOOKUP(D1484,Products!A:F,6,0),"")</f>
        <v>0</v>
      </c>
      <c r="R1484">
        <f t="shared" si="69"/>
        <v>0.57171314741035861</v>
      </c>
      <c r="S1484">
        <f t="shared" si="70"/>
        <v>1</v>
      </c>
      <c r="T1484">
        <f>IF(AND(S1484&gt;1,COUNTIF($A$2:A1484,A1484)=1),1,0)</f>
        <v>0</v>
      </c>
      <c r="U1484">
        <f>COUNTIF(Customers!$A$2:$A$301,C1484)</f>
        <v>1</v>
      </c>
      <c r="V1484">
        <f t="shared" si="71"/>
        <v>0</v>
      </c>
    </row>
    <row r="1485" spans="1:22" ht="14.25" customHeight="1" x14ac:dyDescent="0.35">
      <c r="A1485" s="10" t="s">
        <v>1939</v>
      </c>
      <c r="B1485" s="11">
        <v>45525</v>
      </c>
      <c r="C1485" s="10" t="s">
        <v>1940</v>
      </c>
      <c r="D1485" s="10" t="s">
        <v>372</v>
      </c>
      <c r="E1485" s="10" t="s">
        <v>156</v>
      </c>
      <c r="F1485" s="12">
        <v>9</v>
      </c>
      <c r="G1485" s="12">
        <v>3970</v>
      </c>
      <c r="H1485" s="12">
        <v>28</v>
      </c>
      <c r="I1485" s="12">
        <v>25725.599999999999</v>
      </c>
      <c r="J1485" s="10" t="s">
        <v>51</v>
      </c>
      <c r="K1485" s="10" t="s">
        <v>52</v>
      </c>
      <c r="L1485" t="str">
        <f>IFERROR(VLOOKUP(D1485,Products!A:F,3,0),"")</f>
        <v>Electronics</v>
      </c>
      <c r="M1485" t="str">
        <f>IFERROR(VLOOKUP(E1485,Sales_Reps!A:E,3,0),"")</f>
        <v>East</v>
      </c>
      <c r="N1485" t="str">
        <f>IFERROR(VLOOKUP(C1485,Customers!A:F,5,0),"")</f>
        <v/>
      </c>
      <c r="O1485" t="str">
        <f>IFERROR(VLOOKUP(C1485,Customers!A:F,3,0),"")</f>
        <v/>
      </c>
      <c r="P1485">
        <f>IFERROR(VLOOKUP(D1485,Products!A:F,4,0),"")</f>
        <v>2865</v>
      </c>
      <c r="Q1485" t="b">
        <f>IFERROR(VLOOKUP(D1485,Products!A:F,6,0),"")</f>
        <v>1</v>
      </c>
      <c r="R1485">
        <f t="shared" si="69"/>
        <v>0.27833753148614609</v>
      </c>
      <c r="S1485">
        <f t="shared" si="70"/>
        <v>1</v>
      </c>
      <c r="T1485">
        <f>IF(AND(S1485&gt;1,COUNTIF($A$2:A1485,A1485)=1),1,0)</f>
        <v>0</v>
      </c>
      <c r="U1485">
        <f>COUNTIF(Customers!$A$2:$A$301,C1485)</f>
        <v>0</v>
      </c>
      <c r="V1485">
        <f t="shared" si="71"/>
        <v>0</v>
      </c>
    </row>
    <row r="1486" spans="1:22" ht="14.25" customHeight="1" x14ac:dyDescent="0.35">
      <c r="A1486" s="10" t="s">
        <v>1941</v>
      </c>
      <c r="B1486" s="11">
        <v>45593</v>
      </c>
      <c r="C1486" s="10" t="s">
        <v>1181</v>
      </c>
      <c r="D1486" s="10" t="s">
        <v>61</v>
      </c>
      <c r="E1486" s="10" t="s">
        <v>307</v>
      </c>
      <c r="F1486" s="12">
        <v>4</v>
      </c>
      <c r="G1486" s="12">
        <v>470</v>
      </c>
      <c r="H1486" s="12">
        <v>19.100000000000001</v>
      </c>
      <c r="I1486" s="12">
        <v>1520.92</v>
      </c>
      <c r="J1486" s="10" t="s">
        <v>57</v>
      </c>
      <c r="K1486" s="10" t="s">
        <v>76</v>
      </c>
      <c r="L1486" t="str">
        <f>IFERROR(VLOOKUP(D1486,Products!A:F,3,0),"")</f>
        <v>Sports</v>
      </c>
      <c r="M1486" t="str">
        <f>IFERROR(VLOOKUP(E1486,Sales_Reps!A:E,3,0),"")</f>
        <v>West</v>
      </c>
      <c r="N1486" t="str">
        <f>IFERROR(VLOOKUP(C1486,Customers!A:F,5,0),"")</f>
        <v>Retail</v>
      </c>
      <c r="O1486">
        <f>IFERROR(VLOOKUP(C1486,Customers!A:F,3,0),"")</f>
        <v>44</v>
      </c>
      <c r="P1486">
        <f>IFERROR(VLOOKUP(D1486,Products!A:F,4,0),"")</f>
        <v>302</v>
      </c>
      <c r="Q1486" t="b">
        <f>IFERROR(VLOOKUP(D1486,Products!A:F,6,0),"")</f>
        <v>0</v>
      </c>
      <c r="R1486">
        <f t="shared" si="69"/>
        <v>0.35744680851063831</v>
      </c>
      <c r="S1486">
        <f t="shared" si="70"/>
        <v>1</v>
      </c>
      <c r="T1486">
        <f>IF(AND(S1486&gt;1,COUNTIF($A$2:A1486,A1486)=1),1,0)</f>
        <v>0</v>
      </c>
      <c r="U1486">
        <f>COUNTIF(Customers!$A$2:$A$301,C1486)</f>
        <v>1</v>
      </c>
      <c r="V1486">
        <f t="shared" si="71"/>
        <v>0</v>
      </c>
    </row>
    <row r="1487" spans="1:22" ht="14.25" customHeight="1" x14ac:dyDescent="0.35">
      <c r="A1487" s="10" t="s">
        <v>1942</v>
      </c>
      <c r="B1487" s="11">
        <v>45550</v>
      </c>
      <c r="C1487" s="10" t="s">
        <v>263</v>
      </c>
      <c r="D1487" s="10" t="s">
        <v>328</v>
      </c>
      <c r="E1487" s="10" t="s">
        <v>75</v>
      </c>
      <c r="F1487" s="12">
        <v>7</v>
      </c>
      <c r="G1487" s="12">
        <v>5330</v>
      </c>
      <c r="H1487" s="12">
        <v>17.2</v>
      </c>
      <c r="I1487" s="12">
        <v>30892.68</v>
      </c>
      <c r="J1487" s="10" t="s">
        <v>104</v>
      </c>
      <c r="K1487" s="10" t="s">
        <v>97</v>
      </c>
      <c r="L1487" t="str">
        <f>IFERROR(VLOOKUP(D1487,Products!A:F,3,0),"")</f>
        <v>Electronics</v>
      </c>
      <c r="M1487" t="str">
        <f>IFERROR(VLOOKUP(E1487,Sales_Reps!A:E,3,0),"")</f>
        <v>West</v>
      </c>
      <c r="N1487" t="str">
        <f>IFERROR(VLOOKUP(C1487,Customers!A:F,5,0),"")</f>
        <v>Retail</v>
      </c>
      <c r="O1487">
        <f>IFERROR(VLOOKUP(C1487,Customers!A:F,3,0),"")</f>
        <v>29</v>
      </c>
      <c r="P1487">
        <f>IFERROR(VLOOKUP(D1487,Products!A:F,4,0),"")</f>
        <v>2405</v>
      </c>
      <c r="Q1487" t="b">
        <f>IFERROR(VLOOKUP(D1487,Products!A:F,6,0),"")</f>
        <v>1</v>
      </c>
      <c r="R1487">
        <f t="shared" si="69"/>
        <v>0.54878048780487809</v>
      </c>
      <c r="S1487">
        <f t="shared" si="70"/>
        <v>1</v>
      </c>
      <c r="T1487">
        <f>IF(AND(S1487&gt;1,COUNTIF($A$2:A1487,A1487)=1),1,0)</f>
        <v>0</v>
      </c>
      <c r="U1487">
        <f>COUNTIF(Customers!$A$2:$A$301,C1487)</f>
        <v>1</v>
      </c>
      <c r="V1487">
        <f t="shared" si="71"/>
        <v>0</v>
      </c>
    </row>
    <row r="1488" spans="1:22" ht="14.25" customHeight="1" x14ac:dyDescent="0.35">
      <c r="A1488" s="10" t="s">
        <v>1943</v>
      </c>
      <c r="B1488" s="11">
        <v>45511</v>
      </c>
      <c r="C1488" s="10" t="s">
        <v>117</v>
      </c>
      <c r="D1488" s="10" t="s">
        <v>466</v>
      </c>
      <c r="E1488" s="10" t="s">
        <v>289</v>
      </c>
      <c r="F1488" s="12">
        <v>4</v>
      </c>
      <c r="G1488" s="12">
        <v>1090</v>
      </c>
      <c r="H1488" s="12">
        <v>4.9000000000000004</v>
      </c>
      <c r="I1488" s="12">
        <v>4146.3599999999997</v>
      </c>
      <c r="J1488" s="10" t="s">
        <v>104</v>
      </c>
      <c r="K1488" s="10" t="s">
        <v>81</v>
      </c>
      <c r="L1488" t="str">
        <f>IFERROR(VLOOKUP(D1488,Products!A:F,3,0),"")</f>
        <v>Home</v>
      </c>
      <c r="M1488" t="str">
        <f>IFERROR(VLOOKUP(E1488,Sales_Reps!A:E,3,0),"")</f>
        <v>South</v>
      </c>
      <c r="N1488" t="str">
        <f>IFERROR(VLOOKUP(C1488,Customers!A:F,5,0),"")</f>
        <v>SMB</v>
      </c>
      <c r="O1488">
        <f>IFERROR(VLOOKUP(C1488,Customers!A:F,3,0),"")</f>
        <v>46</v>
      </c>
      <c r="P1488">
        <f>IFERROR(VLOOKUP(D1488,Products!A:F,4,0),"")</f>
        <v>464</v>
      </c>
      <c r="Q1488" t="b">
        <f>IFERROR(VLOOKUP(D1488,Products!A:F,6,0),"")</f>
        <v>1</v>
      </c>
      <c r="R1488">
        <f t="shared" si="69"/>
        <v>0.57431192660550456</v>
      </c>
      <c r="S1488">
        <f t="shared" si="70"/>
        <v>1</v>
      </c>
      <c r="T1488">
        <f>IF(AND(S1488&gt;1,COUNTIF($A$2:A1488,A1488)=1),1,0)</f>
        <v>0</v>
      </c>
      <c r="U1488">
        <f>COUNTIF(Customers!$A$2:$A$301,C1488)</f>
        <v>1</v>
      </c>
      <c r="V1488">
        <f t="shared" si="71"/>
        <v>0</v>
      </c>
    </row>
    <row r="1489" spans="1:22" ht="14.25" customHeight="1" x14ac:dyDescent="0.35">
      <c r="A1489" s="10" t="s">
        <v>1944</v>
      </c>
      <c r="B1489" s="11">
        <v>45456</v>
      </c>
      <c r="C1489" s="10" t="s">
        <v>404</v>
      </c>
      <c r="D1489" s="10" t="s">
        <v>146</v>
      </c>
      <c r="E1489" s="10" t="s">
        <v>168</v>
      </c>
      <c r="F1489" s="12">
        <v>2</v>
      </c>
      <c r="G1489" s="12">
        <v>1010</v>
      </c>
      <c r="H1489" s="12">
        <v>14</v>
      </c>
      <c r="I1489" s="12">
        <v>1737.2</v>
      </c>
      <c r="J1489" s="10" t="s">
        <v>51</v>
      </c>
      <c r="K1489" s="10" t="s">
        <v>52</v>
      </c>
      <c r="L1489" t="str">
        <f>IFERROR(VLOOKUP(D1489,Products!A:F,3,0),"")</f>
        <v>Sports</v>
      </c>
      <c r="M1489" t="str">
        <f>IFERROR(VLOOKUP(E1489,Sales_Reps!A:E,3,0),"")</f>
        <v>South</v>
      </c>
      <c r="N1489" t="str">
        <f>IFERROR(VLOOKUP(C1489,Customers!A:F,5,0),"")</f>
        <v>SMB</v>
      </c>
      <c r="O1489">
        <f>IFERROR(VLOOKUP(C1489,Customers!A:F,3,0),"")</f>
        <v>30</v>
      </c>
      <c r="P1489">
        <f>IFERROR(VLOOKUP(D1489,Products!A:F,4,0),"")</f>
        <v>516</v>
      </c>
      <c r="Q1489" t="b">
        <f>IFERROR(VLOOKUP(D1489,Products!A:F,6,0),"")</f>
        <v>1</v>
      </c>
      <c r="R1489">
        <f t="shared" si="69"/>
        <v>0.4891089108910891</v>
      </c>
      <c r="S1489">
        <f t="shared" si="70"/>
        <v>1</v>
      </c>
      <c r="T1489">
        <f>IF(AND(S1489&gt;1,COUNTIF($A$2:A1489,A1489)=1),1,0)</f>
        <v>0</v>
      </c>
      <c r="U1489">
        <f>COUNTIF(Customers!$A$2:$A$301,C1489)</f>
        <v>1</v>
      </c>
      <c r="V1489">
        <f t="shared" si="71"/>
        <v>0</v>
      </c>
    </row>
    <row r="1490" spans="1:22" ht="14.25" customHeight="1" x14ac:dyDescent="0.35">
      <c r="A1490" s="10" t="s">
        <v>1945</v>
      </c>
      <c r="B1490" s="11">
        <v>45343</v>
      </c>
      <c r="C1490" s="10" t="s">
        <v>572</v>
      </c>
      <c r="D1490" s="10" t="s">
        <v>212</v>
      </c>
      <c r="E1490" s="10" t="s">
        <v>310</v>
      </c>
      <c r="F1490" s="12">
        <v>9</v>
      </c>
      <c r="G1490" s="12">
        <v>3870</v>
      </c>
      <c r="H1490" s="12">
        <v>8.1999999999999993</v>
      </c>
      <c r="I1490" s="12">
        <v>31973.94</v>
      </c>
      <c r="J1490" s="10" t="s">
        <v>51</v>
      </c>
      <c r="K1490" s="10" t="s">
        <v>750</v>
      </c>
      <c r="L1490" t="str">
        <f>IFERROR(VLOOKUP(D1490,Products!A:F,3,0),"")</f>
        <v>Electronics</v>
      </c>
      <c r="M1490" t="str">
        <f>IFERROR(VLOOKUP(E1490,Sales_Reps!A:E,3,0),"")</f>
        <v>South</v>
      </c>
      <c r="N1490" t="str">
        <f>IFERROR(VLOOKUP(C1490,Customers!A:F,5,0),"")</f>
        <v>Corporate</v>
      </c>
      <c r="O1490">
        <f>IFERROR(VLOOKUP(C1490,Customers!A:F,3,0),"")</f>
        <v>40</v>
      </c>
      <c r="P1490">
        <f>IFERROR(VLOOKUP(D1490,Products!A:F,4,0),"")</f>
        <v>1559</v>
      </c>
      <c r="Q1490" t="b">
        <f>IFERROR(VLOOKUP(D1490,Products!A:F,6,0),"")</f>
        <v>1</v>
      </c>
      <c r="R1490">
        <f t="shared" si="69"/>
        <v>0.59715762273901807</v>
      </c>
      <c r="S1490">
        <f t="shared" si="70"/>
        <v>1</v>
      </c>
      <c r="T1490">
        <f>IF(AND(S1490&gt;1,COUNTIF($A$2:A1490,A1490)=1),1,0)</f>
        <v>0</v>
      </c>
      <c r="U1490">
        <f>COUNTIF(Customers!$A$2:$A$301,C1490)</f>
        <v>1</v>
      </c>
      <c r="V1490">
        <f t="shared" si="71"/>
        <v>0</v>
      </c>
    </row>
    <row r="1491" spans="1:22" ht="14.25" customHeight="1" x14ac:dyDescent="0.35">
      <c r="A1491" s="10" t="s">
        <v>1946</v>
      </c>
      <c r="B1491" s="11">
        <v>45491</v>
      </c>
      <c r="C1491" s="10" t="s">
        <v>1011</v>
      </c>
      <c r="D1491" s="10" t="s">
        <v>243</v>
      </c>
      <c r="E1491" s="10" t="s">
        <v>216</v>
      </c>
      <c r="F1491" s="12">
        <v>7</v>
      </c>
      <c r="G1491" s="12">
        <v>2660</v>
      </c>
      <c r="H1491" s="12">
        <v>15.9</v>
      </c>
      <c r="I1491" s="12">
        <v>15659.42</v>
      </c>
      <c r="J1491" s="10" t="s">
        <v>51</v>
      </c>
      <c r="K1491" s="10" t="s">
        <v>97</v>
      </c>
      <c r="L1491" t="str">
        <f>IFERROR(VLOOKUP(D1491,Products!A:F,3,0),"")</f>
        <v>Electronics</v>
      </c>
      <c r="M1491" t="str">
        <f>IFERROR(VLOOKUP(E1491,Sales_Reps!A:E,3,0),"")</f>
        <v>South</v>
      </c>
      <c r="N1491" t="str">
        <f>IFERROR(VLOOKUP(C1491,Customers!A:F,5,0),"")</f>
        <v>Retail</v>
      </c>
      <c r="O1491">
        <f>IFERROR(VLOOKUP(C1491,Customers!A:F,3,0),"")</f>
        <v>41</v>
      </c>
      <c r="P1491">
        <f>IFERROR(VLOOKUP(D1491,Products!A:F,4,0),"")</f>
        <v>1259</v>
      </c>
      <c r="Q1491" t="b">
        <f>IFERROR(VLOOKUP(D1491,Products!A:F,6,0),"")</f>
        <v>0</v>
      </c>
      <c r="R1491">
        <f t="shared" si="69"/>
        <v>0.52669172932330832</v>
      </c>
      <c r="S1491">
        <f t="shared" si="70"/>
        <v>1</v>
      </c>
      <c r="T1491">
        <f>IF(AND(S1491&gt;1,COUNTIF($A$2:A1491,A1491)=1),1,0)</f>
        <v>0</v>
      </c>
      <c r="U1491">
        <f>COUNTIF(Customers!$A$2:$A$301,C1491)</f>
        <v>1</v>
      </c>
      <c r="V1491">
        <f t="shared" si="71"/>
        <v>0</v>
      </c>
    </row>
    <row r="1492" spans="1:22" ht="14.25" customHeight="1" x14ac:dyDescent="0.35">
      <c r="A1492" s="10" t="s">
        <v>1947</v>
      </c>
      <c r="B1492" s="11">
        <v>45619</v>
      </c>
      <c r="C1492" s="10" t="s">
        <v>488</v>
      </c>
      <c r="D1492" s="10" t="s">
        <v>84</v>
      </c>
      <c r="E1492" s="10" t="s">
        <v>85</v>
      </c>
      <c r="F1492" s="12">
        <v>4</v>
      </c>
      <c r="G1492" s="12">
        <v>1430</v>
      </c>
      <c r="H1492" s="12">
        <v>25.6</v>
      </c>
      <c r="I1492" s="12">
        <v>4255.68</v>
      </c>
      <c r="J1492" s="10" t="s">
        <v>51</v>
      </c>
      <c r="K1492" s="10" t="s">
        <v>76</v>
      </c>
      <c r="L1492" t="str">
        <f>IFERROR(VLOOKUP(D1492,Products!A:F,3,0),"")</f>
        <v>Electronics</v>
      </c>
      <c r="M1492" t="str">
        <f>IFERROR(VLOOKUP(E1492,Sales_Reps!A:E,3,0),"")</f>
        <v>East</v>
      </c>
      <c r="N1492" t="str">
        <f>IFERROR(VLOOKUP(C1492,Customers!A:F,5,0),"")</f>
        <v>Corporate</v>
      </c>
      <c r="O1492">
        <f>IFERROR(VLOOKUP(C1492,Customers!A:F,3,0),"")</f>
        <v>55</v>
      </c>
      <c r="P1492">
        <f>IFERROR(VLOOKUP(D1492,Products!A:F,4,0),"")</f>
        <v>861</v>
      </c>
      <c r="Q1492" t="b">
        <f>IFERROR(VLOOKUP(D1492,Products!A:F,6,0),"")</f>
        <v>1</v>
      </c>
      <c r="R1492">
        <f t="shared" si="69"/>
        <v>0.39790209790209791</v>
      </c>
      <c r="S1492">
        <f t="shared" si="70"/>
        <v>1</v>
      </c>
      <c r="T1492">
        <f>IF(AND(S1492&gt;1,COUNTIF($A$2:A1492,A1492)=1),1,0)</f>
        <v>0</v>
      </c>
      <c r="U1492">
        <f>COUNTIF(Customers!$A$2:$A$301,C1492)</f>
        <v>1</v>
      </c>
      <c r="V1492">
        <f t="shared" si="71"/>
        <v>0</v>
      </c>
    </row>
    <row r="1493" spans="1:22" ht="14.25" customHeight="1" x14ac:dyDescent="0.35">
      <c r="A1493" s="10" t="s">
        <v>1948</v>
      </c>
      <c r="B1493" s="11">
        <v>45374</v>
      </c>
      <c r="C1493" s="10" t="s">
        <v>468</v>
      </c>
      <c r="D1493" s="10" t="s">
        <v>148</v>
      </c>
      <c r="E1493" s="10" t="s">
        <v>118</v>
      </c>
      <c r="F1493" s="12">
        <v>4</v>
      </c>
      <c r="G1493" s="12">
        <v>4880</v>
      </c>
      <c r="H1493" s="12">
        <v>19.399999999999999</v>
      </c>
      <c r="I1493" s="12">
        <v>15733.12</v>
      </c>
      <c r="J1493" s="10" t="s">
        <v>104</v>
      </c>
      <c r="K1493" s="10" t="s">
        <v>81</v>
      </c>
      <c r="L1493" t="str">
        <f>IFERROR(VLOOKUP(D1493,Products!A:F,3,0),"")</f>
        <v>Beauty</v>
      </c>
      <c r="M1493" t="str">
        <f>IFERROR(VLOOKUP(E1493,Sales_Reps!A:E,3,0),"")</f>
        <v>East</v>
      </c>
      <c r="N1493" t="str">
        <f>IFERROR(VLOOKUP(C1493,Customers!A:F,5,0),"")</f>
        <v>Corporate</v>
      </c>
      <c r="O1493">
        <f>IFERROR(VLOOKUP(C1493,Customers!A:F,3,0),"")</f>
        <v>36</v>
      </c>
      <c r="P1493">
        <f>IFERROR(VLOOKUP(D1493,Products!A:F,4,0),"")</f>
        <v>2768</v>
      </c>
      <c r="Q1493" t="b">
        <f>IFERROR(VLOOKUP(D1493,Products!A:F,6,0),"")</f>
        <v>1</v>
      </c>
      <c r="R1493">
        <f t="shared" si="69"/>
        <v>0.43278688524590164</v>
      </c>
      <c r="S1493">
        <f t="shared" si="70"/>
        <v>1</v>
      </c>
      <c r="T1493">
        <f>IF(AND(S1493&gt;1,COUNTIF($A$2:A1493,A1493)=1),1,0)</f>
        <v>0</v>
      </c>
      <c r="U1493">
        <f>COUNTIF(Customers!$A$2:$A$301,C1493)</f>
        <v>1</v>
      </c>
      <c r="V1493">
        <f t="shared" si="71"/>
        <v>0</v>
      </c>
    </row>
    <row r="1494" spans="1:22" ht="14.25" customHeight="1" x14ac:dyDescent="0.35">
      <c r="A1494" s="10" t="s">
        <v>1949</v>
      </c>
      <c r="B1494" s="11">
        <v>45566</v>
      </c>
      <c r="C1494" s="10" t="s">
        <v>427</v>
      </c>
      <c r="D1494" s="10" t="s">
        <v>111</v>
      </c>
      <c r="E1494" s="10" t="s">
        <v>179</v>
      </c>
      <c r="F1494" s="12">
        <v>2</v>
      </c>
      <c r="G1494" s="12">
        <v>190</v>
      </c>
      <c r="H1494" s="12">
        <v>9</v>
      </c>
      <c r="I1494" s="12">
        <v>345.8</v>
      </c>
      <c r="J1494" s="10" t="s">
        <v>51</v>
      </c>
      <c r="K1494" s="10" t="s">
        <v>81</v>
      </c>
      <c r="L1494" t="str">
        <f>IFERROR(VLOOKUP(D1494,Products!A:F,3,0),"")</f>
        <v>Sports</v>
      </c>
      <c r="M1494" t="str">
        <f>IFERROR(VLOOKUP(E1494,Sales_Reps!A:E,3,0),"")</f>
        <v>North</v>
      </c>
      <c r="N1494" t="str">
        <f>IFERROR(VLOOKUP(C1494,Customers!A:F,5,0),"")</f>
        <v>Retail</v>
      </c>
      <c r="O1494">
        <f>IFERROR(VLOOKUP(C1494,Customers!A:F,3,0),"")</f>
        <v>55</v>
      </c>
      <c r="P1494">
        <f>IFERROR(VLOOKUP(D1494,Products!A:F,4,0),"")</f>
        <v>147</v>
      </c>
      <c r="Q1494" t="b">
        <f>IFERROR(VLOOKUP(D1494,Products!A:F,6,0),"")</f>
        <v>1</v>
      </c>
      <c r="R1494">
        <f t="shared" si="69"/>
        <v>0.22631578947368422</v>
      </c>
      <c r="S1494">
        <f t="shared" si="70"/>
        <v>1</v>
      </c>
      <c r="T1494">
        <f>IF(AND(S1494&gt;1,COUNTIF($A$2:A1494,A1494)=1),1,0)</f>
        <v>0</v>
      </c>
      <c r="U1494">
        <f>COUNTIF(Customers!$A$2:$A$301,C1494)</f>
        <v>1</v>
      </c>
      <c r="V1494">
        <f t="shared" si="71"/>
        <v>0</v>
      </c>
    </row>
    <row r="1495" spans="1:22" ht="14.25" customHeight="1" x14ac:dyDescent="0.35">
      <c r="A1495" s="10" t="s">
        <v>1950</v>
      </c>
      <c r="B1495" s="11">
        <v>45415</v>
      </c>
      <c r="C1495" s="10" t="s">
        <v>398</v>
      </c>
      <c r="D1495" s="10" t="s">
        <v>240</v>
      </c>
      <c r="E1495" s="10" t="s">
        <v>85</v>
      </c>
      <c r="F1495" s="12">
        <v>1</v>
      </c>
      <c r="G1495" s="12">
        <v>3020</v>
      </c>
      <c r="H1495" s="12">
        <v>3.6</v>
      </c>
      <c r="I1495" s="12">
        <v>2911.28</v>
      </c>
      <c r="J1495" s="10" t="s">
        <v>108</v>
      </c>
      <c r="K1495" s="10" t="s">
        <v>63</v>
      </c>
      <c r="L1495" t="str">
        <f>IFERROR(VLOOKUP(D1495,Products!A:F,3,0),"")</f>
        <v>Beauty</v>
      </c>
      <c r="M1495" t="str">
        <f>IFERROR(VLOOKUP(E1495,Sales_Reps!A:E,3,0),"")</f>
        <v>East</v>
      </c>
      <c r="N1495" t="str">
        <f>IFERROR(VLOOKUP(C1495,Customers!A:F,5,0),"")</f>
        <v>Corporate</v>
      </c>
      <c r="O1495">
        <f>IFERROR(VLOOKUP(C1495,Customers!A:F,3,0),"")</f>
        <v>31</v>
      </c>
      <c r="P1495">
        <f>IFERROR(VLOOKUP(D1495,Products!A:F,4,0),"")</f>
        <v>1626</v>
      </c>
      <c r="Q1495" t="b">
        <f>IFERROR(VLOOKUP(D1495,Products!A:F,6,0),"")</f>
        <v>1</v>
      </c>
      <c r="R1495">
        <f t="shared" si="69"/>
        <v>0.46158940397350995</v>
      </c>
      <c r="S1495">
        <f t="shared" si="70"/>
        <v>1</v>
      </c>
      <c r="T1495">
        <f>IF(AND(S1495&gt;1,COUNTIF($A$2:A1495,A1495)=1),1,0)</f>
        <v>0</v>
      </c>
      <c r="U1495">
        <f>COUNTIF(Customers!$A$2:$A$301,C1495)</f>
        <v>1</v>
      </c>
      <c r="V1495">
        <f t="shared" si="71"/>
        <v>0</v>
      </c>
    </row>
    <row r="1496" spans="1:22" ht="14.25" customHeight="1" x14ac:dyDescent="0.35">
      <c r="A1496" s="10" t="s">
        <v>1951</v>
      </c>
      <c r="B1496" s="11">
        <v>45601</v>
      </c>
      <c r="C1496" s="10" t="s">
        <v>83</v>
      </c>
      <c r="D1496" s="10" t="s">
        <v>148</v>
      </c>
      <c r="E1496" s="10" t="s">
        <v>85</v>
      </c>
      <c r="F1496" s="12">
        <v>2</v>
      </c>
      <c r="G1496" s="12">
        <v>4880</v>
      </c>
      <c r="H1496" s="12">
        <v>2</v>
      </c>
      <c r="I1496" s="12">
        <v>9564.7999999999993</v>
      </c>
      <c r="J1496" s="10" t="s">
        <v>104</v>
      </c>
      <c r="K1496" s="10" t="s">
        <v>81</v>
      </c>
      <c r="L1496" t="str">
        <f>IFERROR(VLOOKUP(D1496,Products!A:F,3,0),"")</f>
        <v>Beauty</v>
      </c>
      <c r="M1496" t="str">
        <f>IFERROR(VLOOKUP(E1496,Sales_Reps!A:E,3,0),"")</f>
        <v>East</v>
      </c>
      <c r="N1496" t="str">
        <f>IFERROR(VLOOKUP(C1496,Customers!A:F,5,0),"")</f>
        <v>Corporate</v>
      </c>
      <c r="O1496">
        <f>IFERROR(VLOOKUP(C1496,Customers!A:F,3,0),"")</f>
        <v>57</v>
      </c>
      <c r="P1496">
        <f>IFERROR(VLOOKUP(D1496,Products!A:F,4,0),"")</f>
        <v>2768</v>
      </c>
      <c r="Q1496" t="b">
        <f>IFERROR(VLOOKUP(D1496,Products!A:F,6,0),"")</f>
        <v>1</v>
      </c>
      <c r="R1496">
        <f t="shared" si="69"/>
        <v>0.43278688524590164</v>
      </c>
      <c r="S1496">
        <f t="shared" si="70"/>
        <v>1</v>
      </c>
      <c r="T1496">
        <f>IF(AND(S1496&gt;1,COUNTIF($A$2:A1496,A1496)=1),1,0)</f>
        <v>0</v>
      </c>
      <c r="U1496">
        <f>COUNTIF(Customers!$A$2:$A$301,C1496)</f>
        <v>1</v>
      </c>
      <c r="V1496">
        <f t="shared" si="71"/>
        <v>0</v>
      </c>
    </row>
    <row r="1497" spans="1:22" ht="14.25" customHeight="1" x14ac:dyDescent="0.35">
      <c r="A1497" s="10" t="s">
        <v>1952</v>
      </c>
      <c r="B1497" s="11">
        <v>45319</v>
      </c>
      <c r="C1497" s="10" t="s">
        <v>805</v>
      </c>
      <c r="D1497" s="10" t="s">
        <v>115</v>
      </c>
      <c r="E1497" s="10" t="s">
        <v>307</v>
      </c>
      <c r="F1497" s="12">
        <v>4</v>
      </c>
      <c r="G1497" s="12">
        <v>2400</v>
      </c>
      <c r="H1497" s="12">
        <v>11.5</v>
      </c>
      <c r="I1497" s="12">
        <v>8496</v>
      </c>
      <c r="J1497" s="10" t="s">
        <v>51</v>
      </c>
      <c r="K1497" s="10" t="s">
        <v>81</v>
      </c>
      <c r="L1497" t="str">
        <f>IFERROR(VLOOKUP(D1497,Products!A:F,3,0),"")</f>
        <v>Sports</v>
      </c>
      <c r="M1497" t="str">
        <f>IFERROR(VLOOKUP(E1497,Sales_Reps!A:E,3,0),"")</f>
        <v>West</v>
      </c>
      <c r="N1497" t="str">
        <f>IFERROR(VLOOKUP(C1497,Customers!A:F,5,0),"")</f>
        <v>Corporate</v>
      </c>
      <c r="O1497">
        <f>IFERROR(VLOOKUP(C1497,Customers!A:F,3,0),"")</f>
        <v>41</v>
      </c>
      <c r="P1497">
        <f>IFERROR(VLOOKUP(D1497,Products!A:F,4,0),"")</f>
        <v>974</v>
      </c>
      <c r="Q1497" t="b">
        <f>IFERROR(VLOOKUP(D1497,Products!A:F,6,0),"")</f>
        <v>1</v>
      </c>
      <c r="R1497">
        <f t="shared" si="69"/>
        <v>0.59416666666666662</v>
      </c>
      <c r="S1497">
        <f t="shared" si="70"/>
        <v>1</v>
      </c>
      <c r="T1497">
        <f>IF(AND(S1497&gt;1,COUNTIF($A$2:A1497,A1497)=1),1,0)</f>
        <v>0</v>
      </c>
      <c r="U1497">
        <f>COUNTIF(Customers!$A$2:$A$301,C1497)</f>
        <v>1</v>
      </c>
      <c r="V1497">
        <f t="shared" si="71"/>
        <v>0</v>
      </c>
    </row>
    <row r="1498" spans="1:22" ht="14.25" customHeight="1" x14ac:dyDescent="0.35">
      <c r="A1498" s="10" t="s">
        <v>1953</v>
      </c>
      <c r="B1498" s="11">
        <v>45357</v>
      </c>
      <c r="C1498" s="10" t="s">
        <v>521</v>
      </c>
      <c r="D1498" s="10" t="s">
        <v>205</v>
      </c>
      <c r="E1498" s="10" t="s">
        <v>261</v>
      </c>
      <c r="F1498" s="12">
        <v>2</v>
      </c>
      <c r="G1498" s="12">
        <v>6080</v>
      </c>
      <c r="H1498" s="12">
        <v>0.5</v>
      </c>
      <c r="I1498" s="12">
        <v>12099.2</v>
      </c>
      <c r="J1498" s="10" t="s">
        <v>104</v>
      </c>
      <c r="K1498" s="10" t="s">
        <v>76</v>
      </c>
      <c r="L1498" t="str">
        <f>IFERROR(VLOOKUP(D1498,Products!A:F,3,0),"")</f>
        <v>Beauty</v>
      </c>
      <c r="M1498" t="str">
        <f>IFERROR(VLOOKUP(E1498,Sales_Reps!A:E,3,0),"")</f>
        <v>North</v>
      </c>
      <c r="N1498" t="str">
        <f>IFERROR(VLOOKUP(C1498,Customers!A:F,5,0),"")</f>
        <v>Retail</v>
      </c>
      <c r="O1498">
        <f>IFERROR(VLOOKUP(C1498,Customers!A:F,3,0),"")</f>
        <v>65</v>
      </c>
      <c r="P1498">
        <f>IFERROR(VLOOKUP(D1498,Products!A:F,4,0),"")</f>
        <v>2617</v>
      </c>
      <c r="Q1498" t="b">
        <f>IFERROR(VLOOKUP(D1498,Products!A:F,6,0),"")</f>
        <v>1</v>
      </c>
      <c r="R1498">
        <f t="shared" si="69"/>
        <v>0.56957236842105263</v>
      </c>
      <c r="S1498">
        <f t="shared" si="70"/>
        <v>1</v>
      </c>
      <c r="T1498">
        <f>IF(AND(S1498&gt;1,COUNTIF($A$2:A1498,A1498)=1),1,0)</f>
        <v>0</v>
      </c>
      <c r="U1498">
        <f>COUNTIF(Customers!$A$2:$A$301,C1498)</f>
        <v>1</v>
      </c>
      <c r="V1498">
        <f t="shared" si="71"/>
        <v>0</v>
      </c>
    </row>
    <row r="1499" spans="1:22" ht="14.25" customHeight="1" x14ac:dyDescent="0.35">
      <c r="A1499" s="10" t="s">
        <v>1954</v>
      </c>
      <c r="B1499" s="11">
        <v>45384</v>
      </c>
      <c r="C1499" s="10" t="s">
        <v>787</v>
      </c>
      <c r="D1499" s="10" t="s">
        <v>331</v>
      </c>
      <c r="E1499" s="10" t="s">
        <v>118</v>
      </c>
      <c r="F1499" s="12">
        <v>7</v>
      </c>
      <c r="G1499" s="12">
        <v>2380</v>
      </c>
      <c r="H1499" s="12">
        <v>12.3</v>
      </c>
      <c r="I1499" s="12">
        <v>14610.82</v>
      </c>
      <c r="J1499" s="10" t="s">
        <v>51</v>
      </c>
      <c r="K1499" s="10" t="s">
        <v>58</v>
      </c>
      <c r="L1499" t="str">
        <f>IFERROR(VLOOKUP(D1499,Products!A:F,3,0),"")</f>
        <v>Grocery</v>
      </c>
      <c r="M1499" t="str">
        <f>IFERROR(VLOOKUP(E1499,Sales_Reps!A:E,3,0),"")</f>
        <v>East</v>
      </c>
      <c r="N1499" t="str">
        <f>IFERROR(VLOOKUP(C1499,Customers!A:F,5,0),"")</f>
        <v>Retail</v>
      </c>
      <c r="O1499">
        <f>IFERROR(VLOOKUP(C1499,Customers!A:F,3,0),"")</f>
        <v>32</v>
      </c>
      <c r="P1499">
        <f>IFERROR(VLOOKUP(D1499,Products!A:F,4,0),"")</f>
        <v>1182</v>
      </c>
      <c r="Q1499" t="b">
        <f>IFERROR(VLOOKUP(D1499,Products!A:F,6,0),"")</f>
        <v>1</v>
      </c>
      <c r="R1499">
        <f t="shared" si="69"/>
        <v>0.50336134453781511</v>
      </c>
      <c r="S1499">
        <f t="shared" si="70"/>
        <v>1</v>
      </c>
      <c r="T1499">
        <f>IF(AND(S1499&gt;1,COUNTIF($A$2:A1499,A1499)=1),1,0)</f>
        <v>0</v>
      </c>
      <c r="U1499">
        <f>COUNTIF(Customers!$A$2:$A$301,C1499)</f>
        <v>1</v>
      </c>
      <c r="V1499">
        <f t="shared" si="71"/>
        <v>0</v>
      </c>
    </row>
    <row r="1500" spans="1:22" ht="14.25" customHeight="1" x14ac:dyDescent="0.35">
      <c r="A1500" s="10" t="s">
        <v>1955</v>
      </c>
      <c r="B1500" s="11">
        <v>45509</v>
      </c>
      <c r="C1500" s="10" t="s">
        <v>333</v>
      </c>
      <c r="D1500" s="10" t="s">
        <v>223</v>
      </c>
      <c r="E1500" s="10" t="s">
        <v>179</v>
      </c>
      <c r="F1500" s="12">
        <v>10</v>
      </c>
      <c r="G1500" s="12">
        <v>1540</v>
      </c>
      <c r="H1500" s="12">
        <v>20.6</v>
      </c>
      <c r="I1500" s="12">
        <v>12227.6</v>
      </c>
      <c r="J1500" s="10" t="s">
        <v>51</v>
      </c>
      <c r="K1500" s="10" t="s">
        <v>58</v>
      </c>
      <c r="L1500" t="str">
        <f>IFERROR(VLOOKUP(D1500,Products!A:F,3,0),"")</f>
        <v>Beauty</v>
      </c>
      <c r="M1500" t="str">
        <f>IFERROR(VLOOKUP(E1500,Sales_Reps!A:E,3,0),"")</f>
        <v>North</v>
      </c>
      <c r="N1500" t="str">
        <f>IFERROR(VLOOKUP(C1500,Customers!A:F,5,0),"")</f>
        <v>SMB</v>
      </c>
      <c r="O1500">
        <f>IFERROR(VLOOKUP(C1500,Customers!A:F,3,0),"")</f>
        <v>62</v>
      </c>
      <c r="P1500">
        <f>IFERROR(VLOOKUP(D1500,Products!A:F,4,0),"")</f>
        <v>647</v>
      </c>
      <c r="Q1500" t="b">
        <f>IFERROR(VLOOKUP(D1500,Products!A:F,6,0),"")</f>
        <v>0</v>
      </c>
      <c r="R1500">
        <f t="shared" si="69"/>
        <v>0.57987012987012987</v>
      </c>
      <c r="S1500">
        <f t="shared" si="70"/>
        <v>1</v>
      </c>
      <c r="T1500">
        <f>IF(AND(S1500&gt;1,COUNTIF($A$2:A1500,A1500)=1),1,0)</f>
        <v>0</v>
      </c>
      <c r="U1500">
        <f>COUNTIF(Customers!$A$2:$A$301,C1500)</f>
        <v>1</v>
      </c>
      <c r="V1500">
        <f t="shared" si="71"/>
        <v>0</v>
      </c>
    </row>
    <row r="1501" spans="1:22" ht="14.25" customHeight="1" x14ac:dyDescent="0.35">
      <c r="A1501" s="10" t="s">
        <v>1956</v>
      </c>
      <c r="B1501" s="11">
        <v>45520</v>
      </c>
      <c r="C1501" s="10" t="s">
        <v>127</v>
      </c>
      <c r="D1501" s="10" t="s">
        <v>212</v>
      </c>
      <c r="E1501" s="10" t="s">
        <v>92</v>
      </c>
      <c r="F1501" s="12">
        <v>7</v>
      </c>
      <c r="G1501" s="12">
        <v>3870</v>
      </c>
      <c r="H1501" s="12">
        <v>6.1</v>
      </c>
      <c r="I1501" s="12">
        <v>25437.51</v>
      </c>
      <c r="J1501" s="10" t="s">
        <v>51</v>
      </c>
      <c r="K1501" s="10" t="s">
        <v>58</v>
      </c>
      <c r="L1501" t="str">
        <f>IFERROR(VLOOKUP(D1501,Products!A:F,3,0),"")</f>
        <v>Electronics</v>
      </c>
      <c r="M1501" t="str">
        <f>IFERROR(VLOOKUP(E1501,Sales_Reps!A:E,3,0),"")</f>
        <v>West</v>
      </c>
      <c r="N1501" t="str">
        <f>IFERROR(VLOOKUP(C1501,Customers!A:F,5,0),"")</f>
        <v>Retail</v>
      </c>
      <c r="O1501">
        <f>IFERROR(VLOOKUP(C1501,Customers!A:F,3,0),"")</f>
        <v>49</v>
      </c>
      <c r="P1501">
        <f>IFERROR(VLOOKUP(D1501,Products!A:F,4,0),"")</f>
        <v>1559</v>
      </c>
      <c r="Q1501" t="b">
        <f>IFERROR(VLOOKUP(D1501,Products!A:F,6,0),"")</f>
        <v>1</v>
      </c>
      <c r="R1501">
        <f t="shared" si="69"/>
        <v>0.59715762273901807</v>
      </c>
      <c r="S1501">
        <f t="shared" si="70"/>
        <v>1</v>
      </c>
      <c r="T1501">
        <f>IF(AND(S1501&gt;1,COUNTIF($A$2:A1501,A1501)=1),1,0)</f>
        <v>0</v>
      </c>
      <c r="U1501">
        <f>COUNTIF(Customers!$A$2:$A$301,C1501)</f>
        <v>1</v>
      </c>
      <c r="V1501">
        <f t="shared" si="71"/>
        <v>0</v>
      </c>
    </row>
    <row r="1502" spans="1:22" ht="14.25" customHeight="1" x14ac:dyDescent="0.35">
      <c r="A1502" s="10" t="s">
        <v>1957</v>
      </c>
      <c r="B1502" s="11">
        <v>45383</v>
      </c>
      <c r="C1502" s="10" t="s">
        <v>544</v>
      </c>
      <c r="D1502" s="10" t="s">
        <v>74</v>
      </c>
      <c r="E1502" s="10" t="s">
        <v>122</v>
      </c>
      <c r="F1502" s="12">
        <v>3</v>
      </c>
      <c r="G1502" s="12">
        <v>370</v>
      </c>
      <c r="H1502" s="12">
        <v>13.7</v>
      </c>
      <c r="I1502" s="12">
        <v>957.93</v>
      </c>
      <c r="J1502" s="10" t="s">
        <v>51</v>
      </c>
      <c r="K1502" s="10" t="s">
        <v>52</v>
      </c>
      <c r="L1502" t="str">
        <f>IFERROR(VLOOKUP(D1502,Products!A:F,3,0),"")</f>
        <v>Home</v>
      </c>
      <c r="M1502" t="str">
        <f>IFERROR(VLOOKUP(E1502,Sales_Reps!A:E,3,0),"")</f>
        <v>East</v>
      </c>
      <c r="N1502" t="str">
        <f>IFERROR(VLOOKUP(C1502,Customers!A:F,5,0),"")</f>
        <v>Corporate</v>
      </c>
      <c r="O1502">
        <f>IFERROR(VLOOKUP(C1502,Customers!A:F,3,0),"")</f>
        <v>40</v>
      </c>
      <c r="P1502">
        <f>IFERROR(VLOOKUP(D1502,Products!A:F,4,0),"")</f>
        <v>288</v>
      </c>
      <c r="Q1502" t="b">
        <f>IFERROR(VLOOKUP(D1502,Products!A:F,6,0),"")</f>
        <v>1</v>
      </c>
      <c r="R1502">
        <f t="shared" si="69"/>
        <v>0.22162162162162163</v>
      </c>
      <c r="S1502">
        <f t="shared" si="70"/>
        <v>1</v>
      </c>
      <c r="T1502">
        <f>IF(AND(S1502&gt;1,COUNTIF($A$2:A1502,A1502)=1),1,0)</f>
        <v>0</v>
      </c>
      <c r="U1502">
        <f>COUNTIF(Customers!$A$2:$A$301,C1502)</f>
        <v>1</v>
      </c>
      <c r="V1502">
        <f t="shared" si="71"/>
        <v>0</v>
      </c>
    </row>
    <row r="1503" spans="1:22" ht="14.25" customHeight="1" x14ac:dyDescent="0.35">
      <c r="A1503" s="10" t="s">
        <v>1958</v>
      </c>
      <c r="B1503" s="11">
        <v>45328</v>
      </c>
      <c r="C1503" s="10" t="s">
        <v>335</v>
      </c>
      <c r="D1503" s="10" t="s">
        <v>111</v>
      </c>
      <c r="E1503" s="10" t="s">
        <v>307</v>
      </c>
      <c r="F1503" s="12">
        <v>8</v>
      </c>
      <c r="G1503" s="12">
        <v>190</v>
      </c>
      <c r="H1503" s="12">
        <v>0.2</v>
      </c>
      <c r="I1503" s="12">
        <v>1516.96</v>
      </c>
      <c r="J1503" s="10" t="s">
        <v>51</v>
      </c>
      <c r="K1503" s="10" t="s">
        <v>76</v>
      </c>
      <c r="L1503" t="str">
        <f>IFERROR(VLOOKUP(D1503,Products!A:F,3,0),"")</f>
        <v>Sports</v>
      </c>
      <c r="M1503" t="str">
        <f>IFERROR(VLOOKUP(E1503,Sales_Reps!A:E,3,0),"")</f>
        <v>West</v>
      </c>
      <c r="N1503" t="str">
        <f>IFERROR(VLOOKUP(C1503,Customers!A:F,5,0),"")</f>
        <v>Retail</v>
      </c>
      <c r="O1503">
        <f>IFERROR(VLOOKUP(C1503,Customers!A:F,3,0),"")</f>
        <v>42</v>
      </c>
      <c r="P1503">
        <f>IFERROR(VLOOKUP(D1503,Products!A:F,4,0),"")</f>
        <v>147</v>
      </c>
      <c r="Q1503" t="b">
        <f>IFERROR(VLOOKUP(D1503,Products!A:F,6,0),"")</f>
        <v>1</v>
      </c>
      <c r="R1503">
        <f t="shared" si="69"/>
        <v>0.22631578947368422</v>
      </c>
      <c r="S1503">
        <f t="shared" si="70"/>
        <v>1</v>
      </c>
      <c r="T1503">
        <f>IF(AND(S1503&gt;1,COUNTIF($A$2:A1503,A1503)=1),1,0)</f>
        <v>0</v>
      </c>
      <c r="U1503">
        <f>COUNTIF(Customers!$A$2:$A$301,C1503)</f>
        <v>1</v>
      </c>
      <c r="V1503">
        <f t="shared" si="71"/>
        <v>0</v>
      </c>
    </row>
    <row r="1504" spans="1:22" ht="14.25" customHeight="1" x14ac:dyDescent="0.35">
      <c r="A1504" s="10" t="s">
        <v>1959</v>
      </c>
      <c r="B1504" s="11">
        <v>45501</v>
      </c>
      <c r="C1504" s="10" t="s">
        <v>54</v>
      </c>
      <c r="D1504" s="10" t="s">
        <v>84</v>
      </c>
      <c r="E1504" s="10" t="s">
        <v>237</v>
      </c>
      <c r="F1504" s="12">
        <v>6</v>
      </c>
      <c r="G1504" s="12">
        <v>1430</v>
      </c>
      <c r="H1504" s="12">
        <v>0.1</v>
      </c>
      <c r="I1504" s="12">
        <v>8571.42</v>
      </c>
      <c r="J1504" s="10" t="s">
        <v>51</v>
      </c>
      <c r="K1504" s="10" t="s">
        <v>58</v>
      </c>
      <c r="L1504" t="str">
        <f>IFERROR(VLOOKUP(D1504,Products!A:F,3,0),"")</f>
        <v>Electronics</v>
      </c>
      <c r="M1504" t="str">
        <f>IFERROR(VLOOKUP(E1504,Sales_Reps!A:E,3,0),"")</f>
        <v>South</v>
      </c>
      <c r="N1504" t="str">
        <f>IFERROR(VLOOKUP(C1504,Customers!A:F,5,0),"")</f>
        <v>Retail</v>
      </c>
      <c r="O1504">
        <f>IFERROR(VLOOKUP(C1504,Customers!A:F,3,0),"")</f>
        <v>39</v>
      </c>
      <c r="P1504">
        <f>IFERROR(VLOOKUP(D1504,Products!A:F,4,0),"")</f>
        <v>861</v>
      </c>
      <c r="Q1504" t="b">
        <f>IFERROR(VLOOKUP(D1504,Products!A:F,6,0),"")</f>
        <v>1</v>
      </c>
      <c r="R1504">
        <f t="shared" si="69"/>
        <v>0.39790209790209791</v>
      </c>
      <c r="S1504">
        <f t="shared" si="70"/>
        <v>1</v>
      </c>
      <c r="T1504">
        <f>IF(AND(S1504&gt;1,COUNTIF($A$2:A1504,A1504)=1),1,0)</f>
        <v>0</v>
      </c>
      <c r="U1504">
        <f>COUNTIF(Customers!$A$2:$A$301,C1504)</f>
        <v>1</v>
      </c>
      <c r="V1504">
        <f t="shared" si="71"/>
        <v>0</v>
      </c>
    </row>
    <row r="1505" spans="1:22" ht="14.25" customHeight="1" x14ac:dyDescent="0.35">
      <c r="A1505" s="10" t="s">
        <v>1960</v>
      </c>
      <c r="B1505" s="11">
        <v>45346</v>
      </c>
      <c r="C1505" s="10" t="s">
        <v>436</v>
      </c>
      <c r="D1505" s="10" t="s">
        <v>61</v>
      </c>
      <c r="E1505" s="10" t="s">
        <v>156</v>
      </c>
      <c r="F1505" s="12">
        <v>4</v>
      </c>
      <c r="G1505" s="12">
        <v>470</v>
      </c>
      <c r="H1505" s="12">
        <v>3</v>
      </c>
      <c r="I1505" s="12">
        <v>1823.6</v>
      </c>
      <c r="J1505" s="10" t="s">
        <v>51</v>
      </c>
      <c r="K1505" s="10" t="s">
        <v>58</v>
      </c>
      <c r="L1505" t="str">
        <f>IFERROR(VLOOKUP(D1505,Products!A:F,3,0),"")</f>
        <v>Sports</v>
      </c>
      <c r="M1505" t="str">
        <f>IFERROR(VLOOKUP(E1505,Sales_Reps!A:E,3,0),"")</f>
        <v>East</v>
      </c>
      <c r="N1505" t="str">
        <f>IFERROR(VLOOKUP(C1505,Customers!A:F,5,0),"")</f>
        <v>Corporate</v>
      </c>
      <c r="O1505">
        <f>IFERROR(VLOOKUP(C1505,Customers!A:F,3,0),"")</f>
        <v>35</v>
      </c>
      <c r="P1505">
        <f>IFERROR(VLOOKUP(D1505,Products!A:F,4,0),"")</f>
        <v>302</v>
      </c>
      <c r="Q1505" t="b">
        <f>IFERROR(VLOOKUP(D1505,Products!A:F,6,0),"")</f>
        <v>0</v>
      </c>
      <c r="R1505">
        <f t="shared" si="69"/>
        <v>0.35744680851063831</v>
      </c>
      <c r="S1505">
        <f t="shared" si="70"/>
        <v>1</v>
      </c>
      <c r="T1505">
        <f>IF(AND(S1505&gt;1,COUNTIF($A$2:A1505,A1505)=1),1,0)</f>
        <v>0</v>
      </c>
      <c r="U1505">
        <f>COUNTIF(Customers!$A$2:$A$301,C1505)</f>
        <v>1</v>
      </c>
      <c r="V1505">
        <f t="shared" si="71"/>
        <v>0</v>
      </c>
    </row>
    <row r="1506" spans="1:22" ht="14.25" customHeight="1" x14ac:dyDescent="0.35">
      <c r="A1506" s="10" t="s">
        <v>1961</v>
      </c>
      <c r="B1506" s="11">
        <v>45446</v>
      </c>
      <c r="C1506" s="10" t="s">
        <v>449</v>
      </c>
      <c r="D1506" s="10" t="s">
        <v>623</v>
      </c>
      <c r="E1506" s="10" t="s">
        <v>103</v>
      </c>
      <c r="F1506" s="12">
        <v>4</v>
      </c>
      <c r="G1506" s="12">
        <v>3560</v>
      </c>
      <c r="H1506" s="12">
        <v>1.1000000000000001</v>
      </c>
      <c r="I1506" s="12">
        <v>14083.36</v>
      </c>
      <c r="J1506" s="10" t="s">
        <v>51</v>
      </c>
      <c r="K1506" s="10" t="s">
        <v>52</v>
      </c>
      <c r="L1506" t="str">
        <f>IFERROR(VLOOKUP(D1506,Products!A:F,3,0),"")</f>
        <v>Apparel</v>
      </c>
      <c r="M1506" t="str">
        <f>IFERROR(VLOOKUP(E1506,Sales_Reps!A:E,3,0),"")</f>
        <v>North</v>
      </c>
      <c r="N1506" t="str">
        <f>IFERROR(VLOOKUP(C1506,Customers!A:F,5,0),"")</f>
        <v>Retail</v>
      </c>
      <c r="O1506">
        <f>IFERROR(VLOOKUP(C1506,Customers!A:F,3,0),"")</f>
        <v>49</v>
      </c>
      <c r="P1506">
        <f>IFERROR(VLOOKUP(D1506,Products!A:F,4,0),"")</f>
        <v>2629</v>
      </c>
      <c r="Q1506" t="b">
        <f>IFERROR(VLOOKUP(D1506,Products!A:F,6,0),"")</f>
        <v>1</v>
      </c>
      <c r="R1506">
        <f t="shared" si="69"/>
        <v>0.26151685393258428</v>
      </c>
      <c r="S1506">
        <f t="shared" si="70"/>
        <v>1</v>
      </c>
      <c r="T1506">
        <f>IF(AND(S1506&gt;1,COUNTIF($A$2:A1506,A1506)=1),1,0)</f>
        <v>0</v>
      </c>
      <c r="U1506">
        <f>COUNTIF(Customers!$A$2:$A$301,C1506)</f>
        <v>1</v>
      </c>
      <c r="V1506">
        <f t="shared" si="71"/>
        <v>0</v>
      </c>
    </row>
    <row r="1507" spans="1:22" ht="14.25" customHeight="1" x14ac:dyDescent="0.35">
      <c r="A1507" s="10" t="s">
        <v>1962</v>
      </c>
      <c r="B1507" s="11">
        <v>45521</v>
      </c>
      <c r="C1507" s="10" t="s">
        <v>599</v>
      </c>
      <c r="D1507" s="10" t="s">
        <v>148</v>
      </c>
      <c r="E1507" s="10" t="s">
        <v>289</v>
      </c>
      <c r="F1507" s="12">
        <v>5</v>
      </c>
      <c r="G1507" s="12">
        <v>4880</v>
      </c>
      <c r="H1507" s="12">
        <v>17</v>
      </c>
      <c r="I1507" s="12">
        <v>20252</v>
      </c>
      <c r="J1507" s="10" t="s">
        <v>51</v>
      </c>
      <c r="K1507" s="10" t="s">
        <v>63</v>
      </c>
      <c r="L1507" t="str">
        <f>IFERROR(VLOOKUP(D1507,Products!A:F,3,0),"")</f>
        <v>Beauty</v>
      </c>
      <c r="M1507" t="str">
        <f>IFERROR(VLOOKUP(E1507,Sales_Reps!A:E,3,0),"")</f>
        <v>South</v>
      </c>
      <c r="N1507" t="str">
        <f>IFERROR(VLOOKUP(C1507,Customers!A:F,5,0),"")</f>
        <v>Retail</v>
      </c>
      <c r="O1507">
        <f>IFERROR(VLOOKUP(C1507,Customers!A:F,3,0),"")</f>
        <v>49</v>
      </c>
      <c r="P1507">
        <f>IFERROR(VLOOKUP(D1507,Products!A:F,4,0),"")</f>
        <v>2768</v>
      </c>
      <c r="Q1507" t="b">
        <f>IFERROR(VLOOKUP(D1507,Products!A:F,6,0),"")</f>
        <v>1</v>
      </c>
      <c r="R1507">
        <f t="shared" si="69"/>
        <v>0.43278688524590164</v>
      </c>
      <c r="S1507">
        <f t="shared" si="70"/>
        <v>1</v>
      </c>
      <c r="T1507">
        <f>IF(AND(S1507&gt;1,COUNTIF($A$2:A1507,A1507)=1),1,0)</f>
        <v>0</v>
      </c>
      <c r="U1507">
        <f>COUNTIF(Customers!$A$2:$A$301,C1507)</f>
        <v>1</v>
      </c>
      <c r="V1507">
        <f t="shared" si="71"/>
        <v>0</v>
      </c>
    </row>
    <row r="1508" spans="1:22" ht="14.25" customHeight="1" x14ac:dyDescent="0.35">
      <c r="A1508" s="10" t="s">
        <v>1963</v>
      </c>
      <c r="B1508" s="11">
        <v>45483</v>
      </c>
      <c r="C1508" s="10" t="s">
        <v>644</v>
      </c>
      <c r="D1508" s="10" t="s">
        <v>151</v>
      </c>
      <c r="E1508" s="10" t="s">
        <v>168</v>
      </c>
      <c r="F1508" s="12">
        <v>9</v>
      </c>
      <c r="G1508" s="12">
        <v>3570</v>
      </c>
      <c r="H1508" s="12">
        <v>12</v>
      </c>
      <c r="I1508" s="12">
        <v>28274.400000000001</v>
      </c>
      <c r="J1508" s="10" t="s">
        <v>51</v>
      </c>
      <c r="K1508" s="10" t="s">
        <v>58</v>
      </c>
      <c r="L1508" t="str">
        <f>IFERROR(VLOOKUP(D1508,Products!A:F,3,0),"")</f>
        <v>Electronics</v>
      </c>
      <c r="M1508" t="str">
        <f>IFERROR(VLOOKUP(E1508,Sales_Reps!A:E,3,0),"")</f>
        <v>South</v>
      </c>
      <c r="N1508" t="str">
        <f>IFERROR(VLOOKUP(C1508,Customers!A:F,5,0),"")</f>
        <v>Retail</v>
      </c>
      <c r="O1508">
        <f>IFERROR(VLOOKUP(C1508,Customers!A:F,3,0),"")</f>
        <v>26</v>
      </c>
      <c r="P1508">
        <f>IFERROR(VLOOKUP(D1508,Products!A:F,4,0),"")</f>
        <v>1665</v>
      </c>
      <c r="Q1508" t="b">
        <f>IFERROR(VLOOKUP(D1508,Products!A:F,6,0),"")</f>
        <v>1</v>
      </c>
      <c r="R1508">
        <f t="shared" si="69"/>
        <v>0.53361344537815125</v>
      </c>
      <c r="S1508">
        <f t="shared" si="70"/>
        <v>1</v>
      </c>
      <c r="T1508">
        <f>IF(AND(S1508&gt;1,COUNTIF($A$2:A1508,A1508)=1),1,0)</f>
        <v>0</v>
      </c>
      <c r="U1508">
        <f>COUNTIF(Customers!$A$2:$A$301,C1508)</f>
        <v>1</v>
      </c>
      <c r="V1508">
        <f t="shared" si="71"/>
        <v>0</v>
      </c>
    </row>
    <row r="1509" spans="1:22" ht="14.25" customHeight="1" x14ac:dyDescent="0.35">
      <c r="A1509" s="10" t="s">
        <v>1964</v>
      </c>
      <c r="B1509" s="11">
        <v>45370</v>
      </c>
      <c r="C1509" s="10" t="s">
        <v>1325</v>
      </c>
      <c r="D1509" s="10" t="s">
        <v>125</v>
      </c>
      <c r="E1509" s="10" t="s">
        <v>75</v>
      </c>
      <c r="F1509" s="12">
        <v>6</v>
      </c>
      <c r="G1509" s="12">
        <v>3450</v>
      </c>
      <c r="H1509" s="12">
        <v>22.7</v>
      </c>
      <c r="I1509" s="12">
        <v>16001.1</v>
      </c>
      <c r="J1509" s="10" t="s">
        <v>104</v>
      </c>
      <c r="K1509" s="10" t="s">
        <v>58</v>
      </c>
      <c r="L1509" t="str">
        <f>IFERROR(VLOOKUP(D1509,Products!A:F,3,0),"")</f>
        <v>Sports</v>
      </c>
      <c r="M1509" t="str">
        <f>IFERROR(VLOOKUP(E1509,Sales_Reps!A:E,3,0),"")</f>
        <v>West</v>
      </c>
      <c r="N1509" t="str">
        <f>IFERROR(VLOOKUP(C1509,Customers!A:F,5,0),"")</f>
        <v>Retail</v>
      </c>
      <c r="O1509">
        <f>IFERROR(VLOOKUP(C1509,Customers!A:F,3,0),"")</f>
        <v>34</v>
      </c>
      <c r="P1509">
        <f>IFERROR(VLOOKUP(D1509,Products!A:F,4,0),"")</f>
        <v>2467</v>
      </c>
      <c r="Q1509" t="b">
        <f>IFERROR(VLOOKUP(D1509,Products!A:F,6,0),"")</f>
        <v>1</v>
      </c>
      <c r="R1509">
        <f t="shared" si="69"/>
        <v>0.28492753623188405</v>
      </c>
      <c r="S1509">
        <f t="shared" si="70"/>
        <v>1</v>
      </c>
      <c r="T1509">
        <f>IF(AND(S1509&gt;1,COUNTIF($A$2:A1509,A1509)=1),1,0)</f>
        <v>0</v>
      </c>
      <c r="U1509">
        <f>COUNTIF(Customers!$A$2:$A$301,C1509)</f>
        <v>1</v>
      </c>
      <c r="V1509">
        <f t="shared" si="71"/>
        <v>0</v>
      </c>
    </row>
    <row r="1510" spans="1:22" ht="14.25" customHeight="1" x14ac:dyDescent="0.35">
      <c r="A1510" s="10" t="s">
        <v>1965</v>
      </c>
      <c r="B1510" s="11">
        <v>45456</v>
      </c>
      <c r="C1510" s="10" t="s">
        <v>142</v>
      </c>
      <c r="D1510" s="10" t="s">
        <v>128</v>
      </c>
      <c r="E1510" s="10" t="s">
        <v>261</v>
      </c>
      <c r="F1510" s="12">
        <v>10</v>
      </c>
      <c r="G1510" s="12">
        <v>1080</v>
      </c>
      <c r="H1510" s="12">
        <v>27.4</v>
      </c>
      <c r="I1510" s="12">
        <v>7840.8</v>
      </c>
      <c r="J1510" s="10" t="s">
        <v>51</v>
      </c>
      <c r="K1510" s="10" t="s">
        <v>58</v>
      </c>
      <c r="L1510" t="str">
        <f>IFERROR(VLOOKUP(D1510,Products!A:F,3,0),"")</f>
        <v>Home</v>
      </c>
      <c r="M1510" t="str">
        <f>IFERROR(VLOOKUP(E1510,Sales_Reps!A:E,3,0),"")</f>
        <v>North</v>
      </c>
      <c r="N1510" t="str">
        <f>IFERROR(VLOOKUP(C1510,Customers!A:F,5,0),"")</f>
        <v>Corporate</v>
      </c>
      <c r="O1510">
        <f>IFERROR(VLOOKUP(C1510,Customers!A:F,3,0),"")</f>
        <v>55</v>
      </c>
      <c r="P1510">
        <f>IFERROR(VLOOKUP(D1510,Products!A:F,4,0),"")</f>
        <v>519</v>
      </c>
      <c r="Q1510" t="b">
        <f>IFERROR(VLOOKUP(D1510,Products!A:F,6,0),"")</f>
        <v>1</v>
      </c>
      <c r="R1510">
        <f t="shared" si="69"/>
        <v>0.51944444444444449</v>
      </c>
      <c r="S1510">
        <f t="shared" si="70"/>
        <v>1</v>
      </c>
      <c r="T1510">
        <f>IF(AND(S1510&gt;1,COUNTIF($A$2:A1510,A1510)=1),1,0)</f>
        <v>0</v>
      </c>
      <c r="U1510">
        <f>COUNTIF(Customers!$A$2:$A$301,C1510)</f>
        <v>1</v>
      </c>
      <c r="V1510">
        <f t="shared" si="71"/>
        <v>0</v>
      </c>
    </row>
    <row r="1511" spans="1:22" ht="14.25" customHeight="1" x14ac:dyDescent="0.35">
      <c r="A1511" s="10" t="s">
        <v>1966</v>
      </c>
      <c r="B1511" s="11">
        <v>45605</v>
      </c>
      <c r="C1511" s="10" t="s">
        <v>820</v>
      </c>
      <c r="D1511" s="10" t="s">
        <v>223</v>
      </c>
      <c r="E1511" s="10" t="s">
        <v>75</v>
      </c>
      <c r="F1511" s="12">
        <v>6</v>
      </c>
      <c r="G1511" s="12">
        <v>1540</v>
      </c>
      <c r="H1511" s="12">
        <v>17.100000000000001</v>
      </c>
      <c r="I1511" s="12">
        <v>7659.96</v>
      </c>
      <c r="J1511" s="10" t="s">
        <v>51</v>
      </c>
      <c r="K1511" s="10" t="s">
        <v>52</v>
      </c>
      <c r="L1511" t="str">
        <f>IFERROR(VLOOKUP(D1511,Products!A:F,3,0),"")</f>
        <v>Beauty</v>
      </c>
      <c r="M1511" t="str">
        <f>IFERROR(VLOOKUP(E1511,Sales_Reps!A:E,3,0),"")</f>
        <v>West</v>
      </c>
      <c r="N1511" t="str">
        <f>IFERROR(VLOOKUP(C1511,Customers!A:F,5,0),"")</f>
        <v>SMB</v>
      </c>
      <c r="O1511">
        <f>IFERROR(VLOOKUP(C1511,Customers!A:F,3,0),"")</f>
        <v>59</v>
      </c>
      <c r="P1511">
        <f>IFERROR(VLOOKUP(D1511,Products!A:F,4,0),"")</f>
        <v>647</v>
      </c>
      <c r="Q1511" t="b">
        <f>IFERROR(VLOOKUP(D1511,Products!A:F,6,0),"")</f>
        <v>0</v>
      </c>
      <c r="R1511">
        <f t="shared" si="69"/>
        <v>0.57987012987012987</v>
      </c>
      <c r="S1511">
        <f t="shared" si="70"/>
        <v>1</v>
      </c>
      <c r="T1511">
        <f>IF(AND(S1511&gt;1,COUNTIF($A$2:A1511,A1511)=1),1,0)</f>
        <v>0</v>
      </c>
      <c r="U1511">
        <f>COUNTIF(Customers!$A$2:$A$301,C1511)</f>
        <v>1</v>
      </c>
      <c r="V1511">
        <f t="shared" si="71"/>
        <v>0</v>
      </c>
    </row>
    <row r="1512" spans="1:22" ht="14.25" customHeight="1" x14ac:dyDescent="0.35">
      <c r="A1512" s="10" t="s">
        <v>1967</v>
      </c>
      <c r="B1512" s="11">
        <v>45556</v>
      </c>
      <c r="C1512" s="10" t="s">
        <v>1968</v>
      </c>
      <c r="D1512" s="10" t="s">
        <v>137</v>
      </c>
      <c r="E1512" s="10" t="s">
        <v>216</v>
      </c>
      <c r="F1512" s="12">
        <v>6</v>
      </c>
      <c r="G1512" s="12">
        <v>2720</v>
      </c>
      <c r="H1512" s="12">
        <v>28.1</v>
      </c>
      <c r="I1512" s="12">
        <v>11734.08</v>
      </c>
      <c r="J1512" s="10" t="s">
        <v>51</v>
      </c>
      <c r="K1512" s="10" t="s">
        <v>76</v>
      </c>
      <c r="L1512" t="str">
        <f>IFERROR(VLOOKUP(D1512,Products!A:F,3,0),"")</f>
        <v>Apparel</v>
      </c>
      <c r="M1512" t="str">
        <f>IFERROR(VLOOKUP(E1512,Sales_Reps!A:E,3,0),"")</f>
        <v>South</v>
      </c>
      <c r="N1512" t="str">
        <f>IFERROR(VLOOKUP(C1512,Customers!A:F,5,0),"")</f>
        <v/>
      </c>
      <c r="O1512" t="str">
        <f>IFERROR(VLOOKUP(C1512,Customers!A:F,3,0),"")</f>
        <v/>
      </c>
      <c r="P1512">
        <f>IFERROR(VLOOKUP(D1512,Products!A:F,4,0),"")</f>
        <v>1962</v>
      </c>
      <c r="Q1512" t="b">
        <f>IFERROR(VLOOKUP(D1512,Products!A:F,6,0),"")</f>
        <v>1</v>
      </c>
      <c r="R1512">
        <f t="shared" si="69"/>
        <v>0.2786764705882353</v>
      </c>
      <c r="S1512">
        <f t="shared" si="70"/>
        <v>1</v>
      </c>
      <c r="T1512">
        <f>IF(AND(S1512&gt;1,COUNTIF($A$2:A1512,A1512)=1),1,0)</f>
        <v>0</v>
      </c>
      <c r="U1512">
        <f>COUNTIF(Customers!$A$2:$A$301,C1512)</f>
        <v>0</v>
      </c>
      <c r="V1512">
        <f t="shared" si="71"/>
        <v>0</v>
      </c>
    </row>
    <row r="1513" spans="1:22" ht="14.25" customHeight="1" x14ac:dyDescent="0.35">
      <c r="A1513" s="10" t="s">
        <v>1969</v>
      </c>
      <c r="B1513" s="11">
        <v>45569</v>
      </c>
      <c r="C1513" s="10" t="s">
        <v>220</v>
      </c>
      <c r="D1513" s="10" t="s">
        <v>407</v>
      </c>
      <c r="E1513" s="10" t="s">
        <v>56</v>
      </c>
      <c r="F1513" s="12">
        <v>2</v>
      </c>
      <c r="G1513" s="12">
        <v>5080</v>
      </c>
      <c r="H1513" s="12">
        <v>11.1</v>
      </c>
      <c r="I1513" s="12">
        <v>9032.24</v>
      </c>
      <c r="J1513" s="10" t="s">
        <v>51</v>
      </c>
      <c r="K1513" s="10" t="s">
        <v>97</v>
      </c>
      <c r="L1513" t="str">
        <f>IFERROR(VLOOKUP(D1513,Products!A:F,3,0),"")</f>
        <v>Home</v>
      </c>
      <c r="M1513" t="str">
        <f>IFERROR(VLOOKUP(E1513,Sales_Reps!A:E,3,0),"")</f>
        <v>North</v>
      </c>
      <c r="N1513" t="str">
        <f>IFERROR(VLOOKUP(C1513,Customers!A:F,5,0),"")</f>
        <v>Retail</v>
      </c>
      <c r="O1513">
        <f>IFERROR(VLOOKUP(C1513,Customers!A:F,3,0),"")</f>
        <v>27</v>
      </c>
      <c r="P1513">
        <f>IFERROR(VLOOKUP(D1513,Products!A:F,4,0),"")</f>
        <v>2459</v>
      </c>
      <c r="Q1513" t="b">
        <f>IFERROR(VLOOKUP(D1513,Products!A:F,6,0),"")</f>
        <v>1</v>
      </c>
      <c r="R1513">
        <f t="shared" si="69"/>
        <v>0.51594488188976373</v>
      </c>
      <c r="S1513">
        <f t="shared" si="70"/>
        <v>1</v>
      </c>
      <c r="T1513">
        <f>IF(AND(S1513&gt;1,COUNTIF($A$2:A1513,A1513)=1),1,0)</f>
        <v>0</v>
      </c>
      <c r="U1513">
        <f>COUNTIF(Customers!$A$2:$A$301,C1513)</f>
        <v>1</v>
      </c>
      <c r="V1513">
        <f t="shared" si="71"/>
        <v>0</v>
      </c>
    </row>
    <row r="1514" spans="1:22" ht="14.25" customHeight="1" x14ac:dyDescent="0.35">
      <c r="A1514" s="10" t="s">
        <v>1970</v>
      </c>
      <c r="B1514" s="11">
        <v>45329</v>
      </c>
      <c r="C1514" s="10" t="s">
        <v>1971</v>
      </c>
      <c r="D1514" s="10" t="s">
        <v>256</v>
      </c>
      <c r="E1514" s="10" t="s">
        <v>71</v>
      </c>
      <c r="F1514" s="12">
        <v>5</v>
      </c>
      <c r="G1514" s="12">
        <v>620</v>
      </c>
      <c r="H1514" s="12">
        <v>10.9</v>
      </c>
      <c r="I1514" s="12">
        <v>2762.1</v>
      </c>
      <c r="J1514" s="10" t="s">
        <v>57</v>
      </c>
      <c r="K1514" s="10" t="s">
        <v>58</v>
      </c>
      <c r="L1514" t="str">
        <f>IFERROR(VLOOKUP(D1514,Products!A:F,3,0),"")</f>
        <v>Apparel</v>
      </c>
      <c r="M1514" t="str">
        <f>IFERROR(VLOOKUP(E1514,Sales_Reps!A:E,3,0),"")</f>
        <v>North</v>
      </c>
      <c r="N1514" t="str">
        <f>IFERROR(VLOOKUP(C1514,Customers!A:F,5,0),"")</f>
        <v/>
      </c>
      <c r="O1514" t="str">
        <f>IFERROR(VLOOKUP(C1514,Customers!A:F,3,0),"")</f>
        <v/>
      </c>
      <c r="P1514">
        <f>IFERROR(VLOOKUP(D1514,Products!A:F,4,0),"")</f>
        <v>396</v>
      </c>
      <c r="Q1514" t="b">
        <f>IFERROR(VLOOKUP(D1514,Products!A:F,6,0),"")</f>
        <v>1</v>
      </c>
      <c r="R1514">
        <f t="shared" si="69"/>
        <v>0.36129032258064514</v>
      </c>
      <c r="S1514">
        <f t="shared" si="70"/>
        <v>1</v>
      </c>
      <c r="T1514">
        <f>IF(AND(S1514&gt;1,COUNTIF($A$2:A1514,A1514)=1),1,0)</f>
        <v>0</v>
      </c>
      <c r="U1514">
        <f>COUNTIF(Customers!$A$2:$A$301,C1514)</f>
        <v>0</v>
      </c>
      <c r="V1514">
        <f t="shared" si="71"/>
        <v>0</v>
      </c>
    </row>
    <row r="1515" spans="1:22" ht="14.25" customHeight="1" x14ac:dyDescent="0.35">
      <c r="A1515" s="10" t="s">
        <v>1972</v>
      </c>
      <c r="B1515" s="11">
        <v>45377</v>
      </c>
      <c r="C1515" s="10" t="s">
        <v>272</v>
      </c>
      <c r="D1515" s="10" t="s">
        <v>131</v>
      </c>
      <c r="E1515" s="10" t="s">
        <v>112</v>
      </c>
      <c r="F1515" s="12">
        <v>3</v>
      </c>
      <c r="G1515" s="12">
        <v>2480</v>
      </c>
      <c r="H1515" s="12">
        <v>5</v>
      </c>
      <c r="I1515" s="12">
        <v>7068</v>
      </c>
      <c r="J1515" s="10" t="s">
        <v>51</v>
      </c>
      <c r="K1515" s="10" t="s">
        <v>52</v>
      </c>
      <c r="L1515" t="str">
        <f>IFERROR(VLOOKUP(D1515,Products!A:F,3,0),"")</f>
        <v>Apparel</v>
      </c>
      <c r="M1515" t="str">
        <f>IFERROR(VLOOKUP(E1515,Sales_Reps!A:E,3,0),"")</f>
        <v>North</v>
      </c>
      <c r="N1515" t="str">
        <f>IFERROR(VLOOKUP(C1515,Customers!A:F,5,0),"")</f>
        <v>SMB</v>
      </c>
      <c r="O1515">
        <f>IFERROR(VLOOKUP(C1515,Customers!A:F,3,0),"")</f>
        <v>54</v>
      </c>
      <c r="P1515">
        <f>IFERROR(VLOOKUP(D1515,Products!A:F,4,0),"")</f>
        <v>1173</v>
      </c>
      <c r="Q1515" t="b">
        <f>IFERROR(VLOOKUP(D1515,Products!A:F,6,0),"")</f>
        <v>1</v>
      </c>
      <c r="R1515">
        <f t="shared" si="69"/>
        <v>0.52701612903225803</v>
      </c>
      <c r="S1515">
        <f t="shared" si="70"/>
        <v>1</v>
      </c>
      <c r="T1515">
        <f>IF(AND(S1515&gt;1,COUNTIF($A$2:A1515,A1515)=1),1,0)</f>
        <v>0</v>
      </c>
      <c r="U1515">
        <f>COUNTIF(Customers!$A$2:$A$301,C1515)</f>
        <v>1</v>
      </c>
      <c r="V1515">
        <f t="shared" si="71"/>
        <v>0</v>
      </c>
    </row>
    <row r="1516" spans="1:22" ht="14.25" customHeight="1" x14ac:dyDescent="0.35">
      <c r="A1516" s="10" t="s">
        <v>1973</v>
      </c>
      <c r="B1516" s="11">
        <v>45537</v>
      </c>
      <c r="C1516" s="10" t="s">
        <v>488</v>
      </c>
      <c r="D1516" s="10" t="s">
        <v>146</v>
      </c>
      <c r="E1516" s="10" t="s">
        <v>56</v>
      </c>
      <c r="F1516" s="12">
        <v>9</v>
      </c>
      <c r="G1516" s="12">
        <v>1010</v>
      </c>
      <c r="H1516" s="12">
        <v>21.9</v>
      </c>
      <c r="I1516" s="12">
        <v>7099.29</v>
      </c>
      <c r="J1516" s="10" t="s">
        <v>51</v>
      </c>
      <c r="K1516" s="10" t="s">
        <v>76</v>
      </c>
      <c r="L1516" t="str">
        <f>IFERROR(VLOOKUP(D1516,Products!A:F,3,0),"")</f>
        <v>Sports</v>
      </c>
      <c r="M1516" t="str">
        <f>IFERROR(VLOOKUP(E1516,Sales_Reps!A:E,3,0),"")</f>
        <v>North</v>
      </c>
      <c r="N1516" t="str">
        <f>IFERROR(VLOOKUP(C1516,Customers!A:F,5,0),"")</f>
        <v>Corporate</v>
      </c>
      <c r="O1516">
        <f>IFERROR(VLOOKUP(C1516,Customers!A:F,3,0),"")</f>
        <v>55</v>
      </c>
      <c r="P1516">
        <f>IFERROR(VLOOKUP(D1516,Products!A:F,4,0),"")</f>
        <v>516</v>
      </c>
      <c r="Q1516" t="b">
        <f>IFERROR(VLOOKUP(D1516,Products!A:F,6,0),"")</f>
        <v>1</v>
      </c>
      <c r="R1516">
        <f t="shared" si="69"/>
        <v>0.4891089108910891</v>
      </c>
      <c r="S1516">
        <f t="shared" si="70"/>
        <v>1</v>
      </c>
      <c r="T1516">
        <f>IF(AND(S1516&gt;1,COUNTIF($A$2:A1516,A1516)=1),1,0)</f>
        <v>0</v>
      </c>
      <c r="U1516">
        <f>COUNTIF(Customers!$A$2:$A$301,C1516)</f>
        <v>1</v>
      </c>
      <c r="V1516">
        <f t="shared" si="71"/>
        <v>0</v>
      </c>
    </row>
    <row r="1517" spans="1:22" ht="14.25" customHeight="1" x14ac:dyDescent="0.35">
      <c r="A1517" s="10" t="s">
        <v>1974</v>
      </c>
      <c r="B1517" s="11">
        <v>45550</v>
      </c>
      <c r="C1517" s="10" t="s">
        <v>377</v>
      </c>
      <c r="D1517" s="10" t="s">
        <v>128</v>
      </c>
      <c r="E1517" s="10" t="s">
        <v>103</v>
      </c>
      <c r="F1517" s="12">
        <v>2</v>
      </c>
      <c r="G1517" s="12">
        <v>1080</v>
      </c>
      <c r="H1517" s="12">
        <v>8.5</v>
      </c>
      <c r="I1517" s="12">
        <v>1976.4</v>
      </c>
      <c r="J1517" s="10" t="s">
        <v>51</v>
      </c>
      <c r="K1517" s="10" t="s">
        <v>52</v>
      </c>
      <c r="L1517" t="str">
        <f>IFERROR(VLOOKUP(D1517,Products!A:F,3,0),"")</f>
        <v>Home</v>
      </c>
      <c r="M1517" t="str">
        <f>IFERROR(VLOOKUP(E1517,Sales_Reps!A:E,3,0),"")</f>
        <v>North</v>
      </c>
      <c r="N1517" t="str">
        <f>IFERROR(VLOOKUP(C1517,Customers!A:F,5,0),"")</f>
        <v>Retail</v>
      </c>
      <c r="O1517">
        <f>IFERROR(VLOOKUP(C1517,Customers!A:F,3,0),"")</f>
        <v>22</v>
      </c>
      <c r="P1517">
        <f>IFERROR(VLOOKUP(D1517,Products!A:F,4,0),"")</f>
        <v>519</v>
      </c>
      <c r="Q1517" t="b">
        <f>IFERROR(VLOOKUP(D1517,Products!A:F,6,0),"")</f>
        <v>1</v>
      </c>
      <c r="R1517">
        <f t="shared" si="69"/>
        <v>0.51944444444444449</v>
      </c>
      <c r="S1517">
        <f t="shared" si="70"/>
        <v>1</v>
      </c>
      <c r="T1517">
        <f>IF(AND(S1517&gt;1,COUNTIF($A$2:A1517,A1517)=1),1,0)</f>
        <v>0</v>
      </c>
      <c r="U1517">
        <f>COUNTIF(Customers!$A$2:$A$301,C1517)</f>
        <v>1</v>
      </c>
      <c r="V1517">
        <f t="shared" si="71"/>
        <v>0</v>
      </c>
    </row>
    <row r="1518" spans="1:22" ht="14.25" customHeight="1" x14ac:dyDescent="0.35">
      <c r="A1518" s="10" t="s">
        <v>1975</v>
      </c>
      <c r="B1518" s="11">
        <v>45325</v>
      </c>
      <c r="C1518" s="10" t="s">
        <v>187</v>
      </c>
      <c r="D1518" s="10" t="s">
        <v>61</v>
      </c>
      <c r="E1518" s="10" t="s">
        <v>75</v>
      </c>
      <c r="F1518" s="12">
        <v>5</v>
      </c>
      <c r="G1518" s="12">
        <v>470</v>
      </c>
      <c r="H1518" s="12">
        <v>8</v>
      </c>
      <c r="I1518" s="12">
        <v>2162</v>
      </c>
      <c r="J1518" s="10" t="s">
        <v>51</v>
      </c>
      <c r="K1518" s="10" t="s">
        <v>63</v>
      </c>
      <c r="L1518" t="str">
        <f>IFERROR(VLOOKUP(D1518,Products!A:F,3,0),"")</f>
        <v>Sports</v>
      </c>
      <c r="M1518" t="str">
        <f>IFERROR(VLOOKUP(E1518,Sales_Reps!A:E,3,0),"")</f>
        <v>West</v>
      </c>
      <c r="N1518" t="str">
        <f>IFERROR(VLOOKUP(C1518,Customers!A:F,5,0),"")</f>
        <v>Retail</v>
      </c>
      <c r="O1518">
        <f>IFERROR(VLOOKUP(C1518,Customers!A:F,3,0),"")</f>
        <v>53</v>
      </c>
      <c r="P1518">
        <f>IFERROR(VLOOKUP(D1518,Products!A:F,4,0),"")</f>
        <v>302</v>
      </c>
      <c r="Q1518" t="b">
        <f>IFERROR(VLOOKUP(D1518,Products!A:F,6,0),"")</f>
        <v>0</v>
      </c>
      <c r="R1518">
        <f t="shared" si="69"/>
        <v>0.35744680851063831</v>
      </c>
      <c r="S1518">
        <f t="shared" si="70"/>
        <v>1</v>
      </c>
      <c r="T1518">
        <f>IF(AND(S1518&gt;1,COUNTIF($A$2:A1518,A1518)=1),1,0)</f>
        <v>0</v>
      </c>
      <c r="U1518">
        <f>COUNTIF(Customers!$A$2:$A$301,C1518)</f>
        <v>1</v>
      </c>
      <c r="V1518">
        <f t="shared" si="71"/>
        <v>0</v>
      </c>
    </row>
    <row r="1519" spans="1:22" ht="14.25" customHeight="1" x14ac:dyDescent="0.35">
      <c r="A1519" s="10" t="s">
        <v>1976</v>
      </c>
      <c r="B1519" s="11">
        <v>45375</v>
      </c>
      <c r="C1519" s="10" t="s">
        <v>304</v>
      </c>
      <c r="D1519" s="10" t="s">
        <v>372</v>
      </c>
      <c r="E1519" s="10" t="s">
        <v>156</v>
      </c>
      <c r="F1519" s="12">
        <v>9</v>
      </c>
      <c r="G1519" s="12">
        <v>3970</v>
      </c>
      <c r="H1519" s="12">
        <v>18.5</v>
      </c>
      <c r="I1519" s="12">
        <v>29119.95</v>
      </c>
      <c r="J1519" s="10" t="s">
        <v>51</v>
      </c>
      <c r="K1519" s="10" t="s">
        <v>52</v>
      </c>
      <c r="L1519" t="str">
        <f>IFERROR(VLOOKUP(D1519,Products!A:F,3,0),"")</f>
        <v>Electronics</v>
      </c>
      <c r="M1519" t="str">
        <f>IFERROR(VLOOKUP(E1519,Sales_Reps!A:E,3,0),"")</f>
        <v>East</v>
      </c>
      <c r="N1519" t="str">
        <f>IFERROR(VLOOKUP(C1519,Customers!A:F,5,0),"")</f>
        <v>Retail</v>
      </c>
      <c r="O1519">
        <f>IFERROR(VLOOKUP(C1519,Customers!A:F,3,0),"")</f>
        <v>25</v>
      </c>
      <c r="P1519">
        <f>IFERROR(VLOOKUP(D1519,Products!A:F,4,0),"")</f>
        <v>2865</v>
      </c>
      <c r="Q1519" t="b">
        <f>IFERROR(VLOOKUP(D1519,Products!A:F,6,0),"")</f>
        <v>1</v>
      </c>
      <c r="R1519">
        <f t="shared" si="69"/>
        <v>0.27833753148614609</v>
      </c>
      <c r="S1519">
        <f t="shared" si="70"/>
        <v>1</v>
      </c>
      <c r="T1519">
        <f>IF(AND(S1519&gt;1,COUNTIF($A$2:A1519,A1519)=1),1,0)</f>
        <v>0</v>
      </c>
      <c r="U1519">
        <f>COUNTIF(Customers!$A$2:$A$301,C1519)</f>
        <v>1</v>
      </c>
      <c r="V1519">
        <f t="shared" si="71"/>
        <v>0</v>
      </c>
    </row>
    <row r="1520" spans="1:22" ht="14.25" customHeight="1" x14ac:dyDescent="0.35">
      <c r="A1520" s="10" t="s">
        <v>1977</v>
      </c>
      <c r="B1520" s="11">
        <v>45614</v>
      </c>
      <c r="C1520" s="10" t="s">
        <v>1198</v>
      </c>
      <c r="D1520" s="10" t="s">
        <v>140</v>
      </c>
      <c r="E1520" s="10" t="s">
        <v>96</v>
      </c>
      <c r="F1520" s="12">
        <v>9</v>
      </c>
      <c r="G1520" s="12">
        <v>1650</v>
      </c>
      <c r="H1520" s="12">
        <v>19.5</v>
      </c>
      <c r="I1520" s="12">
        <v>11954.25</v>
      </c>
      <c r="J1520" s="10" t="s">
        <v>51</v>
      </c>
      <c r="K1520" s="10" t="s">
        <v>76</v>
      </c>
      <c r="L1520" t="str">
        <f>IFERROR(VLOOKUP(D1520,Products!A:F,3,0),"")</f>
        <v>Beauty</v>
      </c>
      <c r="M1520" t="str">
        <f>IFERROR(VLOOKUP(E1520,Sales_Reps!A:E,3,0),"")</f>
        <v>South</v>
      </c>
      <c r="N1520" t="str">
        <f>IFERROR(VLOOKUP(C1520,Customers!A:F,5,0),"")</f>
        <v>Retail</v>
      </c>
      <c r="O1520">
        <f>IFERROR(VLOOKUP(C1520,Customers!A:F,3,0),"")</f>
        <v>29</v>
      </c>
      <c r="P1520">
        <f>IFERROR(VLOOKUP(D1520,Products!A:F,4,0),"")</f>
        <v>1222</v>
      </c>
      <c r="Q1520" t="b">
        <f>IFERROR(VLOOKUP(D1520,Products!A:F,6,0),"")</f>
        <v>1</v>
      </c>
      <c r="R1520">
        <f t="shared" si="69"/>
        <v>0.2593939393939394</v>
      </c>
      <c r="S1520">
        <f t="shared" si="70"/>
        <v>1</v>
      </c>
      <c r="T1520">
        <f>IF(AND(S1520&gt;1,COUNTIF($A$2:A1520,A1520)=1),1,0)</f>
        <v>0</v>
      </c>
      <c r="U1520">
        <f>COUNTIF(Customers!$A$2:$A$301,C1520)</f>
        <v>1</v>
      </c>
      <c r="V1520">
        <f t="shared" si="71"/>
        <v>0</v>
      </c>
    </row>
    <row r="1521" spans="1:22" ht="14.25" customHeight="1" x14ac:dyDescent="0.35">
      <c r="A1521" s="10" t="s">
        <v>1978</v>
      </c>
      <c r="B1521" s="11">
        <v>45364</v>
      </c>
      <c r="C1521" s="10" t="s">
        <v>633</v>
      </c>
      <c r="D1521" s="10" t="s">
        <v>143</v>
      </c>
      <c r="E1521" s="10" t="s">
        <v>67</v>
      </c>
      <c r="F1521" s="12">
        <v>9</v>
      </c>
      <c r="G1521" s="12">
        <v>3350</v>
      </c>
      <c r="H1521" s="12">
        <v>4.0999999999999996</v>
      </c>
      <c r="I1521" s="12">
        <v>28913.85</v>
      </c>
      <c r="J1521" s="10" t="s">
        <v>51</v>
      </c>
      <c r="K1521" s="10" t="s">
        <v>97</v>
      </c>
      <c r="L1521" t="str">
        <f>IFERROR(VLOOKUP(D1521,Products!A:F,3,0),"")</f>
        <v>Beauty</v>
      </c>
      <c r="M1521" t="str">
        <f>IFERROR(VLOOKUP(E1521,Sales_Reps!A:E,3,0),"")</f>
        <v>North</v>
      </c>
      <c r="N1521" t="str">
        <f>IFERROR(VLOOKUP(C1521,Customers!A:F,5,0),"")</f>
        <v>Retail</v>
      </c>
      <c r="O1521">
        <f>IFERROR(VLOOKUP(C1521,Customers!A:F,3,0),"")</f>
        <v>31</v>
      </c>
      <c r="P1521">
        <f>IFERROR(VLOOKUP(D1521,Products!A:F,4,0),"")</f>
        <v>1728</v>
      </c>
      <c r="Q1521" t="b">
        <f>IFERROR(VLOOKUP(D1521,Products!A:F,6,0),"")</f>
        <v>1</v>
      </c>
      <c r="R1521">
        <f t="shared" si="69"/>
        <v>0.48417910447761192</v>
      </c>
      <c r="S1521">
        <f t="shared" si="70"/>
        <v>1</v>
      </c>
      <c r="T1521">
        <f>IF(AND(S1521&gt;1,COUNTIF($A$2:A1521,A1521)=1),1,0)</f>
        <v>0</v>
      </c>
      <c r="U1521">
        <f>COUNTIF(Customers!$A$2:$A$301,C1521)</f>
        <v>1</v>
      </c>
      <c r="V1521">
        <f t="shared" si="71"/>
        <v>0</v>
      </c>
    </row>
    <row r="1522" spans="1:22" ht="14.25" customHeight="1" x14ac:dyDescent="0.35">
      <c r="A1522" s="10" t="s">
        <v>1979</v>
      </c>
      <c r="B1522" s="11">
        <v>45342</v>
      </c>
      <c r="C1522" s="10" t="s">
        <v>230</v>
      </c>
      <c r="D1522" s="10" t="s">
        <v>372</v>
      </c>
      <c r="E1522" s="10" t="s">
        <v>118</v>
      </c>
      <c r="F1522" s="12">
        <v>7</v>
      </c>
      <c r="G1522" s="12">
        <v>3970</v>
      </c>
      <c r="H1522" s="12">
        <v>15.6</v>
      </c>
      <c r="I1522" s="12">
        <v>23454.76</v>
      </c>
      <c r="J1522" s="10" t="s">
        <v>51</v>
      </c>
      <c r="K1522" s="10" t="s">
        <v>63</v>
      </c>
      <c r="L1522" t="str">
        <f>IFERROR(VLOOKUP(D1522,Products!A:F,3,0),"")</f>
        <v>Electronics</v>
      </c>
      <c r="M1522" t="str">
        <f>IFERROR(VLOOKUP(E1522,Sales_Reps!A:E,3,0),"")</f>
        <v>East</v>
      </c>
      <c r="N1522" t="str">
        <f>IFERROR(VLOOKUP(C1522,Customers!A:F,5,0),"")</f>
        <v>Corporate</v>
      </c>
      <c r="O1522">
        <f>IFERROR(VLOOKUP(C1522,Customers!A:F,3,0),"")</f>
        <v>55</v>
      </c>
      <c r="P1522">
        <f>IFERROR(VLOOKUP(D1522,Products!A:F,4,0),"")</f>
        <v>2865</v>
      </c>
      <c r="Q1522" t="b">
        <f>IFERROR(VLOOKUP(D1522,Products!A:F,6,0),"")</f>
        <v>1</v>
      </c>
      <c r="R1522">
        <f t="shared" si="69"/>
        <v>0.27833753148614609</v>
      </c>
      <c r="S1522">
        <f t="shared" si="70"/>
        <v>1</v>
      </c>
      <c r="T1522">
        <f>IF(AND(S1522&gt;1,COUNTIF($A$2:A1522,A1522)=1),1,0)</f>
        <v>0</v>
      </c>
      <c r="U1522">
        <f>COUNTIF(Customers!$A$2:$A$301,C1522)</f>
        <v>1</v>
      </c>
      <c r="V1522">
        <f t="shared" si="71"/>
        <v>0</v>
      </c>
    </row>
    <row r="1523" spans="1:22" ht="14.25" customHeight="1" x14ac:dyDescent="0.35">
      <c r="A1523" s="10" t="s">
        <v>1980</v>
      </c>
      <c r="B1523" s="11">
        <v>45454</v>
      </c>
      <c r="C1523" s="10" t="s">
        <v>702</v>
      </c>
      <c r="D1523" s="10" t="s">
        <v>198</v>
      </c>
      <c r="E1523" s="10" t="s">
        <v>267</v>
      </c>
      <c r="F1523" s="12">
        <v>7</v>
      </c>
      <c r="G1523" s="12">
        <v>3780</v>
      </c>
      <c r="H1523" s="12">
        <v>18.7</v>
      </c>
      <c r="I1523" s="12">
        <v>21511.98</v>
      </c>
      <c r="J1523" s="10" t="s">
        <v>51</v>
      </c>
      <c r="K1523" s="10" t="s">
        <v>52</v>
      </c>
      <c r="L1523" t="str">
        <f>IFERROR(VLOOKUP(D1523,Products!A:F,3,0),"")</f>
        <v>Grocery</v>
      </c>
      <c r="M1523" t="str">
        <f>IFERROR(VLOOKUP(E1523,Sales_Reps!A:E,3,0),"")</f>
        <v>East</v>
      </c>
      <c r="N1523" t="str">
        <f>IFERROR(VLOOKUP(C1523,Customers!A:F,5,0),"")</f>
        <v>Retail</v>
      </c>
      <c r="O1523">
        <f>IFERROR(VLOOKUP(C1523,Customers!A:F,3,0),"")</f>
        <v>36</v>
      </c>
      <c r="P1523">
        <f>IFERROR(VLOOKUP(D1523,Products!A:F,4,0),"")</f>
        <v>2436</v>
      </c>
      <c r="Q1523" t="b">
        <f>IFERROR(VLOOKUP(D1523,Products!A:F,6,0),"")</f>
        <v>1</v>
      </c>
      <c r="R1523">
        <f t="shared" si="69"/>
        <v>0.35555555555555557</v>
      </c>
      <c r="S1523">
        <f t="shared" si="70"/>
        <v>1</v>
      </c>
      <c r="T1523">
        <f>IF(AND(S1523&gt;1,COUNTIF($A$2:A1523,A1523)=1),1,0)</f>
        <v>0</v>
      </c>
      <c r="U1523">
        <f>COUNTIF(Customers!$A$2:$A$301,C1523)</f>
        <v>1</v>
      </c>
      <c r="V1523">
        <f t="shared" si="71"/>
        <v>0</v>
      </c>
    </row>
    <row r="1524" spans="1:22" ht="14.25" customHeight="1" x14ac:dyDescent="0.35">
      <c r="A1524" s="10" t="s">
        <v>1981</v>
      </c>
      <c r="B1524" s="11">
        <v>45625</v>
      </c>
      <c r="C1524" s="10" t="s">
        <v>599</v>
      </c>
      <c r="D1524" s="10" t="s">
        <v>55</v>
      </c>
      <c r="E1524" s="10" t="s">
        <v>216</v>
      </c>
      <c r="F1524" s="12">
        <v>4</v>
      </c>
      <c r="G1524" s="12">
        <v>820</v>
      </c>
      <c r="H1524" s="12">
        <v>18.8</v>
      </c>
      <c r="I1524" s="12">
        <v>2663.36</v>
      </c>
      <c r="J1524" s="10" t="s">
        <v>104</v>
      </c>
      <c r="K1524" s="10" t="s">
        <v>63</v>
      </c>
      <c r="L1524" t="str">
        <f>IFERROR(VLOOKUP(D1524,Products!A:F,3,0),"")</f>
        <v>Apparel</v>
      </c>
      <c r="M1524" t="str">
        <f>IFERROR(VLOOKUP(E1524,Sales_Reps!A:E,3,0),"")</f>
        <v>South</v>
      </c>
      <c r="N1524" t="str">
        <f>IFERROR(VLOOKUP(C1524,Customers!A:F,5,0),"")</f>
        <v>Retail</v>
      </c>
      <c r="O1524">
        <f>IFERROR(VLOOKUP(C1524,Customers!A:F,3,0),"")</f>
        <v>49</v>
      </c>
      <c r="P1524">
        <f>IFERROR(VLOOKUP(D1524,Products!A:F,4,0),"")</f>
        <v>391</v>
      </c>
      <c r="Q1524" t="b">
        <f>IFERROR(VLOOKUP(D1524,Products!A:F,6,0),"")</f>
        <v>1</v>
      </c>
      <c r="R1524">
        <f t="shared" si="69"/>
        <v>0.52317073170731709</v>
      </c>
      <c r="S1524">
        <f t="shared" si="70"/>
        <v>1</v>
      </c>
      <c r="T1524">
        <f>IF(AND(S1524&gt;1,COUNTIF($A$2:A1524,A1524)=1),1,0)</f>
        <v>0</v>
      </c>
      <c r="U1524">
        <f>COUNTIF(Customers!$A$2:$A$301,C1524)</f>
        <v>1</v>
      </c>
      <c r="V1524">
        <f t="shared" si="71"/>
        <v>0</v>
      </c>
    </row>
    <row r="1525" spans="1:22" ht="14.25" customHeight="1" x14ac:dyDescent="0.35">
      <c r="A1525" s="10" t="s">
        <v>1982</v>
      </c>
      <c r="B1525" s="11">
        <v>45600</v>
      </c>
      <c r="C1525" s="10" t="s">
        <v>693</v>
      </c>
      <c r="D1525" s="10" t="s">
        <v>140</v>
      </c>
      <c r="E1525" s="10" t="s">
        <v>249</v>
      </c>
      <c r="F1525" s="12">
        <v>1</v>
      </c>
      <c r="G1525" s="12">
        <v>1650</v>
      </c>
      <c r="H1525" s="12">
        <v>18.8</v>
      </c>
      <c r="I1525" s="12">
        <v>1339.8</v>
      </c>
      <c r="J1525" s="10" t="s">
        <v>104</v>
      </c>
      <c r="K1525" s="10" t="s">
        <v>76</v>
      </c>
      <c r="L1525" t="str">
        <f>IFERROR(VLOOKUP(D1525,Products!A:F,3,0),"")</f>
        <v>Beauty</v>
      </c>
      <c r="M1525" t="str">
        <f>IFERROR(VLOOKUP(E1525,Sales_Reps!A:E,3,0),"")</f>
        <v>East</v>
      </c>
      <c r="N1525" t="str">
        <f>IFERROR(VLOOKUP(C1525,Customers!A:F,5,0),"")</f>
        <v>Retail</v>
      </c>
      <c r="O1525">
        <f>IFERROR(VLOOKUP(C1525,Customers!A:F,3,0),"")</f>
        <v>56</v>
      </c>
      <c r="P1525">
        <f>IFERROR(VLOOKUP(D1525,Products!A:F,4,0),"")</f>
        <v>1222</v>
      </c>
      <c r="Q1525" t="b">
        <f>IFERROR(VLOOKUP(D1525,Products!A:F,6,0),"")</f>
        <v>1</v>
      </c>
      <c r="R1525">
        <f t="shared" si="69"/>
        <v>0.2593939393939394</v>
      </c>
      <c r="S1525">
        <f t="shared" si="70"/>
        <v>1</v>
      </c>
      <c r="T1525">
        <f>IF(AND(S1525&gt;1,COUNTIF($A$2:A1525,A1525)=1),1,0)</f>
        <v>0</v>
      </c>
      <c r="U1525">
        <f>COUNTIF(Customers!$A$2:$A$301,C1525)</f>
        <v>1</v>
      </c>
      <c r="V1525">
        <f t="shared" si="71"/>
        <v>0</v>
      </c>
    </row>
    <row r="1526" spans="1:22" ht="14.25" customHeight="1" x14ac:dyDescent="0.35">
      <c r="A1526" s="10" t="s">
        <v>1983</v>
      </c>
      <c r="B1526" s="11">
        <v>45397</v>
      </c>
      <c r="C1526" s="10" t="s">
        <v>304</v>
      </c>
      <c r="D1526" s="10" t="s">
        <v>198</v>
      </c>
      <c r="E1526" s="10" t="s">
        <v>122</v>
      </c>
      <c r="F1526" s="12">
        <v>2</v>
      </c>
      <c r="G1526" s="12">
        <v>3780</v>
      </c>
      <c r="H1526" s="12">
        <v>1</v>
      </c>
      <c r="I1526" s="12">
        <v>7484.4</v>
      </c>
      <c r="J1526" s="10" t="s">
        <v>108</v>
      </c>
      <c r="K1526" s="10" t="s">
        <v>52</v>
      </c>
      <c r="L1526" t="str">
        <f>IFERROR(VLOOKUP(D1526,Products!A:F,3,0),"")</f>
        <v>Grocery</v>
      </c>
      <c r="M1526" t="str">
        <f>IFERROR(VLOOKUP(E1526,Sales_Reps!A:E,3,0),"")</f>
        <v>East</v>
      </c>
      <c r="N1526" t="str">
        <f>IFERROR(VLOOKUP(C1526,Customers!A:F,5,0),"")</f>
        <v>Retail</v>
      </c>
      <c r="O1526">
        <f>IFERROR(VLOOKUP(C1526,Customers!A:F,3,0),"")</f>
        <v>25</v>
      </c>
      <c r="P1526">
        <f>IFERROR(VLOOKUP(D1526,Products!A:F,4,0),"")</f>
        <v>2436</v>
      </c>
      <c r="Q1526" t="b">
        <f>IFERROR(VLOOKUP(D1526,Products!A:F,6,0),"")</f>
        <v>1</v>
      </c>
      <c r="R1526">
        <f t="shared" si="69"/>
        <v>0.35555555555555557</v>
      </c>
      <c r="S1526">
        <f t="shared" si="70"/>
        <v>1</v>
      </c>
      <c r="T1526">
        <f>IF(AND(S1526&gt;1,COUNTIF($A$2:A1526,A1526)=1),1,0)</f>
        <v>0</v>
      </c>
      <c r="U1526">
        <f>COUNTIF(Customers!$A$2:$A$301,C1526)</f>
        <v>1</v>
      </c>
      <c r="V1526">
        <f t="shared" si="71"/>
        <v>0</v>
      </c>
    </row>
    <row r="1527" spans="1:22" ht="14.25" customHeight="1" x14ac:dyDescent="0.35">
      <c r="A1527" s="10" t="s">
        <v>1984</v>
      </c>
      <c r="B1527" s="11">
        <v>45417</v>
      </c>
      <c r="C1527" s="10" t="s">
        <v>411</v>
      </c>
      <c r="D1527" s="10" t="s">
        <v>302</v>
      </c>
      <c r="E1527" s="10" t="s">
        <v>307</v>
      </c>
      <c r="F1527" s="12">
        <v>5</v>
      </c>
      <c r="G1527" s="12">
        <v>2210</v>
      </c>
      <c r="H1527" s="12">
        <v>16.600000000000001</v>
      </c>
      <c r="I1527" s="12">
        <v>9215.7000000000007</v>
      </c>
      <c r="J1527" s="10" t="s">
        <v>51</v>
      </c>
      <c r="K1527" s="10" t="s">
        <v>76</v>
      </c>
      <c r="L1527" t="str">
        <f>IFERROR(VLOOKUP(D1527,Products!A:F,3,0),"")</f>
        <v>Grocery</v>
      </c>
      <c r="M1527" t="str">
        <f>IFERROR(VLOOKUP(E1527,Sales_Reps!A:E,3,0),"")</f>
        <v>West</v>
      </c>
      <c r="N1527" t="str">
        <f>IFERROR(VLOOKUP(C1527,Customers!A:F,5,0),"")</f>
        <v>Retail</v>
      </c>
      <c r="O1527">
        <f>IFERROR(VLOOKUP(C1527,Customers!A:F,3,0),"")</f>
        <v>41</v>
      </c>
      <c r="P1527">
        <f>IFERROR(VLOOKUP(D1527,Products!A:F,4,0),"")</f>
        <v>1010</v>
      </c>
      <c r="Q1527" t="b">
        <f>IFERROR(VLOOKUP(D1527,Products!A:F,6,0),"")</f>
        <v>1</v>
      </c>
      <c r="R1527">
        <f t="shared" si="69"/>
        <v>0.54298642533936647</v>
      </c>
      <c r="S1527">
        <f t="shared" si="70"/>
        <v>1</v>
      </c>
      <c r="T1527">
        <f>IF(AND(S1527&gt;1,COUNTIF($A$2:A1527,A1527)=1),1,0)</f>
        <v>0</v>
      </c>
      <c r="U1527">
        <f>COUNTIF(Customers!$A$2:$A$301,C1527)</f>
        <v>1</v>
      </c>
      <c r="V1527">
        <f t="shared" si="71"/>
        <v>0</v>
      </c>
    </row>
    <row r="1528" spans="1:22" ht="14.25" customHeight="1" x14ac:dyDescent="0.35">
      <c r="A1528" s="10" t="s">
        <v>1985</v>
      </c>
      <c r="B1528" s="11">
        <v>45487</v>
      </c>
      <c r="C1528" s="10" t="s">
        <v>619</v>
      </c>
      <c r="D1528" s="10" t="s">
        <v>479</v>
      </c>
      <c r="E1528" s="10" t="s">
        <v>96</v>
      </c>
      <c r="F1528" s="12">
        <v>10</v>
      </c>
      <c r="G1528" s="12">
        <v>6940</v>
      </c>
      <c r="H1528" s="12">
        <v>10.6</v>
      </c>
      <c r="I1528" s="12">
        <v>62043.6</v>
      </c>
      <c r="J1528" s="10" t="s">
        <v>51</v>
      </c>
      <c r="K1528" s="10" t="s">
        <v>97</v>
      </c>
      <c r="L1528" t="str">
        <f>IFERROR(VLOOKUP(D1528,Products!A:F,3,0),"")</f>
        <v>Sports</v>
      </c>
      <c r="M1528" t="str">
        <f>IFERROR(VLOOKUP(E1528,Sales_Reps!A:E,3,0),"")</f>
        <v>South</v>
      </c>
      <c r="N1528" t="str">
        <f>IFERROR(VLOOKUP(C1528,Customers!A:F,5,0),"")</f>
        <v>Retail</v>
      </c>
      <c r="O1528">
        <f>IFERROR(VLOOKUP(C1528,Customers!A:F,3,0),"")</f>
        <v>27</v>
      </c>
      <c r="P1528">
        <f>IFERROR(VLOOKUP(D1528,Products!A:F,4,0),"")</f>
        <v>2827</v>
      </c>
      <c r="Q1528" t="b">
        <f>IFERROR(VLOOKUP(D1528,Products!A:F,6,0),"")</f>
        <v>1</v>
      </c>
      <c r="R1528">
        <f t="shared" si="69"/>
        <v>0.5926512968299712</v>
      </c>
      <c r="S1528">
        <f t="shared" si="70"/>
        <v>1</v>
      </c>
      <c r="T1528">
        <f>IF(AND(S1528&gt;1,COUNTIF($A$2:A1528,A1528)=1),1,0)</f>
        <v>0</v>
      </c>
      <c r="U1528">
        <f>COUNTIF(Customers!$A$2:$A$301,C1528)</f>
        <v>1</v>
      </c>
      <c r="V1528">
        <f t="shared" si="71"/>
        <v>0</v>
      </c>
    </row>
    <row r="1529" spans="1:22" ht="14.25" customHeight="1" x14ac:dyDescent="0.35">
      <c r="A1529" s="10" t="s">
        <v>1986</v>
      </c>
      <c r="B1529" s="11">
        <v>45454</v>
      </c>
      <c r="C1529" s="10" t="s">
        <v>333</v>
      </c>
      <c r="D1529" s="10" t="s">
        <v>350</v>
      </c>
      <c r="E1529" s="10" t="s">
        <v>56</v>
      </c>
      <c r="F1529" s="12">
        <v>8</v>
      </c>
      <c r="G1529" s="12">
        <v>2290</v>
      </c>
      <c r="H1529" s="12">
        <v>12.2</v>
      </c>
      <c r="I1529" s="12">
        <v>16084.96</v>
      </c>
      <c r="J1529" s="10" t="s">
        <v>51</v>
      </c>
      <c r="K1529" s="10" t="s">
        <v>58</v>
      </c>
      <c r="L1529" t="str">
        <f>IFERROR(VLOOKUP(D1529,Products!A:F,3,0),"")</f>
        <v>Beauty</v>
      </c>
      <c r="M1529" t="str">
        <f>IFERROR(VLOOKUP(E1529,Sales_Reps!A:E,3,0),"")</f>
        <v>North</v>
      </c>
      <c r="N1529" t="str">
        <f>IFERROR(VLOOKUP(C1529,Customers!A:F,5,0),"")</f>
        <v>SMB</v>
      </c>
      <c r="O1529">
        <f>IFERROR(VLOOKUP(C1529,Customers!A:F,3,0),"")</f>
        <v>62</v>
      </c>
      <c r="P1529">
        <f>IFERROR(VLOOKUP(D1529,Products!A:F,4,0),"")</f>
        <v>1219</v>
      </c>
      <c r="Q1529" t="b">
        <f>IFERROR(VLOOKUP(D1529,Products!A:F,6,0),"")</f>
        <v>1</v>
      </c>
      <c r="R1529">
        <f t="shared" si="69"/>
        <v>0.46768558951965067</v>
      </c>
      <c r="S1529">
        <f t="shared" si="70"/>
        <v>1</v>
      </c>
      <c r="T1529">
        <f>IF(AND(S1529&gt;1,COUNTIF($A$2:A1529,A1529)=1),1,0)</f>
        <v>0</v>
      </c>
      <c r="U1529">
        <f>COUNTIF(Customers!$A$2:$A$301,C1529)</f>
        <v>1</v>
      </c>
      <c r="V1529">
        <f t="shared" si="71"/>
        <v>0</v>
      </c>
    </row>
    <row r="1530" spans="1:22" ht="14.25" customHeight="1" x14ac:dyDescent="0.35">
      <c r="A1530" s="10" t="s">
        <v>1987</v>
      </c>
      <c r="B1530" s="11">
        <v>45529</v>
      </c>
      <c r="C1530" s="10" t="s">
        <v>306</v>
      </c>
      <c r="D1530" s="10" t="s">
        <v>259</v>
      </c>
      <c r="E1530" s="10" t="s">
        <v>75</v>
      </c>
      <c r="F1530" s="12">
        <v>5</v>
      </c>
      <c r="G1530" s="12">
        <v>2030</v>
      </c>
      <c r="H1530" s="12">
        <v>23.8</v>
      </c>
      <c r="I1530" s="12">
        <v>7734.3</v>
      </c>
      <c r="J1530" s="10" t="s">
        <v>104</v>
      </c>
      <c r="K1530" s="10" t="s">
        <v>58</v>
      </c>
      <c r="L1530" t="str">
        <f>IFERROR(VLOOKUP(D1530,Products!A:F,3,0),"")</f>
        <v>Home</v>
      </c>
      <c r="M1530" t="str">
        <f>IFERROR(VLOOKUP(E1530,Sales_Reps!A:E,3,0),"")</f>
        <v>West</v>
      </c>
      <c r="N1530" t="str">
        <f>IFERROR(VLOOKUP(C1530,Customers!A:F,5,0),"")</f>
        <v>Retail</v>
      </c>
      <c r="O1530">
        <f>IFERROR(VLOOKUP(C1530,Customers!A:F,3,0),"")</f>
        <v>26</v>
      </c>
      <c r="P1530">
        <f>IFERROR(VLOOKUP(D1530,Products!A:F,4,0),"")</f>
        <v>1143</v>
      </c>
      <c r="Q1530" t="b">
        <f>IFERROR(VLOOKUP(D1530,Products!A:F,6,0),"")</f>
        <v>1</v>
      </c>
      <c r="R1530">
        <f t="shared" si="69"/>
        <v>0.43694581280788175</v>
      </c>
      <c r="S1530">
        <f t="shared" si="70"/>
        <v>1</v>
      </c>
      <c r="T1530">
        <f>IF(AND(S1530&gt;1,COUNTIF($A$2:A1530,A1530)=1),1,0)</f>
        <v>0</v>
      </c>
      <c r="U1530">
        <f>COUNTIF(Customers!$A$2:$A$301,C1530)</f>
        <v>1</v>
      </c>
      <c r="V1530">
        <f t="shared" si="71"/>
        <v>0</v>
      </c>
    </row>
    <row r="1531" spans="1:22" ht="14.25" customHeight="1" x14ac:dyDescent="0.35">
      <c r="A1531" s="10" t="s">
        <v>1988</v>
      </c>
      <c r="B1531" s="11">
        <v>45546</v>
      </c>
      <c r="C1531" s="10" t="s">
        <v>404</v>
      </c>
      <c r="D1531" s="10" t="s">
        <v>372</v>
      </c>
      <c r="E1531" s="10" t="s">
        <v>193</v>
      </c>
      <c r="F1531" s="12">
        <v>3</v>
      </c>
      <c r="G1531" s="12">
        <v>3970</v>
      </c>
      <c r="H1531" s="12">
        <v>7.7</v>
      </c>
      <c r="I1531" s="12">
        <v>10992.93</v>
      </c>
      <c r="J1531" s="10" t="s">
        <v>51</v>
      </c>
      <c r="K1531" s="10" t="s">
        <v>52</v>
      </c>
      <c r="L1531" t="str">
        <f>IFERROR(VLOOKUP(D1531,Products!A:F,3,0),"")</f>
        <v>Electronics</v>
      </c>
      <c r="M1531" t="str">
        <f>IFERROR(VLOOKUP(E1531,Sales_Reps!A:E,3,0),"")</f>
        <v>West</v>
      </c>
      <c r="N1531" t="str">
        <f>IFERROR(VLOOKUP(C1531,Customers!A:F,5,0),"")</f>
        <v>SMB</v>
      </c>
      <c r="O1531">
        <f>IFERROR(VLOOKUP(C1531,Customers!A:F,3,0),"")</f>
        <v>30</v>
      </c>
      <c r="P1531">
        <f>IFERROR(VLOOKUP(D1531,Products!A:F,4,0),"")</f>
        <v>2865</v>
      </c>
      <c r="Q1531" t="b">
        <f>IFERROR(VLOOKUP(D1531,Products!A:F,6,0),"")</f>
        <v>1</v>
      </c>
      <c r="R1531">
        <f t="shared" si="69"/>
        <v>0.27833753148614609</v>
      </c>
      <c r="S1531">
        <f t="shared" si="70"/>
        <v>1</v>
      </c>
      <c r="T1531">
        <f>IF(AND(S1531&gt;1,COUNTIF($A$2:A1531,A1531)=1),1,0)</f>
        <v>0</v>
      </c>
      <c r="U1531">
        <f>COUNTIF(Customers!$A$2:$A$301,C1531)</f>
        <v>1</v>
      </c>
      <c r="V1531">
        <f t="shared" si="71"/>
        <v>0</v>
      </c>
    </row>
    <row r="1532" spans="1:22" ht="14.25" customHeight="1" x14ac:dyDescent="0.35">
      <c r="A1532" s="10" t="s">
        <v>1989</v>
      </c>
      <c r="B1532" s="11">
        <v>45481</v>
      </c>
      <c r="C1532" s="10" t="s">
        <v>676</v>
      </c>
      <c r="D1532" s="10" t="s">
        <v>55</v>
      </c>
      <c r="E1532" s="10" t="s">
        <v>310</v>
      </c>
      <c r="F1532" s="12">
        <v>1</v>
      </c>
      <c r="G1532" s="12">
        <v>820</v>
      </c>
      <c r="H1532" s="12">
        <v>5.4</v>
      </c>
      <c r="I1532" s="12">
        <v>775.72</v>
      </c>
      <c r="J1532" s="10" t="s">
        <v>51</v>
      </c>
      <c r="K1532" s="10" t="s">
        <v>76</v>
      </c>
      <c r="L1532" t="str">
        <f>IFERROR(VLOOKUP(D1532,Products!A:F,3,0),"")</f>
        <v>Apparel</v>
      </c>
      <c r="M1532" t="str">
        <f>IFERROR(VLOOKUP(E1532,Sales_Reps!A:E,3,0),"")</f>
        <v>South</v>
      </c>
      <c r="N1532" t="str">
        <f>IFERROR(VLOOKUP(C1532,Customers!A:F,5,0),"")</f>
        <v>Corporate</v>
      </c>
      <c r="O1532">
        <f>IFERROR(VLOOKUP(C1532,Customers!A:F,3,0),"")</f>
        <v>51</v>
      </c>
      <c r="P1532">
        <f>IFERROR(VLOOKUP(D1532,Products!A:F,4,0),"")</f>
        <v>391</v>
      </c>
      <c r="Q1532" t="b">
        <f>IFERROR(VLOOKUP(D1532,Products!A:F,6,0),"")</f>
        <v>1</v>
      </c>
      <c r="R1532">
        <f t="shared" si="69"/>
        <v>0.52317073170731709</v>
      </c>
      <c r="S1532">
        <f t="shared" si="70"/>
        <v>2</v>
      </c>
      <c r="T1532">
        <f>IF(AND(S1532&gt;1,COUNTIF($A$2:A1532,A1532)=1),1,0)</f>
        <v>1</v>
      </c>
      <c r="U1532">
        <f>COUNTIF(Customers!$A$2:$A$301,C1532)</f>
        <v>1</v>
      </c>
      <c r="V1532">
        <f t="shared" si="71"/>
        <v>0</v>
      </c>
    </row>
    <row r="1533" spans="1:22" ht="14.25" customHeight="1" x14ac:dyDescent="0.35">
      <c r="A1533" s="10" t="s">
        <v>1990</v>
      </c>
      <c r="B1533" s="11">
        <v>45472</v>
      </c>
      <c r="C1533" s="10" t="s">
        <v>286</v>
      </c>
      <c r="D1533" s="10" t="s">
        <v>212</v>
      </c>
      <c r="E1533" s="10" t="s">
        <v>75</v>
      </c>
      <c r="F1533" s="12">
        <v>3</v>
      </c>
      <c r="G1533" s="12">
        <v>3870</v>
      </c>
      <c r="H1533" s="12">
        <v>1.9</v>
      </c>
      <c r="I1533" s="12">
        <v>11389.41</v>
      </c>
      <c r="J1533" s="10" t="s">
        <v>51</v>
      </c>
      <c r="K1533" s="10" t="s">
        <v>63</v>
      </c>
      <c r="L1533" t="str">
        <f>IFERROR(VLOOKUP(D1533,Products!A:F,3,0),"")</f>
        <v>Electronics</v>
      </c>
      <c r="M1533" t="str">
        <f>IFERROR(VLOOKUP(E1533,Sales_Reps!A:E,3,0),"")</f>
        <v>West</v>
      </c>
      <c r="N1533" t="str">
        <f>IFERROR(VLOOKUP(C1533,Customers!A:F,5,0),"")</f>
        <v>Retail</v>
      </c>
      <c r="O1533">
        <f>IFERROR(VLOOKUP(C1533,Customers!A:F,3,0),"")</f>
        <v>31</v>
      </c>
      <c r="P1533">
        <f>IFERROR(VLOOKUP(D1533,Products!A:F,4,0),"")</f>
        <v>1559</v>
      </c>
      <c r="Q1533" t="b">
        <f>IFERROR(VLOOKUP(D1533,Products!A:F,6,0),"")</f>
        <v>1</v>
      </c>
      <c r="R1533">
        <f t="shared" si="69"/>
        <v>0.59715762273901807</v>
      </c>
      <c r="S1533">
        <f t="shared" si="70"/>
        <v>1</v>
      </c>
      <c r="T1533">
        <f>IF(AND(S1533&gt;1,COUNTIF($A$2:A1533,A1533)=1),1,0)</f>
        <v>0</v>
      </c>
      <c r="U1533">
        <f>COUNTIF(Customers!$A$2:$A$301,C1533)</f>
        <v>1</v>
      </c>
      <c r="V1533">
        <f t="shared" si="71"/>
        <v>0</v>
      </c>
    </row>
    <row r="1534" spans="1:22" ht="14.25" customHeight="1" x14ac:dyDescent="0.35">
      <c r="A1534" s="10" t="s">
        <v>1991</v>
      </c>
      <c r="B1534" s="11">
        <v>45296</v>
      </c>
      <c r="C1534" s="10" t="s">
        <v>492</v>
      </c>
      <c r="D1534" s="10" t="s">
        <v>91</v>
      </c>
      <c r="E1534" s="10" t="s">
        <v>249</v>
      </c>
      <c r="F1534" s="12">
        <v>6</v>
      </c>
      <c r="G1534" s="12">
        <v>970</v>
      </c>
      <c r="H1534" s="12">
        <v>27.1</v>
      </c>
      <c r="I1534" s="12">
        <v>4242.78</v>
      </c>
      <c r="J1534" s="10" t="s">
        <v>51</v>
      </c>
      <c r="K1534" s="10" t="s">
        <v>76</v>
      </c>
      <c r="L1534" t="str">
        <f>IFERROR(VLOOKUP(D1534,Products!A:F,3,0),"")</f>
        <v>Grocery</v>
      </c>
      <c r="M1534" t="str">
        <f>IFERROR(VLOOKUP(E1534,Sales_Reps!A:E,3,0),"")</f>
        <v>East</v>
      </c>
      <c r="N1534" t="str">
        <f>IFERROR(VLOOKUP(C1534,Customers!A:F,5,0),"")</f>
        <v>Retail</v>
      </c>
      <c r="O1534">
        <f>IFERROR(VLOOKUP(C1534,Customers!A:F,3,0),"")</f>
        <v>44</v>
      </c>
      <c r="P1534">
        <f>IFERROR(VLOOKUP(D1534,Products!A:F,4,0),"")</f>
        <v>434</v>
      </c>
      <c r="Q1534" t="b">
        <f>IFERROR(VLOOKUP(D1534,Products!A:F,6,0),"")</f>
        <v>1</v>
      </c>
      <c r="R1534">
        <f t="shared" si="69"/>
        <v>0.5525773195876289</v>
      </c>
      <c r="S1534">
        <f t="shared" si="70"/>
        <v>1</v>
      </c>
      <c r="T1534">
        <f>IF(AND(S1534&gt;1,COUNTIF($A$2:A1534,A1534)=1),1,0)</f>
        <v>0</v>
      </c>
      <c r="U1534">
        <f>COUNTIF(Customers!$A$2:$A$301,C1534)</f>
        <v>1</v>
      </c>
      <c r="V1534">
        <f t="shared" si="71"/>
        <v>0</v>
      </c>
    </row>
    <row r="1535" spans="1:22" ht="14.25" customHeight="1" x14ac:dyDescent="0.35">
      <c r="A1535" s="10" t="s">
        <v>1992</v>
      </c>
      <c r="B1535" s="11">
        <v>45567</v>
      </c>
      <c r="C1535" s="10" t="s">
        <v>258</v>
      </c>
      <c r="D1535" s="10" t="s">
        <v>148</v>
      </c>
      <c r="E1535" s="10" t="s">
        <v>75</v>
      </c>
      <c r="F1535" s="12">
        <v>1</v>
      </c>
      <c r="G1535" s="12">
        <v>4880</v>
      </c>
      <c r="H1535" s="12">
        <v>26.8</v>
      </c>
      <c r="I1535" s="12">
        <v>3572.16</v>
      </c>
      <c r="J1535" s="10" t="s">
        <v>51</v>
      </c>
      <c r="K1535" s="10" t="s">
        <v>97</v>
      </c>
      <c r="L1535" t="str">
        <f>IFERROR(VLOOKUP(D1535,Products!A:F,3,0),"")</f>
        <v>Beauty</v>
      </c>
      <c r="M1535" t="str">
        <f>IFERROR(VLOOKUP(E1535,Sales_Reps!A:E,3,0),"")</f>
        <v>West</v>
      </c>
      <c r="N1535" t="str">
        <f>IFERROR(VLOOKUP(C1535,Customers!A:F,5,0),"")</f>
        <v>SMB</v>
      </c>
      <c r="O1535">
        <f>IFERROR(VLOOKUP(C1535,Customers!A:F,3,0),"")</f>
        <v>43</v>
      </c>
      <c r="P1535">
        <f>IFERROR(VLOOKUP(D1535,Products!A:F,4,0),"")</f>
        <v>2768</v>
      </c>
      <c r="Q1535" t="b">
        <f>IFERROR(VLOOKUP(D1535,Products!A:F,6,0),"")</f>
        <v>1</v>
      </c>
      <c r="R1535">
        <f t="shared" si="69"/>
        <v>0.43278688524590164</v>
      </c>
      <c r="S1535">
        <f t="shared" si="70"/>
        <v>1</v>
      </c>
      <c r="T1535">
        <f>IF(AND(S1535&gt;1,COUNTIF($A$2:A1535,A1535)=1),1,0)</f>
        <v>0</v>
      </c>
      <c r="U1535">
        <f>COUNTIF(Customers!$A$2:$A$301,C1535)</f>
        <v>1</v>
      </c>
      <c r="V1535">
        <f t="shared" si="71"/>
        <v>0</v>
      </c>
    </row>
    <row r="1536" spans="1:22" ht="14.25" customHeight="1" x14ac:dyDescent="0.35">
      <c r="A1536" s="10" t="s">
        <v>1993</v>
      </c>
      <c r="B1536" s="11">
        <v>45337</v>
      </c>
      <c r="C1536" s="10" t="s">
        <v>805</v>
      </c>
      <c r="D1536" s="10" t="s">
        <v>209</v>
      </c>
      <c r="E1536" s="10" t="s">
        <v>118</v>
      </c>
      <c r="F1536" s="12">
        <v>1</v>
      </c>
      <c r="G1536" s="12">
        <v>2270</v>
      </c>
      <c r="H1536" s="12">
        <v>22.2</v>
      </c>
      <c r="I1536" s="12">
        <v>1766.06</v>
      </c>
      <c r="J1536" s="10" t="s">
        <v>51</v>
      </c>
      <c r="K1536" s="10" t="s">
        <v>81</v>
      </c>
      <c r="L1536" t="str">
        <f>IFERROR(VLOOKUP(D1536,Products!A:F,3,0),"")</f>
        <v>Grocery</v>
      </c>
      <c r="M1536" t="str">
        <f>IFERROR(VLOOKUP(E1536,Sales_Reps!A:E,3,0),"")</f>
        <v>East</v>
      </c>
      <c r="N1536" t="str">
        <f>IFERROR(VLOOKUP(C1536,Customers!A:F,5,0),"")</f>
        <v>Corporate</v>
      </c>
      <c r="O1536">
        <f>IFERROR(VLOOKUP(C1536,Customers!A:F,3,0),"")</f>
        <v>41</v>
      </c>
      <c r="P1536">
        <f>IFERROR(VLOOKUP(D1536,Products!A:F,4,0),"")</f>
        <v>1412</v>
      </c>
      <c r="Q1536" t="b">
        <f>IFERROR(VLOOKUP(D1536,Products!A:F,6,0),"")</f>
        <v>1</v>
      </c>
      <c r="R1536">
        <f t="shared" si="69"/>
        <v>0.37797356828193834</v>
      </c>
      <c r="S1536">
        <f t="shared" si="70"/>
        <v>1</v>
      </c>
      <c r="T1536">
        <f>IF(AND(S1536&gt;1,COUNTIF($A$2:A1536,A1536)=1),1,0)</f>
        <v>0</v>
      </c>
      <c r="U1536">
        <f>COUNTIF(Customers!$A$2:$A$301,C1536)</f>
        <v>1</v>
      </c>
      <c r="V1536">
        <f t="shared" si="71"/>
        <v>1766.06</v>
      </c>
    </row>
    <row r="1537" spans="1:22" ht="14.25" customHeight="1" x14ac:dyDescent="0.35">
      <c r="A1537" s="10" t="s">
        <v>1994</v>
      </c>
      <c r="B1537" s="11">
        <v>45376</v>
      </c>
      <c r="C1537" s="10" t="s">
        <v>117</v>
      </c>
      <c r="D1537" s="10" t="s">
        <v>121</v>
      </c>
      <c r="E1537" s="10" t="s">
        <v>165</v>
      </c>
      <c r="F1537" s="12">
        <v>10</v>
      </c>
      <c r="G1537" s="12">
        <v>3450</v>
      </c>
      <c r="H1537" s="12">
        <v>21.9</v>
      </c>
      <c r="I1537" s="12">
        <v>26944.5</v>
      </c>
      <c r="J1537" s="10" t="s">
        <v>51</v>
      </c>
      <c r="K1537" s="10" t="s">
        <v>81</v>
      </c>
      <c r="L1537" t="str">
        <f>IFERROR(VLOOKUP(D1537,Products!A:F,3,0),"")</f>
        <v>Beauty</v>
      </c>
      <c r="M1537" t="str">
        <f>IFERROR(VLOOKUP(E1537,Sales_Reps!A:E,3,0),"")</f>
        <v>West</v>
      </c>
      <c r="N1537" t="str">
        <f>IFERROR(VLOOKUP(C1537,Customers!A:F,5,0),"")</f>
        <v>SMB</v>
      </c>
      <c r="O1537">
        <f>IFERROR(VLOOKUP(C1537,Customers!A:F,3,0),"")</f>
        <v>46</v>
      </c>
      <c r="P1537">
        <f>IFERROR(VLOOKUP(D1537,Products!A:F,4,0),"")</f>
        <v>2420</v>
      </c>
      <c r="Q1537" t="b">
        <f>IFERROR(VLOOKUP(D1537,Products!A:F,6,0),"")</f>
        <v>1</v>
      </c>
      <c r="R1537">
        <f t="shared" si="69"/>
        <v>0.29855072463768118</v>
      </c>
      <c r="S1537">
        <f t="shared" si="70"/>
        <v>1</v>
      </c>
      <c r="T1537">
        <f>IF(AND(S1537&gt;1,COUNTIF($A$2:A1537,A1537)=1),1,0)</f>
        <v>0</v>
      </c>
      <c r="U1537">
        <f>COUNTIF(Customers!$A$2:$A$301,C1537)</f>
        <v>1</v>
      </c>
      <c r="V1537">
        <f t="shared" si="71"/>
        <v>0</v>
      </c>
    </row>
    <row r="1538" spans="1:22" ht="14.25" customHeight="1" x14ac:dyDescent="0.35">
      <c r="A1538" s="10" t="s">
        <v>1995</v>
      </c>
      <c r="B1538" s="11">
        <v>45616</v>
      </c>
      <c r="C1538" s="10" t="s">
        <v>525</v>
      </c>
      <c r="D1538" s="10" t="s">
        <v>209</v>
      </c>
      <c r="E1538" s="10" t="s">
        <v>237</v>
      </c>
      <c r="F1538" s="12">
        <v>3</v>
      </c>
      <c r="G1538" s="12">
        <v>2270</v>
      </c>
      <c r="H1538" s="12">
        <v>19.100000000000001</v>
      </c>
      <c r="I1538" s="12">
        <v>5509.29</v>
      </c>
      <c r="J1538" s="10" t="s">
        <v>104</v>
      </c>
      <c r="K1538" s="10" t="s">
        <v>97</v>
      </c>
      <c r="L1538" t="str">
        <f>IFERROR(VLOOKUP(D1538,Products!A:F,3,0),"")</f>
        <v>Grocery</v>
      </c>
      <c r="M1538" t="str">
        <f>IFERROR(VLOOKUP(E1538,Sales_Reps!A:E,3,0),"")</f>
        <v>South</v>
      </c>
      <c r="N1538" t="str">
        <f>IFERROR(VLOOKUP(C1538,Customers!A:F,5,0),"")</f>
        <v>SMB</v>
      </c>
      <c r="O1538">
        <f>IFERROR(VLOOKUP(C1538,Customers!A:F,3,0),"")</f>
        <v>43</v>
      </c>
      <c r="P1538">
        <f>IFERROR(VLOOKUP(D1538,Products!A:F,4,0),"")</f>
        <v>1412</v>
      </c>
      <c r="Q1538" t="b">
        <f>IFERROR(VLOOKUP(D1538,Products!A:F,6,0),"")</f>
        <v>1</v>
      </c>
      <c r="R1538">
        <f t="shared" ref="R1538:R1601" si="72">IFERROR((G1538-P1538)/G1538,"")</f>
        <v>0.37797356828193834</v>
      </c>
      <c r="S1538">
        <f t="shared" ref="S1538:S1601" si="73">COUNTIF($A$2:$A$2001,A1538)</f>
        <v>1</v>
      </c>
      <c r="T1538">
        <f>IF(AND(S1538&gt;1,COUNTIF($A$2:A1538,A1538)=1),1,0)</f>
        <v>0</v>
      </c>
      <c r="U1538">
        <f>COUNTIF(Customers!$A$2:$A$301,C1538)</f>
        <v>1</v>
      </c>
      <c r="V1538">
        <f t="shared" ref="V1538:V1601" si="74">IF(AND(K1538="Bengaluru",L1538="Grocery"),I1538,0)</f>
        <v>0</v>
      </c>
    </row>
    <row r="1539" spans="1:22" ht="14.25" customHeight="1" x14ac:dyDescent="0.35">
      <c r="A1539" s="10" t="s">
        <v>1996</v>
      </c>
      <c r="B1539" s="11">
        <v>45360</v>
      </c>
      <c r="C1539" s="10" t="s">
        <v>885</v>
      </c>
      <c r="D1539" s="10" t="s">
        <v>302</v>
      </c>
      <c r="E1539" s="10" t="s">
        <v>134</v>
      </c>
      <c r="F1539" s="12">
        <v>10</v>
      </c>
      <c r="G1539" s="12">
        <v>2210</v>
      </c>
      <c r="H1539" s="12">
        <v>22.3</v>
      </c>
      <c r="I1539" s="12">
        <v>17171.7</v>
      </c>
      <c r="J1539" s="10" t="s">
        <v>51</v>
      </c>
      <c r="K1539" s="10" t="s">
        <v>81</v>
      </c>
      <c r="L1539" t="str">
        <f>IFERROR(VLOOKUP(D1539,Products!A:F,3,0),"")</f>
        <v>Grocery</v>
      </c>
      <c r="M1539" t="str">
        <f>IFERROR(VLOOKUP(E1539,Sales_Reps!A:E,3,0),"")</f>
        <v>West</v>
      </c>
      <c r="N1539" t="str">
        <f>IFERROR(VLOOKUP(C1539,Customers!A:F,5,0),"")</f>
        <v>Retail</v>
      </c>
      <c r="O1539">
        <f>IFERROR(VLOOKUP(C1539,Customers!A:F,3,0),"")</f>
        <v>28</v>
      </c>
      <c r="P1539">
        <f>IFERROR(VLOOKUP(D1539,Products!A:F,4,0),"")</f>
        <v>1010</v>
      </c>
      <c r="Q1539" t="b">
        <f>IFERROR(VLOOKUP(D1539,Products!A:F,6,0),"")</f>
        <v>1</v>
      </c>
      <c r="R1539">
        <f t="shared" si="72"/>
        <v>0.54298642533936647</v>
      </c>
      <c r="S1539">
        <f t="shared" si="73"/>
        <v>1</v>
      </c>
      <c r="T1539">
        <f>IF(AND(S1539&gt;1,COUNTIF($A$2:A1539,A1539)=1),1,0)</f>
        <v>0</v>
      </c>
      <c r="U1539">
        <f>COUNTIF(Customers!$A$2:$A$301,C1539)</f>
        <v>1</v>
      </c>
      <c r="V1539">
        <f t="shared" si="74"/>
        <v>17171.7</v>
      </c>
    </row>
    <row r="1540" spans="1:22" ht="14.25" customHeight="1" x14ac:dyDescent="0.35">
      <c r="A1540" s="10" t="s">
        <v>1997</v>
      </c>
      <c r="B1540" s="11">
        <v>45465</v>
      </c>
      <c r="C1540" s="10" t="s">
        <v>438</v>
      </c>
      <c r="D1540" s="10" t="s">
        <v>259</v>
      </c>
      <c r="E1540" s="10" t="s">
        <v>237</v>
      </c>
      <c r="F1540" s="12">
        <v>9</v>
      </c>
      <c r="G1540" s="12">
        <v>2030</v>
      </c>
      <c r="H1540" s="12">
        <v>24.8</v>
      </c>
      <c r="I1540" s="12">
        <v>13739.04</v>
      </c>
      <c r="J1540" s="10" t="s">
        <v>51</v>
      </c>
      <c r="K1540" s="10" t="s">
        <v>63</v>
      </c>
      <c r="L1540" t="str">
        <f>IFERROR(VLOOKUP(D1540,Products!A:F,3,0),"")</f>
        <v>Home</v>
      </c>
      <c r="M1540" t="str">
        <f>IFERROR(VLOOKUP(E1540,Sales_Reps!A:E,3,0),"")</f>
        <v>South</v>
      </c>
      <c r="N1540" t="str">
        <f>IFERROR(VLOOKUP(C1540,Customers!A:F,5,0),"")</f>
        <v>SMB</v>
      </c>
      <c r="O1540">
        <f>IFERROR(VLOOKUP(C1540,Customers!A:F,3,0),"")</f>
        <v>59</v>
      </c>
      <c r="P1540">
        <f>IFERROR(VLOOKUP(D1540,Products!A:F,4,0),"")</f>
        <v>1143</v>
      </c>
      <c r="Q1540" t="b">
        <f>IFERROR(VLOOKUP(D1540,Products!A:F,6,0),"")</f>
        <v>1</v>
      </c>
      <c r="R1540">
        <f t="shared" si="72"/>
        <v>0.43694581280788175</v>
      </c>
      <c r="S1540">
        <f t="shared" si="73"/>
        <v>1</v>
      </c>
      <c r="T1540">
        <f>IF(AND(S1540&gt;1,COUNTIF($A$2:A1540,A1540)=1),1,0)</f>
        <v>0</v>
      </c>
      <c r="U1540">
        <f>COUNTIF(Customers!$A$2:$A$301,C1540)</f>
        <v>1</v>
      </c>
      <c r="V1540">
        <f t="shared" si="74"/>
        <v>0</v>
      </c>
    </row>
    <row r="1541" spans="1:22" ht="14.25" customHeight="1" x14ac:dyDescent="0.35">
      <c r="A1541" s="10" t="s">
        <v>1998</v>
      </c>
      <c r="B1541" s="11">
        <v>45380</v>
      </c>
      <c r="C1541" s="10" t="s">
        <v>352</v>
      </c>
      <c r="D1541" s="10" t="s">
        <v>143</v>
      </c>
      <c r="E1541" s="10" t="s">
        <v>118</v>
      </c>
      <c r="F1541" s="12">
        <v>5</v>
      </c>
      <c r="G1541" s="12">
        <v>3350</v>
      </c>
      <c r="H1541" s="12">
        <v>18.2</v>
      </c>
      <c r="I1541" s="12">
        <v>13701.5</v>
      </c>
      <c r="J1541" s="10" t="s">
        <v>51</v>
      </c>
      <c r="K1541" s="10" t="s">
        <v>97</v>
      </c>
      <c r="L1541" t="str">
        <f>IFERROR(VLOOKUP(D1541,Products!A:F,3,0),"")</f>
        <v>Beauty</v>
      </c>
      <c r="M1541" t="str">
        <f>IFERROR(VLOOKUP(E1541,Sales_Reps!A:E,3,0),"")</f>
        <v>East</v>
      </c>
      <c r="N1541" t="str">
        <f>IFERROR(VLOOKUP(C1541,Customers!A:F,5,0),"")</f>
        <v>Retail</v>
      </c>
      <c r="O1541">
        <f>IFERROR(VLOOKUP(C1541,Customers!A:F,3,0),"")</f>
        <v>44</v>
      </c>
      <c r="P1541">
        <f>IFERROR(VLOOKUP(D1541,Products!A:F,4,0),"")</f>
        <v>1728</v>
      </c>
      <c r="Q1541" t="b">
        <f>IFERROR(VLOOKUP(D1541,Products!A:F,6,0),"")</f>
        <v>1</v>
      </c>
      <c r="R1541">
        <f t="shared" si="72"/>
        <v>0.48417910447761192</v>
      </c>
      <c r="S1541">
        <f t="shared" si="73"/>
        <v>1</v>
      </c>
      <c r="T1541">
        <f>IF(AND(S1541&gt;1,COUNTIF($A$2:A1541,A1541)=1),1,0)</f>
        <v>0</v>
      </c>
      <c r="U1541">
        <f>COUNTIF(Customers!$A$2:$A$301,C1541)</f>
        <v>1</v>
      </c>
      <c r="V1541">
        <f t="shared" si="74"/>
        <v>0</v>
      </c>
    </row>
    <row r="1542" spans="1:22" ht="14.25" customHeight="1" x14ac:dyDescent="0.35">
      <c r="A1542" s="10" t="s">
        <v>1999</v>
      </c>
      <c r="B1542" s="11">
        <v>45358</v>
      </c>
      <c r="C1542" s="10" t="s">
        <v>1592</v>
      </c>
      <c r="D1542" s="10" t="s">
        <v>201</v>
      </c>
      <c r="E1542" s="10" t="s">
        <v>71</v>
      </c>
      <c r="F1542" s="12">
        <v>7</v>
      </c>
      <c r="G1542" s="12">
        <v>3640</v>
      </c>
      <c r="H1542" s="12">
        <v>14.4</v>
      </c>
      <c r="I1542" s="12">
        <v>21810.880000000001</v>
      </c>
      <c r="J1542" s="10" t="s">
        <v>51</v>
      </c>
      <c r="K1542" s="10" t="s">
        <v>58</v>
      </c>
      <c r="L1542" t="str">
        <f>IFERROR(VLOOKUP(D1542,Products!A:F,3,0),"")</f>
        <v>Apparel</v>
      </c>
      <c r="M1542" t="str">
        <f>IFERROR(VLOOKUP(E1542,Sales_Reps!A:E,3,0),"")</f>
        <v>North</v>
      </c>
      <c r="N1542" t="str">
        <f>IFERROR(VLOOKUP(C1542,Customers!A:F,5,0),"")</f>
        <v>Retail</v>
      </c>
      <c r="O1542">
        <f>IFERROR(VLOOKUP(C1542,Customers!A:F,3,0),"")</f>
        <v>35</v>
      </c>
      <c r="P1542">
        <f>IFERROR(VLOOKUP(D1542,Products!A:F,4,0),"")</f>
        <v>2611</v>
      </c>
      <c r="Q1542" t="b">
        <f>IFERROR(VLOOKUP(D1542,Products!A:F,6,0),"")</f>
        <v>1</v>
      </c>
      <c r="R1542">
        <f t="shared" si="72"/>
        <v>0.28269230769230769</v>
      </c>
      <c r="S1542">
        <f t="shared" si="73"/>
        <v>1</v>
      </c>
      <c r="T1542">
        <f>IF(AND(S1542&gt;1,COUNTIF($A$2:A1542,A1542)=1),1,0)</f>
        <v>0</v>
      </c>
      <c r="U1542">
        <f>COUNTIF(Customers!$A$2:$A$301,C1542)</f>
        <v>1</v>
      </c>
      <c r="V1542">
        <f t="shared" si="74"/>
        <v>0</v>
      </c>
    </row>
    <row r="1543" spans="1:22" ht="14.25" customHeight="1" x14ac:dyDescent="0.35">
      <c r="A1543" s="10" t="s">
        <v>2000</v>
      </c>
      <c r="B1543" s="11">
        <v>45385</v>
      </c>
      <c r="C1543" s="10" t="s">
        <v>866</v>
      </c>
      <c r="D1543" s="10" t="s">
        <v>125</v>
      </c>
      <c r="E1543" s="10" t="s">
        <v>267</v>
      </c>
      <c r="F1543" s="12">
        <v>9</v>
      </c>
      <c r="G1543" s="12">
        <v>3450</v>
      </c>
      <c r="H1543" s="12">
        <v>20.100000000000001</v>
      </c>
      <c r="I1543" s="12">
        <v>24808.95</v>
      </c>
      <c r="J1543" s="10" t="s">
        <v>51</v>
      </c>
      <c r="K1543" s="10" t="s">
        <v>76</v>
      </c>
      <c r="L1543" t="str">
        <f>IFERROR(VLOOKUP(D1543,Products!A:F,3,0),"")</f>
        <v>Sports</v>
      </c>
      <c r="M1543" t="str">
        <f>IFERROR(VLOOKUP(E1543,Sales_Reps!A:E,3,0),"")</f>
        <v>East</v>
      </c>
      <c r="N1543" t="str">
        <f>IFERROR(VLOOKUP(C1543,Customers!A:F,5,0),"")</f>
        <v>Retail</v>
      </c>
      <c r="O1543">
        <f>IFERROR(VLOOKUP(C1543,Customers!A:F,3,0),"")</f>
        <v>37</v>
      </c>
      <c r="P1543">
        <f>IFERROR(VLOOKUP(D1543,Products!A:F,4,0),"")</f>
        <v>2467</v>
      </c>
      <c r="Q1543" t="b">
        <f>IFERROR(VLOOKUP(D1543,Products!A:F,6,0),"")</f>
        <v>1</v>
      </c>
      <c r="R1543">
        <f t="shared" si="72"/>
        <v>0.28492753623188405</v>
      </c>
      <c r="S1543">
        <f t="shared" si="73"/>
        <v>1</v>
      </c>
      <c r="T1543">
        <f>IF(AND(S1543&gt;1,COUNTIF($A$2:A1543,A1543)=1),1,0)</f>
        <v>0</v>
      </c>
      <c r="U1543">
        <f>COUNTIF(Customers!$A$2:$A$301,C1543)</f>
        <v>1</v>
      </c>
      <c r="V1543">
        <f t="shared" si="74"/>
        <v>0</v>
      </c>
    </row>
    <row r="1544" spans="1:22" ht="14.25" customHeight="1" x14ac:dyDescent="0.35">
      <c r="A1544" s="10" t="s">
        <v>2001</v>
      </c>
      <c r="B1544" s="11">
        <v>45443</v>
      </c>
      <c r="C1544" s="10" t="s">
        <v>832</v>
      </c>
      <c r="D1544" s="10" t="s">
        <v>121</v>
      </c>
      <c r="E1544" s="10" t="s">
        <v>112</v>
      </c>
      <c r="F1544" s="12">
        <v>6</v>
      </c>
      <c r="G1544" s="12">
        <v>3450</v>
      </c>
      <c r="H1544" s="12">
        <v>19.899999999999999</v>
      </c>
      <c r="I1544" s="12">
        <v>16580.7</v>
      </c>
      <c r="J1544" s="10" t="s">
        <v>57</v>
      </c>
      <c r="K1544" s="10" t="s">
        <v>63</v>
      </c>
      <c r="L1544" t="str">
        <f>IFERROR(VLOOKUP(D1544,Products!A:F,3,0),"")</f>
        <v>Beauty</v>
      </c>
      <c r="M1544" t="str">
        <f>IFERROR(VLOOKUP(E1544,Sales_Reps!A:E,3,0),"")</f>
        <v>North</v>
      </c>
      <c r="N1544" t="str">
        <f>IFERROR(VLOOKUP(C1544,Customers!A:F,5,0),"")</f>
        <v>SMB</v>
      </c>
      <c r="O1544">
        <f>IFERROR(VLOOKUP(C1544,Customers!A:F,3,0),"")</f>
        <v>38</v>
      </c>
      <c r="P1544">
        <f>IFERROR(VLOOKUP(D1544,Products!A:F,4,0),"")</f>
        <v>2420</v>
      </c>
      <c r="Q1544" t="b">
        <f>IFERROR(VLOOKUP(D1544,Products!A:F,6,0),"")</f>
        <v>1</v>
      </c>
      <c r="R1544">
        <f t="shared" si="72"/>
        <v>0.29855072463768118</v>
      </c>
      <c r="S1544">
        <f t="shared" si="73"/>
        <v>1</v>
      </c>
      <c r="T1544">
        <f>IF(AND(S1544&gt;1,COUNTIF($A$2:A1544,A1544)=1),1,0)</f>
        <v>0</v>
      </c>
      <c r="U1544">
        <f>COUNTIF(Customers!$A$2:$A$301,C1544)</f>
        <v>1</v>
      </c>
      <c r="V1544">
        <f t="shared" si="74"/>
        <v>0</v>
      </c>
    </row>
    <row r="1545" spans="1:22" ht="14.25" customHeight="1" x14ac:dyDescent="0.35">
      <c r="A1545" s="10" t="s">
        <v>2002</v>
      </c>
      <c r="B1545" s="11">
        <v>45599</v>
      </c>
      <c r="C1545" s="10" t="s">
        <v>145</v>
      </c>
      <c r="D1545" s="10" t="s">
        <v>350</v>
      </c>
      <c r="E1545" s="10" t="s">
        <v>249</v>
      </c>
      <c r="F1545" s="12">
        <v>4</v>
      </c>
      <c r="G1545" s="12">
        <v>2290</v>
      </c>
      <c r="H1545" s="12">
        <v>4.8</v>
      </c>
      <c r="I1545" s="12">
        <v>8720.32</v>
      </c>
      <c r="J1545" s="10" t="s">
        <v>57</v>
      </c>
      <c r="K1545" s="10" t="s">
        <v>63</v>
      </c>
      <c r="L1545" t="str">
        <f>IFERROR(VLOOKUP(D1545,Products!A:F,3,0),"")</f>
        <v>Beauty</v>
      </c>
      <c r="M1545" t="str">
        <f>IFERROR(VLOOKUP(E1545,Sales_Reps!A:E,3,0),"")</f>
        <v>East</v>
      </c>
      <c r="N1545" t="str">
        <f>IFERROR(VLOOKUP(C1545,Customers!A:F,5,0),"")</f>
        <v>Retail</v>
      </c>
      <c r="O1545">
        <f>IFERROR(VLOOKUP(C1545,Customers!A:F,3,0),"")</f>
        <v>31</v>
      </c>
      <c r="P1545">
        <f>IFERROR(VLOOKUP(D1545,Products!A:F,4,0),"")</f>
        <v>1219</v>
      </c>
      <c r="Q1545" t="b">
        <f>IFERROR(VLOOKUP(D1545,Products!A:F,6,0),"")</f>
        <v>1</v>
      </c>
      <c r="R1545">
        <f t="shared" si="72"/>
        <v>0.46768558951965067</v>
      </c>
      <c r="S1545">
        <f t="shared" si="73"/>
        <v>1</v>
      </c>
      <c r="T1545">
        <f>IF(AND(S1545&gt;1,COUNTIF($A$2:A1545,A1545)=1),1,0)</f>
        <v>0</v>
      </c>
      <c r="U1545">
        <f>COUNTIF(Customers!$A$2:$A$301,C1545)</f>
        <v>1</v>
      </c>
      <c r="V1545">
        <f t="shared" si="74"/>
        <v>0</v>
      </c>
    </row>
    <row r="1546" spans="1:22" ht="14.25" customHeight="1" x14ac:dyDescent="0.35">
      <c r="A1546" s="10" t="s">
        <v>2003</v>
      </c>
      <c r="B1546" s="11">
        <v>45479</v>
      </c>
      <c r="C1546" s="10" t="s">
        <v>661</v>
      </c>
      <c r="D1546" s="10" t="s">
        <v>79</v>
      </c>
      <c r="E1546" s="10" t="s">
        <v>96</v>
      </c>
      <c r="F1546" s="12">
        <v>9</v>
      </c>
      <c r="G1546" s="12">
        <v>960</v>
      </c>
      <c r="H1546" s="12">
        <v>2.4</v>
      </c>
      <c r="I1546" s="12">
        <v>8432.64</v>
      </c>
      <c r="J1546" s="10" t="s">
        <v>51</v>
      </c>
      <c r="K1546" s="10" t="s">
        <v>97</v>
      </c>
      <c r="L1546" t="str">
        <f>IFERROR(VLOOKUP(D1546,Products!A:F,3,0),"")</f>
        <v>Sports</v>
      </c>
      <c r="M1546" t="str">
        <f>IFERROR(VLOOKUP(E1546,Sales_Reps!A:E,3,0),"")</f>
        <v>South</v>
      </c>
      <c r="N1546" t="str">
        <f>IFERROR(VLOOKUP(C1546,Customers!A:F,5,0),"")</f>
        <v>Retail</v>
      </c>
      <c r="O1546">
        <f>IFERROR(VLOOKUP(C1546,Customers!A:F,3,0),"")</f>
        <v>65</v>
      </c>
      <c r="P1546">
        <f>IFERROR(VLOOKUP(D1546,Products!A:F,4,0),"")</f>
        <v>705</v>
      </c>
      <c r="Q1546" t="b">
        <f>IFERROR(VLOOKUP(D1546,Products!A:F,6,0),"")</f>
        <v>1</v>
      </c>
      <c r="R1546">
        <f t="shared" si="72"/>
        <v>0.265625</v>
      </c>
      <c r="S1546">
        <f t="shared" si="73"/>
        <v>1</v>
      </c>
      <c r="T1546">
        <f>IF(AND(S1546&gt;1,COUNTIF($A$2:A1546,A1546)=1),1,0)</f>
        <v>0</v>
      </c>
      <c r="U1546">
        <f>COUNTIF(Customers!$A$2:$A$301,C1546)</f>
        <v>1</v>
      </c>
      <c r="V1546">
        <f t="shared" si="74"/>
        <v>0</v>
      </c>
    </row>
    <row r="1547" spans="1:22" ht="14.25" customHeight="1" x14ac:dyDescent="0.35">
      <c r="A1547" s="10" t="s">
        <v>2004</v>
      </c>
      <c r="B1547" s="11">
        <v>45489</v>
      </c>
      <c r="C1547" s="10" t="s">
        <v>689</v>
      </c>
      <c r="D1547" s="10" t="s">
        <v>234</v>
      </c>
      <c r="E1547" s="10" t="s">
        <v>75</v>
      </c>
      <c r="F1547" s="12">
        <v>9</v>
      </c>
      <c r="G1547" s="12">
        <v>4610</v>
      </c>
      <c r="H1547" s="12">
        <v>21.3</v>
      </c>
      <c r="I1547" s="12">
        <v>32652.63</v>
      </c>
      <c r="J1547" s="10" t="s">
        <v>51</v>
      </c>
      <c r="K1547" s="10" t="s">
        <v>63</v>
      </c>
      <c r="L1547" t="str">
        <f>IFERROR(VLOOKUP(D1547,Products!A:F,3,0),"")</f>
        <v>Home</v>
      </c>
      <c r="M1547" t="str">
        <f>IFERROR(VLOOKUP(E1547,Sales_Reps!A:E,3,0),"")</f>
        <v>West</v>
      </c>
      <c r="N1547" t="str">
        <f>IFERROR(VLOOKUP(C1547,Customers!A:F,5,0),"")</f>
        <v>SMB</v>
      </c>
      <c r="O1547">
        <f>IFERROR(VLOOKUP(C1547,Customers!A:F,3,0),"")</f>
        <v>26</v>
      </c>
      <c r="P1547">
        <f>IFERROR(VLOOKUP(D1547,Products!A:F,4,0),"")</f>
        <v>1850</v>
      </c>
      <c r="Q1547" t="b">
        <f>IFERROR(VLOOKUP(D1547,Products!A:F,6,0),"")</f>
        <v>1</v>
      </c>
      <c r="R1547">
        <f t="shared" si="72"/>
        <v>0.59869848156182215</v>
      </c>
      <c r="S1547">
        <f t="shared" si="73"/>
        <v>1</v>
      </c>
      <c r="T1547">
        <f>IF(AND(S1547&gt;1,COUNTIF($A$2:A1547,A1547)=1),1,0)</f>
        <v>0</v>
      </c>
      <c r="U1547">
        <f>COUNTIF(Customers!$A$2:$A$301,C1547)</f>
        <v>1</v>
      </c>
      <c r="V1547">
        <f t="shared" si="74"/>
        <v>0</v>
      </c>
    </row>
    <row r="1548" spans="1:22" ht="14.25" customHeight="1" x14ac:dyDescent="0.35">
      <c r="A1548" s="10" t="s">
        <v>2005</v>
      </c>
      <c r="B1548" s="11">
        <v>45514</v>
      </c>
      <c r="C1548" s="10" t="s">
        <v>1036</v>
      </c>
      <c r="D1548" s="10" t="s">
        <v>66</v>
      </c>
      <c r="E1548" s="10" t="s">
        <v>112</v>
      </c>
      <c r="F1548" s="12">
        <v>1</v>
      </c>
      <c r="G1548" s="12">
        <v>3660</v>
      </c>
      <c r="H1548" s="12">
        <v>15.6</v>
      </c>
      <c r="I1548" s="12">
        <v>3089.04</v>
      </c>
      <c r="J1548" s="10" t="s">
        <v>51</v>
      </c>
      <c r="K1548" s="10" t="s">
        <v>76</v>
      </c>
      <c r="L1548" t="str">
        <f>IFERROR(VLOOKUP(D1548,Products!A:F,3,0),"")</f>
        <v>Grocery</v>
      </c>
      <c r="M1548" t="str">
        <f>IFERROR(VLOOKUP(E1548,Sales_Reps!A:E,3,0),"")</f>
        <v>North</v>
      </c>
      <c r="N1548" t="str">
        <f>IFERROR(VLOOKUP(C1548,Customers!A:F,5,0),"")</f>
        <v>SMB</v>
      </c>
      <c r="O1548">
        <f>IFERROR(VLOOKUP(C1548,Customers!A:F,3,0),"")</f>
        <v>53</v>
      </c>
      <c r="P1548">
        <f>IFERROR(VLOOKUP(D1548,Products!A:F,4,0),"")</f>
        <v>2214</v>
      </c>
      <c r="Q1548" t="b">
        <f>IFERROR(VLOOKUP(D1548,Products!A:F,6,0),"")</f>
        <v>0</v>
      </c>
      <c r="R1548">
        <f t="shared" si="72"/>
        <v>0.39508196721311473</v>
      </c>
      <c r="S1548">
        <f t="shared" si="73"/>
        <v>1</v>
      </c>
      <c r="T1548">
        <f>IF(AND(S1548&gt;1,COUNTIF($A$2:A1548,A1548)=1),1,0)</f>
        <v>0</v>
      </c>
      <c r="U1548">
        <f>COUNTIF(Customers!$A$2:$A$301,C1548)</f>
        <v>1</v>
      </c>
      <c r="V1548">
        <f t="shared" si="74"/>
        <v>0</v>
      </c>
    </row>
    <row r="1549" spans="1:22" ht="14.25" customHeight="1" x14ac:dyDescent="0.35">
      <c r="A1549" s="10" t="s">
        <v>2006</v>
      </c>
      <c r="B1549" s="11">
        <v>45653</v>
      </c>
      <c r="C1549" s="10" t="s">
        <v>269</v>
      </c>
      <c r="D1549" s="10" t="s">
        <v>243</v>
      </c>
      <c r="E1549" s="10" t="s">
        <v>289</v>
      </c>
      <c r="F1549" s="12">
        <v>5</v>
      </c>
      <c r="G1549" s="12">
        <v>2660</v>
      </c>
      <c r="H1549" s="12">
        <v>20.399999999999999</v>
      </c>
      <c r="I1549" s="12">
        <v>10586.8</v>
      </c>
      <c r="J1549" s="10" t="s">
        <v>51</v>
      </c>
      <c r="K1549" s="10" t="s">
        <v>97</v>
      </c>
      <c r="L1549" t="str">
        <f>IFERROR(VLOOKUP(D1549,Products!A:F,3,0),"")</f>
        <v>Electronics</v>
      </c>
      <c r="M1549" t="str">
        <f>IFERROR(VLOOKUP(E1549,Sales_Reps!A:E,3,0),"")</f>
        <v>South</v>
      </c>
      <c r="N1549" t="str">
        <f>IFERROR(VLOOKUP(C1549,Customers!A:F,5,0),"")</f>
        <v>Corporate</v>
      </c>
      <c r="O1549">
        <f>IFERROR(VLOOKUP(C1549,Customers!A:F,3,0),"")</f>
        <v>46</v>
      </c>
      <c r="P1549">
        <f>IFERROR(VLOOKUP(D1549,Products!A:F,4,0),"")</f>
        <v>1259</v>
      </c>
      <c r="Q1549" t="b">
        <f>IFERROR(VLOOKUP(D1549,Products!A:F,6,0),"")</f>
        <v>0</v>
      </c>
      <c r="R1549">
        <f t="shared" si="72"/>
        <v>0.52669172932330832</v>
      </c>
      <c r="S1549">
        <f t="shared" si="73"/>
        <v>1</v>
      </c>
      <c r="T1549">
        <f>IF(AND(S1549&gt;1,COUNTIF($A$2:A1549,A1549)=1),1,0)</f>
        <v>0</v>
      </c>
      <c r="U1549">
        <f>COUNTIF(Customers!$A$2:$A$301,C1549)</f>
        <v>1</v>
      </c>
      <c r="V1549">
        <f t="shared" si="74"/>
        <v>0</v>
      </c>
    </row>
    <row r="1550" spans="1:22" ht="14.25" customHeight="1" x14ac:dyDescent="0.35">
      <c r="A1550" s="10" t="s">
        <v>2007</v>
      </c>
      <c r="B1550" s="11">
        <v>45401</v>
      </c>
      <c r="C1550" s="10" t="s">
        <v>832</v>
      </c>
      <c r="D1550" s="10" t="s">
        <v>223</v>
      </c>
      <c r="E1550" s="10" t="s">
        <v>165</v>
      </c>
      <c r="F1550" s="12">
        <v>8</v>
      </c>
      <c r="G1550" s="12">
        <v>1540</v>
      </c>
      <c r="H1550" s="12">
        <v>0.5</v>
      </c>
      <c r="I1550" s="12">
        <v>12258.4</v>
      </c>
      <c r="J1550" s="10" t="s">
        <v>51</v>
      </c>
      <c r="K1550" s="10" t="s">
        <v>63</v>
      </c>
      <c r="L1550" t="str">
        <f>IFERROR(VLOOKUP(D1550,Products!A:F,3,0),"")</f>
        <v>Beauty</v>
      </c>
      <c r="M1550" t="str">
        <f>IFERROR(VLOOKUP(E1550,Sales_Reps!A:E,3,0),"")</f>
        <v>West</v>
      </c>
      <c r="N1550" t="str">
        <f>IFERROR(VLOOKUP(C1550,Customers!A:F,5,0),"")</f>
        <v>SMB</v>
      </c>
      <c r="O1550">
        <f>IFERROR(VLOOKUP(C1550,Customers!A:F,3,0),"")</f>
        <v>38</v>
      </c>
      <c r="P1550">
        <f>IFERROR(VLOOKUP(D1550,Products!A:F,4,0),"")</f>
        <v>647</v>
      </c>
      <c r="Q1550" t="b">
        <f>IFERROR(VLOOKUP(D1550,Products!A:F,6,0),"")</f>
        <v>0</v>
      </c>
      <c r="R1550">
        <f t="shared" si="72"/>
        <v>0.57987012987012987</v>
      </c>
      <c r="S1550">
        <f t="shared" si="73"/>
        <v>1</v>
      </c>
      <c r="T1550">
        <f>IF(AND(S1550&gt;1,COUNTIF($A$2:A1550,A1550)=1),1,0)</f>
        <v>0</v>
      </c>
      <c r="U1550">
        <f>COUNTIF(Customers!$A$2:$A$301,C1550)</f>
        <v>1</v>
      </c>
      <c r="V1550">
        <f t="shared" si="74"/>
        <v>0</v>
      </c>
    </row>
    <row r="1551" spans="1:22" ht="14.25" customHeight="1" x14ac:dyDescent="0.35">
      <c r="A1551" s="10" t="s">
        <v>2008</v>
      </c>
      <c r="B1551" s="11">
        <v>45621</v>
      </c>
      <c r="C1551" s="10" t="s">
        <v>471</v>
      </c>
      <c r="D1551" s="10" t="s">
        <v>372</v>
      </c>
      <c r="E1551" s="10" t="s">
        <v>103</v>
      </c>
      <c r="F1551" s="12">
        <v>4</v>
      </c>
      <c r="G1551" s="12">
        <v>3970</v>
      </c>
      <c r="H1551" s="12">
        <v>22.5</v>
      </c>
      <c r="I1551" s="12">
        <v>12307</v>
      </c>
      <c r="J1551" s="10" t="s">
        <v>51</v>
      </c>
      <c r="K1551" s="10" t="s">
        <v>52</v>
      </c>
      <c r="L1551" t="str">
        <f>IFERROR(VLOOKUP(D1551,Products!A:F,3,0),"")</f>
        <v>Electronics</v>
      </c>
      <c r="M1551" t="str">
        <f>IFERROR(VLOOKUP(E1551,Sales_Reps!A:E,3,0),"")</f>
        <v>North</v>
      </c>
      <c r="N1551" t="str">
        <f>IFERROR(VLOOKUP(C1551,Customers!A:F,5,0),"")</f>
        <v>Retail</v>
      </c>
      <c r="O1551">
        <f>IFERROR(VLOOKUP(C1551,Customers!A:F,3,0),"")</f>
        <v>59</v>
      </c>
      <c r="P1551">
        <f>IFERROR(VLOOKUP(D1551,Products!A:F,4,0),"")</f>
        <v>2865</v>
      </c>
      <c r="Q1551" t="b">
        <f>IFERROR(VLOOKUP(D1551,Products!A:F,6,0),"")</f>
        <v>1</v>
      </c>
      <c r="R1551">
        <f t="shared" si="72"/>
        <v>0.27833753148614609</v>
      </c>
      <c r="S1551">
        <f t="shared" si="73"/>
        <v>1</v>
      </c>
      <c r="T1551">
        <f>IF(AND(S1551&gt;1,COUNTIF($A$2:A1551,A1551)=1),1,0)</f>
        <v>0</v>
      </c>
      <c r="U1551">
        <f>COUNTIF(Customers!$A$2:$A$301,C1551)</f>
        <v>1</v>
      </c>
      <c r="V1551">
        <f t="shared" si="74"/>
        <v>0</v>
      </c>
    </row>
    <row r="1552" spans="1:22" ht="14.25" customHeight="1" x14ac:dyDescent="0.35">
      <c r="A1552" s="10" t="s">
        <v>2009</v>
      </c>
      <c r="B1552" s="11">
        <v>45368</v>
      </c>
      <c r="C1552" s="10" t="s">
        <v>333</v>
      </c>
      <c r="D1552" s="10" t="s">
        <v>425</v>
      </c>
      <c r="E1552" s="10" t="s">
        <v>50</v>
      </c>
      <c r="F1552" s="12">
        <v>8</v>
      </c>
      <c r="G1552" s="12">
        <v>3780</v>
      </c>
      <c r="H1552" s="12">
        <v>3.8</v>
      </c>
      <c r="I1552" s="12">
        <v>29090.880000000001</v>
      </c>
      <c r="J1552" s="10" t="s">
        <v>51</v>
      </c>
      <c r="K1552" s="10" t="s">
        <v>58</v>
      </c>
      <c r="L1552" t="str">
        <f>IFERROR(VLOOKUP(D1552,Products!A:F,3,0),"")</f>
        <v>Sports</v>
      </c>
      <c r="M1552" t="str">
        <f>IFERROR(VLOOKUP(E1552,Sales_Reps!A:E,3,0),"")</f>
        <v>North</v>
      </c>
      <c r="N1552" t="str">
        <f>IFERROR(VLOOKUP(C1552,Customers!A:F,5,0),"")</f>
        <v>SMB</v>
      </c>
      <c r="O1552">
        <f>IFERROR(VLOOKUP(C1552,Customers!A:F,3,0),"")</f>
        <v>62</v>
      </c>
      <c r="P1552">
        <f>IFERROR(VLOOKUP(D1552,Products!A:F,4,0),"")</f>
        <v>1860</v>
      </c>
      <c r="Q1552" t="b">
        <f>IFERROR(VLOOKUP(D1552,Products!A:F,6,0),"")</f>
        <v>1</v>
      </c>
      <c r="R1552">
        <f t="shared" si="72"/>
        <v>0.50793650793650791</v>
      </c>
      <c r="S1552">
        <f t="shared" si="73"/>
        <v>1</v>
      </c>
      <c r="T1552">
        <f>IF(AND(S1552&gt;1,COUNTIF($A$2:A1552,A1552)=1),1,0)</f>
        <v>0</v>
      </c>
      <c r="U1552">
        <f>COUNTIF(Customers!$A$2:$A$301,C1552)</f>
        <v>1</v>
      </c>
      <c r="V1552">
        <f t="shared" si="74"/>
        <v>0</v>
      </c>
    </row>
    <row r="1553" spans="1:22" ht="14.25" customHeight="1" x14ac:dyDescent="0.35">
      <c r="A1553" s="10" t="s">
        <v>2010</v>
      </c>
      <c r="B1553" s="11">
        <v>45550</v>
      </c>
      <c r="C1553" s="10" t="s">
        <v>358</v>
      </c>
      <c r="D1553" s="10" t="s">
        <v>209</v>
      </c>
      <c r="E1553" s="10" t="s">
        <v>103</v>
      </c>
      <c r="F1553" s="12">
        <v>4</v>
      </c>
      <c r="G1553" s="12">
        <v>2270</v>
      </c>
      <c r="H1553" s="12">
        <v>3.8</v>
      </c>
      <c r="I1553" s="12">
        <v>8734.9599999999991</v>
      </c>
      <c r="J1553" s="10" t="s">
        <v>104</v>
      </c>
      <c r="K1553" s="10" t="s">
        <v>81</v>
      </c>
      <c r="L1553" t="str">
        <f>IFERROR(VLOOKUP(D1553,Products!A:F,3,0),"")</f>
        <v>Grocery</v>
      </c>
      <c r="M1553" t="str">
        <f>IFERROR(VLOOKUP(E1553,Sales_Reps!A:E,3,0),"")</f>
        <v>North</v>
      </c>
      <c r="N1553" t="str">
        <f>IFERROR(VLOOKUP(C1553,Customers!A:F,5,0),"")</f>
        <v>SMB</v>
      </c>
      <c r="O1553">
        <f>IFERROR(VLOOKUP(C1553,Customers!A:F,3,0),"")</f>
        <v>28</v>
      </c>
      <c r="P1553">
        <f>IFERROR(VLOOKUP(D1553,Products!A:F,4,0),"")</f>
        <v>1412</v>
      </c>
      <c r="Q1553" t="b">
        <f>IFERROR(VLOOKUP(D1553,Products!A:F,6,0),"")</f>
        <v>1</v>
      </c>
      <c r="R1553">
        <f t="shared" si="72"/>
        <v>0.37797356828193834</v>
      </c>
      <c r="S1553">
        <f t="shared" si="73"/>
        <v>1</v>
      </c>
      <c r="T1553">
        <f>IF(AND(S1553&gt;1,COUNTIF($A$2:A1553,A1553)=1),1,0)</f>
        <v>0</v>
      </c>
      <c r="U1553">
        <f>COUNTIF(Customers!$A$2:$A$301,C1553)</f>
        <v>1</v>
      </c>
      <c r="V1553">
        <f t="shared" si="74"/>
        <v>8734.9599999999991</v>
      </c>
    </row>
    <row r="1554" spans="1:22" ht="14.25" customHeight="1" x14ac:dyDescent="0.35">
      <c r="A1554" s="10" t="s">
        <v>2011</v>
      </c>
      <c r="B1554" s="11">
        <v>45304</v>
      </c>
      <c r="C1554" s="10" t="s">
        <v>297</v>
      </c>
      <c r="D1554" s="10" t="s">
        <v>231</v>
      </c>
      <c r="E1554" s="10" t="s">
        <v>168</v>
      </c>
      <c r="F1554" s="12">
        <v>10</v>
      </c>
      <c r="G1554" s="12">
        <v>1220</v>
      </c>
      <c r="H1554" s="12">
        <v>19.5</v>
      </c>
      <c r="I1554" s="12">
        <v>9821</v>
      </c>
      <c r="J1554" s="10" t="s">
        <v>51</v>
      </c>
      <c r="K1554" s="10" t="s">
        <v>97</v>
      </c>
      <c r="L1554" t="str">
        <f>IFERROR(VLOOKUP(D1554,Products!A:F,3,0),"")</f>
        <v>Electronics</v>
      </c>
      <c r="M1554" t="str">
        <f>IFERROR(VLOOKUP(E1554,Sales_Reps!A:E,3,0),"")</f>
        <v>South</v>
      </c>
      <c r="N1554" t="str">
        <f>IFERROR(VLOOKUP(C1554,Customers!A:F,5,0),"")</f>
        <v>SMB</v>
      </c>
      <c r="O1554">
        <f>IFERROR(VLOOKUP(C1554,Customers!A:F,3,0),"")</f>
        <v>65</v>
      </c>
      <c r="P1554">
        <f>IFERROR(VLOOKUP(D1554,Products!A:F,4,0),"")</f>
        <v>517</v>
      </c>
      <c r="Q1554" t="b">
        <f>IFERROR(VLOOKUP(D1554,Products!A:F,6,0),"")</f>
        <v>1</v>
      </c>
      <c r="R1554">
        <f t="shared" si="72"/>
        <v>0.57622950819672136</v>
      </c>
      <c r="S1554">
        <f t="shared" si="73"/>
        <v>1</v>
      </c>
      <c r="T1554">
        <f>IF(AND(S1554&gt;1,COUNTIF($A$2:A1554,A1554)=1),1,0)</f>
        <v>0</v>
      </c>
      <c r="U1554">
        <f>COUNTIF(Customers!$A$2:$A$301,C1554)</f>
        <v>1</v>
      </c>
      <c r="V1554">
        <f t="shared" si="74"/>
        <v>0</v>
      </c>
    </row>
    <row r="1555" spans="1:22" ht="14.25" customHeight="1" x14ac:dyDescent="0.35">
      <c r="A1555" s="10" t="s">
        <v>2012</v>
      </c>
      <c r="B1555" s="11">
        <v>45321</v>
      </c>
      <c r="C1555" s="10" t="s">
        <v>263</v>
      </c>
      <c r="D1555" s="10" t="s">
        <v>143</v>
      </c>
      <c r="E1555" s="10" t="s">
        <v>152</v>
      </c>
      <c r="F1555" s="12">
        <v>10</v>
      </c>
      <c r="G1555" s="12">
        <v>3350</v>
      </c>
      <c r="H1555" s="12">
        <v>7.8</v>
      </c>
      <c r="I1555" s="12">
        <v>30887</v>
      </c>
      <c r="J1555" s="10" t="s">
        <v>51</v>
      </c>
      <c r="K1555" s="10" t="s">
        <v>97</v>
      </c>
      <c r="L1555" t="str">
        <f>IFERROR(VLOOKUP(D1555,Products!A:F,3,0),"")</f>
        <v>Beauty</v>
      </c>
      <c r="M1555" t="str">
        <f>IFERROR(VLOOKUP(E1555,Sales_Reps!A:E,3,0),"")</f>
        <v>South</v>
      </c>
      <c r="N1555" t="str">
        <f>IFERROR(VLOOKUP(C1555,Customers!A:F,5,0),"")</f>
        <v>Retail</v>
      </c>
      <c r="O1555">
        <f>IFERROR(VLOOKUP(C1555,Customers!A:F,3,0),"")</f>
        <v>29</v>
      </c>
      <c r="P1555">
        <f>IFERROR(VLOOKUP(D1555,Products!A:F,4,0),"")</f>
        <v>1728</v>
      </c>
      <c r="Q1555" t="b">
        <f>IFERROR(VLOOKUP(D1555,Products!A:F,6,0),"")</f>
        <v>1</v>
      </c>
      <c r="R1555">
        <f t="shared" si="72"/>
        <v>0.48417910447761192</v>
      </c>
      <c r="S1555">
        <f t="shared" si="73"/>
        <v>1</v>
      </c>
      <c r="T1555">
        <f>IF(AND(S1555&gt;1,COUNTIF($A$2:A1555,A1555)=1),1,0)</f>
        <v>0</v>
      </c>
      <c r="U1555">
        <f>COUNTIF(Customers!$A$2:$A$301,C1555)</f>
        <v>1</v>
      </c>
      <c r="V1555">
        <f t="shared" si="74"/>
        <v>0</v>
      </c>
    </row>
    <row r="1556" spans="1:22" ht="14.25" customHeight="1" x14ac:dyDescent="0.35">
      <c r="A1556" s="10" t="s">
        <v>2013</v>
      </c>
      <c r="B1556" s="11">
        <v>45358</v>
      </c>
      <c r="C1556" s="10" t="s">
        <v>2014</v>
      </c>
      <c r="D1556" s="10" t="s">
        <v>143</v>
      </c>
      <c r="E1556" s="10" t="s">
        <v>134</v>
      </c>
      <c r="F1556" s="12">
        <v>7</v>
      </c>
      <c r="G1556" s="12">
        <v>3350</v>
      </c>
      <c r="H1556" s="12">
        <v>14.5</v>
      </c>
      <c r="I1556" s="12">
        <v>20049.75</v>
      </c>
      <c r="J1556" s="10" t="s">
        <v>51</v>
      </c>
      <c r="K1556" s="10" t="s">
        <v>81</v>
      </c>
      <c r="L1556" t="str">
        <f>IFERROR(VLOOKUP(D1556,Products!A:F,3,0),"")</f>
        <v>Beauty</v>
      </c>
      <c r="M1556" t="str">
        <f>IFERROR(VLOOKUP(E1556,Sales_Reps!A:E,3,0),"")</f>
        <v>West</v>
      </c>
      <c r="N1556" t="str">
        <f>IFERROR(VLOOKUP(C1556,Customers!A:F,5,0),"")</f>
        <v/>
      </c>
      <c r="O1556" t="str">
        <f>IFERROR(VLOOKUP(C1556,Customers!A:F,3,0),"")</f>
        <v/>
      </c>
      <c r="P1556">
        <f>IFERROR(VLOOKUP(D1556,Products!A:F,4,0),"")</f>
        <v>1728</v>
      </c>
      <c r="Q1556" t="b">
        <f>IFERROR(VLOOKUP(D1556,Products!A:F,6,0),"")</f>
        <v>1</v>
      </c>
      <c r="R1556">
        <f t="shared" si="72"/>
        <v>0.48417910447761192</v>
      </c>
      <c r="S1556">
        <f t="shared" si="73"/>
        <v>1</v>
      </c>
      <c r="T1556">
        <f>IF(AND(S1556&gt;1,COUNTIF($A$2:A1556,A1556)=1),1,0)</f>
        <v>0</v>
      </c>
      <c r="U1556">
        <f>COUNTIF(Customers!$A$2:$A$301,C1556)</f>
        <v>0</v>
      </c>
      <c r="V1556">
        <f t="shared" si="74"/>
        <v>0</v>
      </c>
    </row>
    <row r="1557" spans="1:22" ht="14.25" customHeight="1" x14ac:dyDescent="0.35">
      <c r="A1557" s="10" t="s">
        <v>2015</v>
      </c>
      <c r="B1557" s="11">
        <v>45440</v>
      </c>
      <c r="C1557" s="10" t="s">
        <v>181</v>
      </c>
      <c r="D1557" s="10" t="s">
        <v>88</v>
      </c>
      <c r="E1557" s="10" t="s">
        <v>62</v>
      </c>
      <c r="F1557" s="12">
        <v>6</v>
      </c>
      <c r="G1557" s="12">
        <v>5490</v>
      </c>
      <c r="H1557" s="12">
        <v>8</v>
      </c>
      <c r="I1557" s="12">
        <v>30304.799999999999</v>
      </c>
      <c r="J1557" s="10" t="s">
        <v>51</v>
      </c>
      <c r="K1557" s="10" t="s">
        <v>58</v>
      </c>
      <c r="L1557" t="str">
        <f>IFERROR(VLOOKUP(D1557,Products!A:F,3,0),"")</f>
        <v>Home</v>
      </c>
      <c r="M1557" t="str">
        <f>IFERROR(VLOOKUP(E1557,Sales_Reps!A:E,3,0),"")</f>
        <v>South</v>
      </c>
      <c r="N1557" t="str">
        <f>IFERROR(VLOOKUP(C1557,Customers!A:F,5,0),"")</f>
        <v>Retail</v>
      </c>
      <c r="O1557">
        <f>IFERROR(VLOOKUP(C1557,Customers!A:F,3,0),"")</f>
        <v>51</v>
      </c>
      <c r="P1557">
        <f>IFERROR(VLOOKUP(D1557,Products!A:F,4,0),"")</f>
        <v>2549</v>
      </c>
      <c r="Q1557" t="b">
        <f>IFERROR(VLOOKUP(D1557,Products!A:F,6,0),"")</f>
        <v>1</v>
      </c>
      <c r="R1557">
        <f t="shared" si="72"/>
        <v>0.53570127504553733</v>
      </c>
      <c r="S1557">
        <f t="shared" si="73"/>
        <v>1</v>
      </c>
      <c r="T1557">
        <f>IF(AND(S1557&gt;1,COUNTIF($A$2:A1557,A1557)=1),1,0)</f>
        <v>0</v>
      </c>
      <c r="U1557">
        <f>COUNTIF(Customers!$A$2:$A$301,C1557)</f>
        <v>1</v>
      </c>
      <c r="V1557">
        <f t="shared" si="74"/>
        <v>0</v>
      </c>
    </row>
    <row r="1558" spans="1:22" ht="14.25" customHeight="1" x14ac:dyDescent="0.35">
      <c r="A1558" s="10" t="s">
        <v>2016</v>
      </c>
      <c r="B1558" s="11">
        <v>45618</v>
      </c>
      <c r="C1558" s="10" t="s">
        <v>2017</v>
      </c>
      <c r="D1558" s="10" t="s">
        <v>159</v>
      </c>
      <c r="E1558" s="10" t="s">
        <v>267</v>
      </c>
      <c r="F1558" s="12">
        <v>3</v>
      </c>
      <c r="G1558" s="12">
        <v>2860</v>
      </c>
      <c r="H1558" s="12">
        <v>19.899999999999999</v>
      </c>
      <c r="I1558" s="12">
        <v>6872.58</v>
      </c>
      <c r="J1558" s="10" t="s">
        <v>51</v>
      </c>
      <c r="K1558" s="10" t="s">
        <v>97</v>
      </c>
      <c r="L1558" t="str">
        <f>IFERROR(VLOOKUP(D1558,Products!A:F,3,0),"")</f>
        <v>Sports</v>
      </c>
      <c r="M1558" t="str">
        <f>IFERROR(VLOOKUP(E1558,Sales_Reps!A:E,3,0),"")</f>
        <v>East</v>
      </c>
      <c r="N1558" t="str">
        <f>IFERROR(VLOOKUP(C1558,Customers!A:F,5,0),"")</f>
        <v>SMB</v>
      </c>
      <c r="O1558">
        <f>IFERROR(VLOOKUP(C1558,Customers!A:F,3,0),"")</f>
        <v>39</v>
      </c>
      <c r="P1558">
        <f>IFERROR(VLOOKUP(D1558,Products!A:F,4,0),"")</f>
        <v>2028</v>
      </c>
      <c r="Q1558" t="b">
        <f>IFERROR(VLOOKUP(D1558,Products!A:F,6,0),"")</f>
        <v>1</v>
      </c>
      <c r="R1558">
        <f t="shared" si="72"/>
        <v>0.29090909090909089</v>
      </c>
      <c r="S1558">
        <f t="shared" si="73"/>
        <v>1</v>
      </c>
      <c r="T1558">
        <f>IF(AND(S1558&gt;1,COUNTIF($A$2:A1558,A1558)=1),1,0)</f>
        <v>0</v>
      </c>
      <c r="U1558">
        <f>COUNTIF(Customers!$A$2:$A$301,C1558)</f>
        <v>1</v>
      </c>
      <c r="V1558">
        <f t="shared" si="74"/>
        <v>0</v>
      </c>
    </row>
    <row r="1559" spans="1:22" ht="14.25" customHeight="1" x14ac:dyDescent="0.35">
      <c r="A1559" s="10" t="s">
        <v>2018</v>
      </c>
      <c r="B1559" s="11">
        <v>45295</v>
      </c>
      <c r="C1559" s="10" t="s">
        <v>681</v>
      </c>
      <c r="D1559" s="10" t="s">
        <v>99</v>
      </c>
      <c r="E1559" s="10" t="s">
        <v>80</v>
      </c>
      <c r="F1559" s="12">
        <v>3</v>
      </c>
      <c r="G1559" s="12">
        <v>2640</v>
      </c>
      <c r="H1559" s="12">
        <v>29.3</v>
      </c>
      <c r="I1559" s="12">
        <v>5599.44</v>
      </c>
      <c r="J1559" s="10" t="s">
        <v>51</v>
      </c>
      <c r="K1559" s="10" t="s">
        <v>58</v>
      </c>
      <c r="L1559" t="str">
        <f>IFERROR(VLOOKUP(D1559,Products!A:F,3,0),"")</f>
        <v>Electronics</v>
      </c>
      <c r="M1559" t="str">
        <f>IFERROR(VLOOKUP(E1559,Sales_Reps!A:E,3,0),"")</f>
        <v>West</v>
      </c>
      <c r="N1559" t="str">
        <f>IFERROR(VLOOKUP(C1559,Customers!A:F,5,0),"")</f>
        <v>Retail</v>
      </c>
      <c r="O1559">
        <f>IFERROR(VLOOKUP(C1559,Customers!A:F,3,0),"")</f>
        <v>24</v>
      </c>
      <c r="P1559">
        <f>IFERROR(VLOOKUP(D1559,Products!A:F,4,0),"")</f>
        <v>1149</v>
      </c>
      <c r="Q1559" t="b">
        <f>IFERROR(VLOOKUP(D1559,Products!A:F,6,0),"")</f>
        <v>1</v>
      </c>
      <c r="R1559">
        <f t="shared" si="72"/>
        <v>0.56477272727272732</v>
      </c>
      <c r="S1559">
        <f t="shared" si="73"/>
        <v>1</v>
      </c>
      <c r="T1559">
        <f>IF(AND(S1559&gt;1,COUNTIF($A$2:A1559,A1559)=1),1,0)</f>
        <v>0</v>
      </c>
      <c r="U1559">
        <f>COUNTIF(Customers!$A$2:$A$301,C1559)</f>
        <v>1</v>
      </c>
      <c r="V1559">
        <f t="shared" si="74"/>
        <v>0</v>
      </c>
    </row>
    <row r="1560" spans="1:22" ht="14.25" customHeight="1" x14ac:dyDescent="0.35">
      <c r="A1560" s="10" t="s">
        <v>2019</v>
      </c>
      <c r="B1560" s="11">
        <v>45384</v>
      </c>
      <c r="C1560" s="10" t="s">
        <v>505</v>
      </c>
      <c r="D1560" s="10" t="s">
        <v>416</v>
      </c>
      <c r="E1560" s="10" t="s">
        <v>193</v>
      </c>
      <c r="F1560" s="12">
        <v>8</v>
      </c>
      <c r="G1560" s="12">
        <v>3450</v>
      </c>
      <c r="H1560" s="12">
        <v>15.2</v>
      </c>
      <c r="I1560" s="12">
        <v>23404.799999999999</v>
      </c>
      <c r="J1560" s="10" t="s">
        <v>104</v>
      </c>
      <c r="K1560" s="10" t="s">
        <v>58</v>
      </c>
      <c r="L1560" t="str">
        <f>IFERROR(VLOOKUP(D1560,Products!A:F,3,0),"")</f>
        <v>Apparel</v>
      </c>
      <c r="M1560" t="str">
        <f>IFERROR(VLOOKUP(E1560,Sales_Reps!A:E,3,0),"")</f>
        <v>West</v>
      </c>
      <c r="N1560" t="str">
        <f>IFERROR(VLOOKUP(C1560,Customers!A:F,5,0),"")</f>
        <v>Corporate</v>
      </c>
      <c r="O1560">
        <f>IFERROR(VLOOKUP(C1560,Customers!A:F,3,0),"")</f>
        <v>34</v>
      </c>
      <c r="P1560">
        <f>IFERROR(VLOOKUP(D1560,Products!A:F,4,0),"")</f>
        <v>1748</v>
      </c>
      <c r="Q1560" t="b">
        <f>IFERROR(VLOOKUP(D1560,Products!A:F,6,0),"")</f>
        <v>1</v>
      </c>
      <c r="R1560">
        <f t="shared" si="72"/>
        <v>0.49333333333333335</v>
      </c>
      <c r="S1560">
        <f t="shared" si="73"/>
        <v>1</v>
      </c>
      <c r="T1560">
        <f>IF(AND(S1560&gt;1,COUNTIF($A$2:A1560,A1560)=1),1,0)</f>
        <v>0</v>
      </c>
      <c r="U1560">
        <f>COUNTIF(Customers!$A$2:$A$301,C1560)</f>
        <v>1</v>
      </c>
      <c r="V1560">
        <f t="shared" si="74"/>
        <v>0</v>
      </c>
    </row>
    <row r="1561" spans="1:22" ht="14.25" customHeight="1" x14ac:dyDescent="0.35">
      <c r="A1561" s="10" t="s">
        <v>2020</v>
      </c>
      <c r="B1561" s="11">
        <v>45349</v>
      </c>
      <c r="C1561" s="10" t="s">
        <v>832</v>
      </c>
      <c r="D1561" s="10" t="s">
        <v>74</v>
      </c>
      <c r="E1561" s="10" t="s">
        <v>75</v>
      </c>
      <c r="F1561" s="12">
        <v>6</v>
      </c>
      <c r="G1561" s="12">
        <v>370</v>
      </c>
      <c r="H1561" s="12">
        <v>7</v>
      </c>
      <c r="I1561" s="12">
        <v>2064.6</v>
      </c>
      <c r="J1561" s="10" t="s">
        <v>51</v>
      </c>
      <c r="K1561" s="10" t="s">
        <v>63</v>
      </c>
      <c r="L1561" t="str">
        <f>IFERROR(VLOOKUP(D1561,Products!A:F,3,0),"")</f>
        <v>Home</v>
      </c>
      <c r="M1561" t="str">
        <f>IFERROR(VLOOKUP(E1561,Sales_Reps!A:E,3,0),"")</f>
        <v>West</v>
      </c>
      <c r="N1561" t="str">
        <f>IFERROR(VLOOKUP(C1561,Customers!A:F,5,0),"")</f>
        <v>SMB</v>
      </c>
      <c r="O1561">
        <f>IFERROR(VLOOKUP(C1561,Customers!A:F,3,0),"")</f>
        <v>38</v>
      </c>
      <c r="P1561">
        <f>IFERROR(VLOOKUP(D1561,Products!A:F,4,0),"")</f>
        <v>288</v>
      </c>
      <c r="Q1561" t="b">
        <f>IFERROR(VLOOKUP(D1561,Products!A:F,6,0),"")</f>
        <v>1</v>
      </c>
      <c r="R1561">
        <f t="shared" si="72"/>
        <v>0.22162162162162163</v>
      </c>
      <c r="S1561">
        <f t="shared" si="73"/>
        <v>1</v>
      </c>
      <c r="T1561">
        <f>IF(AND(S1561&gt;1,COUNTIF($A$2:A1561,A1561)=1),1,0)</f>
        <v>0</v>
      </c>
      <c r="U1561">
        <f>COUNTIF(Customers!$A$2:$A$301,C1561)</f>
        <v>1</v>
      </c>
      <c r="V1561">
        <f t="shared" si="74"/>
        <v>0</v>
      </c>
    </row>
    <row r="1562" spans="1:22" ht="14.25" customHeight="1" x14ac:dyDescent="0.35">
      <c r="A1562" s="10" t="s">
        <v>2021</v>
      </c>
      <c r="B1562" s="11">
        <v>45439</v>
      </c>
      <c r="C1562" s="10" t="s">
        <v>314</v>
      </c>
      <c r="D1562" s="10" t="s">
        <v>315</v>
      </c>
      <c r="E1562" s="10" t="s">
        <v>193</v>
      </c>
      <c r="F1562" s="12">
        <v>10</v>
      </c>
      <c r="G1562" s="12">
        <v>4060</v>
      </c>
      <c r="H1562" s="12">
        <v>4.7</v>
      </c>
      <c r="I1562" s="12">
        <v>38691.800000000003</v>
      </c>
      <c r="J1562" s="10" t="s">
        <v>104</v>
      </c>
      <c r="K1562" s="10" t="s">
        <v>76</v>
      </c>
      <c r="L1562" t="str">
        <f>IFERROR(VLOOKUP(D1562,Products!A:F,3,0),"")</f>
        <v>Grocery</v>
      </c>
      <c r="M1562" t="str">
        <f>IFERROR(VLOOKUP(E1562,Sales_Reps!A:E,3,0),"")</f>
        <v>West</v>
      </c>
      <c r="N1562" t="str">
        <f>IFERROR(VLOOKUP(C1562,Customers!A:F,5,0),"")</f>
        <v>SMB</v>
      </c>
      <c r="O1562">
        <f>IFERROR(VLOOKUP(C1562,Customers!A:F,3,0),"")</f>
        <v>22</v>
      </c>
      <c r="P1562">
        <f>IFERROR(VLOOKUP(D1562,Products!A:F,4,0),"")</f>
        <v>2911</v>
      </c>
      <c r="Q1562" t="b">
        <f>IFERROR(VLOOKUP(D1562,Products!A:F,6,0),"")</f>
        <v>1</v>
      </c>
      <c r="R1562">
        <f t="shared" si="72"/>
        <v>0.28300492610837441</v>
      </c>
      <c r="S1562">
        <f t="shared" si="73"/>
        <v>1</v>
      </c>
      <c r="T1562">
        <f>IF(AND(S1562&gt;1,COUNTIF($A$2:A1562,A1562)=1),1,0)</f>
        <v>0</v>
      </c>
      <c r="U1562">
        <f>COUNTIF(Customers!$A$2:$A$301,C1562)</f>
        <v>1</v>
      </c>
      <c r="V1562">
        <f t="shared" si="74"/>
        <v>0</v>
      </c>
    </row>
    <row r="1563" spans="1:22" ht="14.25" customHeight="1" x14ac:dyDescent="0.35">
      <c r="A1563" s="10" t="s">
        <v>2022</v>
      </c>
      <c r="B1563" s="11">
        <v>45426</v>
      </c>
      <c r="C1563" s="10" t="s">
        <v>1002</v>
      </c>
      <c r="D1563" s="10" t="s">
        <v>212</v>
      </c>
      <c r="E1563" s="10" t="s">
        <v>80</v>
      </c>
      <c r="F1563" s="12">
        <v>1</v>
      </c>
      <c r="G1563" s="12">
        <v>3870</v>
      </c>
      <c r="H1563" s="12">
        <v>18.2</v>
      </c>
      <c r="I1563" s="12">
        <v>3165.66</v>
      </c>
      <c r="J1563" s="10" t="s">
        <v>57</v>
      </c>
      <c r="K1563" s="10" t="s">
        <v>81</v>
      </c>
      <c r="L1563" t="str">
        <f>IFERROR(VLOOKUP(D1563,Products!A:F,3,0),"")</f>
        <v>Electronics</v>
      </c>
      <c r="M1563" t="str">
        <f>IFERROR(VLOOKUP(E1563,Sales_Reps!A:E,3,0),"")</f>
        <v>West</v>
      </c>
      <c r="N1563" t="str">
        <f>IFERROR(VLOOKUP(C1563,Customers!A:F,5,0),"")</f>
        <v>Corporate</v>
      </c>
      <c r="O1563">
        <f>IFERROR(VLOOKUP(C1563,Customers!A:F,3,0),"")</f>
        <v>55</v>
      </c>
      <c r="P1563">
        <f>IFERROR(VLOOKUP(D1563,Products!A:F,4,0),"")</f>
        <v>1559</v>
      </c>
      <c r="Q1563" t="b">
        <f>IFERROR(VLOOKUP(D1563,Products!A:F,6,0),"")</f>
        <v>1</v>
      </c>
      <c r="R1563">
        <f t="shared" si="72"/>
        <v>0.59715762273901807</v>
      </c>
      <c r="S1563">
        <f t="shared" si="73"/>
        <v>1</v>
      </c>
      <c r="T1563">
        <f>IF(AND(S1563&gt;1,COUNTIF($A$2:A1563,A1563)=1),1,0)</f>
        <v>0</v>
      </c>
      <c r="U1563">
        <f>COUNTIF(Customers!$A$2:$A$301,C1563)</f>
        <v>1</v>
      </c>
      <c r="V1563">
        <f t="shared" si="74"/>
        <v>0</v>
      </c>
    </row>
    <row r="1564" spans="1:22" ht="14.25" customHeight="1" x14ac:dyDescent="0.35">
      <c r="A1564" s="10" t="s">
        <v>2023</v>
      </c>
      <c r="B1564" s="11">
        <v>45385</v>
      </c>
      <c r="C1564" s="10" t="s">
        <v>1060</v>
      </c>
      <c r="D1564" s="10" t="s">
        <v>328</v>
      </c>
      <c r="E1564" s="10" t="s">
        <v>67</v>
      </c>
      <c r="F1564" s="12">
        <v>1</v>
      </c>
      <c r="G1564" s="12">
        <v>5330</v>
      </c>
      <c r="H1564" s="12">
        <v>3.9</v>
      </c>
      <c r="I1564" s="12">
        <v>5122.13</v>
      </c>
      <c r="J1564" s="10" t="s">
        <v>108</v>
      </c>
      <c r="K1564" s="10" t="s">
        <v>52</v>
      </c>
      <c r="L1564" t="str">
        <f>IFERROR(VLOOKUP(D1564,Products!A:F,3,0),"")</f>
        <v>Electronics</v>
      </c>
      <c r="M1564" t="str">
        <f>IFERROR(VLOOKUP(E1564,Sales_Reps!A:E,3,0),"")</f>
        <v>North</v>
      </c>
      <c r="N1564" t="str">
        <f>IFERROR(VLOOKUP(C1564,Customers!A:F,5,0),"")</f>
        <v>Corporate</v>
      </c>
      <c r="O1564">
        <f>IFERROR(VLOOKUP(C1564,Customers!A:F,3,0),"")</f>
        <v>42</v>
      </c>
      <c r="P1564">
        <f>IFERROR(VLOOKUP(D1564,Products!A:F,4,0),"")</f>
        <v>2405</v>
      </c>
      <c r="Q1564" t="b">
        <f>IFERROR(VLOOKUP(D1564,Products!A:F,6,0),"")</f>
        <v>1</v>
      </c>
      <c r="R1564">
        <f t="shared" si="72"/>
        <v>0.54878048780487809</v>
      </c>
      <c r="S1564">
        <f t="shared" si="73"/>
        <v>1</v>
      </c>
      <c r="T1564">
        <f>IF(AND(S1564&gt;1,COUNTIF($A$2:A1564,A1564)=1),1,0)</f>
        <v>0</v>
      </c>
      <c r="U1564">
        <f>COUNTIF(Customers!$A$2:$A$301,C1564)</f>
        <v>1</v>
      </c>
      <c r="V1564">
        <f t="shared" si="74"/>
        <v>0</v>
      </c>
    </row>
    <row r="1565" spans="1:22" ht="14.25" customHeight="1" x14ac:dyDescent="0.35">
      <c r="A1565" s="10" t="s">
        <v>2024</v>
      </c>
      <c r="B1565" s="11">
        <v>45312</v>
      </c>
      <c r="C1565" s="10" t="s">
        <v>619</v>
      </c>
      <c r="D1565" s="10" t="s">
        <v>74</v>
      </c>
      <c r="E1565" s="10" t="s">
        <v>156</v>
      </c>
      <c r="F1565" s="12">
        <v>8</v>
      </c>
      <c r="G1565" s="12">
        <v>370</v>
      </c>
      <c r="H1565" s="12">
        <v>1.3</v>
      </c>
      <c r="I1565" s="12">
        <v>2921.52</v>
      </c>
      <c r="J1565" s="10" t="s">
        <v>51</v>
      </c>
      <c r="K1565" s="10" t="s">
        <v>97</v>
      </c>
      <c r="L1565" t="str">
        <f>IFERROR(VLOOKUP(D1565,Products!A:F,3,0),"")</f>
        <v>Home</v>
      </c>
      <c r="M1565" t="str">
        <f>IFERROR(VLOOKUP(E1565,Sales_Reps!A:E,3,0),"")</f>
        <v>East</v>
      </c>
      <c r="N1565" t="str">
        <f>IFERROR(VLOOKUP(C1565,Customers!A:F,5,0),"")</f>
        <v>Retail</v>
      </c>
      <c r="O1565">
        <f>IFERROR(VLOOKUP(C1565,Customers!A:F,3,0),"")</f>
        <v>27</v>
      </c>
      <c r="P1565">
        <f>IFERROR(VLOOKUP(D1565,Products!A:F,4,0),"")</f>
        <v>288</v>
      </c>
      <c r="Q1565" t="b">
        <f>IFERROR(VLOOKUP(D1565,Products!A:F,6,0),"")</f>
        <v>1</v>
      </c>
      <c r="R1565">
        <f t="shared" si="72"/>
        <v>0.22162162162162163</v>
      </c>
      <c r="S1565">
        <f t="shared" si="73"/>
        <v>1</v>
      </c>
      <c r="T1565">
        <f>IF(AND(S1565&gt;1,COUNTIF($A$2:A1565,A1565)=1),1,0)</f>
        <v>0</v>
      </c>
      <c r="U1565">
        <f>COUNTIF(Customers!$A$2:$A$301,C1565)</f>
        <v>1</v>
      </c>
      <c r="V1565">
        <f t="shared" si="74"/>
        <v>0</v>
      </c>
    </row>
    <row r="1566" spans="1:22" ht="14.25" customHeight="1" x14ac:dyDescent="0.35">
      <c r="A1566" s="10" t="s">
        <v>2025</v>
      </c>
      <c r="B1566" s="11">
        <v>45622</v>
      </c>
      <c r="C1566" s="10" t="s">
        <v>429</v>
      </c>
      <c r="D1566" s="10" t="s">
        <v>246</v>
      </c>
      <c r="E1566" s="10" t="s">
        <v>156</v>
      </c>
      <c r="F1566" s="12">
        <v>7</v>
      </c>
      <c r="G1566" s="12">
        <v>300</v>
      </c>
      <c r="H1566" s="12">
        <v>7.1</v>
      </c>
      <c r="I1566" s="12">
        <v>1950.9</v>
      </c>
      <c r="J1566" s="10" t="s">
        <v>51</v>
      </c>
      <c r="K1566" s="10" t="s">
        <v>76</v>
      </c>
      <c r="L1566" t="str">
        <f>IFERROR(VLOOKUP(D1566,Products!A:F,3,0),"")</f>
        <v>Electronics</v>
      </c>
      <c r="M1566" t="str">
        <f>IFERROR(VLOOKUP(E1566,Sales_Reps!A:E,3,0),"")</f>
        <v>East</v>
      </c>
      <c r="N1566" t="str">
        <f>IFERROR(VLOOKUP(C1566,Customers!A:F,5,0),"")</f>
        <v>Retail</v>
      </c>
      <c r="O1566">
        <f>IFERROR(VLOOKUP(C1566,Customers!A:F,3,0),"")</f>
        <v>61</v>
      </c>
      <c r="P1566">
        <f>IFERROR(VLOOKUP(D1566,Products!A:F,4,0),"")</f>
        <v>128</v>
      </c>
      <c r="Q1566" t="b">
        <f>IFERROR(VLOOKUP(D1566,Products!A:F,6,0),"")</f>
        <v>1</v>
      </c>
      <c r="R1566">
        <f t="shared" si="72"/>
        <v>0.57333333333333336</v>
      </c>
      <c r="S1566">
        <f t="shared" si="73"/>
        <v>1</v>
      </c>
      <c r="T1566">
        <f>IF(AND(S1566&gt;1,COUNTIF($A$2:A1566,A1566)=1),1,0)</f>
        <v>0</v>
      </c>
      <c r="U1566">
        <f>COUNTIF(Customers!$A$2:$A$301,C1566)</f>
        <v>1</v>
      </c>
      <c r="V1566">
        <f t="shared" si="74"/>
        <v>0</v>
      </c>
    </row>
    <row r="1567" spans="1:22" ht="14.25" customHeight="1" x14ac:dyDescent="0.35">
      <c r="A1567" s="10" t="s">
        <v>2026</v>
      </c>
      <c r="B1567" s="11">
        <v>45508</v>
      </c>
      <c r="C1567" s="10" t="s">
        <v>579</v>
      </c>
      <c r="D1567" s="10" t="s">
        <v>143</v>
      </c>
      <c r="E1567" s="10" t="s">
        <v>289</v>
      </c>
      <c r="F1567" s="12">
        <v>8</v>
      </c>
      <c r="G1567" s="12">
        <v>3350</v>
      </c>
      <c r="H1567" s="12">
        <v>11.2</v>
      </c>
      <c r="I1567" s="12">
        <v>23798.400000000001</v>
      </c>
      <c r="J1567" s="10" t="s">
        <v>51</v>
      </c>
      <c r="K1567" s="10" t="s">
        <v>76</v>
      </c>
      <c r="L1567" t="str">
        <f>IFERROR(VLOOKUP(D1567,Products!A:F,3,0),"")</f>
        <v>Beauty</v>
      </c>
      <c r="M1567" t="str">
        <f>IFERROR(VLOOKUP(E1567,Sales_Reps!A:E,3,0),"")</f>
        <v>South</v>
      </c>
      <c r="N1567" t="str">
        <f>IFERROR(VLOOKUP(C1567,Customers!A:F,5,0),"")</f>
        <v>Retail</v>
      </c>
      <c r="O1567">
        <f>IFERROR(VLOOKUP(C1567,Customers!A:F,3,0),"")</f>
        <v>53</v>
      </c>
      <c r="P1567">
        <f>IFERROR(VLOOKUP(D1567,Products!A:F,4,0),"")</f>
        <v>1728</v>
      </c>
      <c r="Q1567" t="b">
        <f>IFERROR(VLOOKUP(D1567,Products!A:F,6,0),"")</f>
        <v>1</v>
      </c>
      <c r="R1567">
        <f t="shared" si="72"/>
        <v>0.48417910447761192</v>
      </c>
      <c r="S1567">
        <f t="shared" si="73"/>
        <v>1</v>
      </c>
      <c r="T1567">
        <f>IF(AND(S1567&gt;1,COUNTIF($A$2:A1567,A1567)=1),1,0)</f>
        <v>0</v>
      </c>
      <c r="U1567">
        <f>COUNTIF(Customers!$A$2:$A$301,C1567)</f>
        <v>1</v>
      </c>
      <c r="V1567">
        <f t="shared" si="74"/>
        <v>0</v>
      </c>
    </row>
    <row r="1568" spans="1:22" ht="14.25" customHeight="1" x14ac:dyDescent="0.35">
      <c r="A1568" s="10" t="s">
        <v>2027</v>
      </c>
      <c r="B1568" s="11">
        <v>45528</v>
      </c>
      <c r="C1568" s="10" t="s">
        <v>1272</v>
      </c>
      <c r="D1568" s="10" t="s">
        <v>479</v>
      </c>
      <c r="E1568" s="10" t="s">
        <v>168</v>
      </c>
      <c r="F1568" s="12">
        <v>6</v>
      </c>
      <c r="G1568" s="12">
        <v>6940</v>
      </c>
      <c r="H1568" s="12">
        <v>0.3</v>
      </c>
      <c r="I1568" s="12">
        <v>41515.08</v>
      </c>
      <c r="J1568" s="10" t="s">
        <v>51</v>
      </c>
      <c r="K1568" s="10" t="s">
        <v>58</v>
      </c>
      <c r="L1568" t="str">
        <f>IFERROR(VLOOKUP(D1568,Products!A:F,3,0),"")</f>
        <v>Sports</v>
      </c>
      <c r="M1568" t="str">
        <f>IFERROR(VLOOKUP(E1568,Sales_Reps!A:E,3,0),"")</f>
        <v>South</v>
      </c>
      <c r="N1568" t="str">
        <f>IFERROR(VLOOKUP(C1568,Customers!A:F,5,0),"")</f>
        <v>SMB</v>
      </c>
      <c r="O1568">
        <f>IFERROR(VLOOKUP(C1568,Customers!A:F,3,0),"")</f>
        <v>51</v>
      </c>
      <c r="P1568">
        <f>IFERROR(VLOOKUP(D1568,Products!A:F,4,0),"")</f>
        <v>2827</v>
      </c>
      <c r="Q1568" t="b">
        <f>IFERROR(VLOOKUP(D1568,Products!A:F,6,0),"")</f>
        <v>1</v>
      </c>
      <c r="R1568">
        <f t="shared" si="72"/>
        <v>0.5926512968299712</v>
      </c>
      <c r="S1568">
        <f t="shared" si="73"/>
        <v>1</v>
      </c>
      <c r="T1568">
        <f>IF(AND(S1568&gt;1,COUNTIF($A$2:A1568,A1568)=1),1,0)</f>
        <v>0</v>
      </c>
      <c r="U1568">
        <f>COUNTIF(Customers!$A$2:$A$301,C1568)</f>
        <v>1</v>
      </c>
      <c r="V1568">
        <f t="shared" si="74"/>
        <v>0</v>
      </c>
    </row>
    <row r="1569" spans="1:22" ht="14.25" customHeight="1" x14ac:dyDescent="0.35">
      <c r="A1569" s="10" t="s">
        <v>2028</v>
      </c>
      <c r="B1569" s="11">
        <v>45483</v>
      </c>
      <c r="C1569" s="10" t="s">
        <v>716</v>
      </c>
      <c r="D1569" s="10" t="s">
        <v>344</v>
      </c>
      <c r="E1569" s="10" t="s">
        <v>71</v>
      </c>
      <c r="F1569" s="12">
        <v>10</v>
      </c>
      <c r="G1569" s="12">
        <v>960</v>
      </c>
      <c r="H1569" s="12">
        <v>9.3000000000000007</v>
      </c>
      <c r="I1569" s="12">
        <v>8707.2000000000007</v>
      </c>
      <c r="J1569" s="10" t="s">
        <v>104</v>
      </c>
      <c r="K1569" s="10" t="s">
        <v>81</v>
      </c>
      <c r="L1569" t="str">
        <f>IFERROR(VLOOKUP(D1569,Products!A:F,3,0),"")</f>
        <v>Beauty</v>
      </c>
      <c r="M1569" t="str">
        <f>IFERROR(VLOOKUP(E1569,Sales_Reps!A:E,3,0),"")</f>
        <v>North</v>
      </c>
      <c r="N1569" t="str">
        <f>IFERROR(VLOOKUP(C1569,Customers!A:F,5,0),"")</f>
        <v>Retail</v>
      </c>
      <c r="O1569">
        <f>IFERROR(VLOOKUP(C1569,Customers!A:F,3,0),"")</f>
        <v>32</v>
      </c>
      <c r="P1569">
        <f>IFERROR(VLOOKUP(D1569,Products!A:F,4,0),"")</f>
        <v>675</v>
      </c>
      <c r="Q1569" t="b">
        <f>IFERROR(VLOOKUP(D1569,Products!A:F,6,0),"")</f>
        <v>1</v>
      </c>
      <c r="R1569">
        <f t="shared" si="72"/>
        <v>0.296875</v>
      </c>
      <c r="S1569">
        <f t="shared" si="73"/>
        <v>1</v>
      </c>
      <c r="T1569">
        <f>IF(AND(S1569&gt;1,COUNTIF($A$2:A1569,A1569)=1),1,0)</f>
        <v>0</v>
      </c>
      <c r="U1569">
        <f>COUNTIF(Customers!$A$2:$A$301,C1569)</f>
        <v>1</v>
      </c>
      <c r="V1569">
        <f t="shared" si="74"/>
        <v>0</v>
      </c>
    </row>
    <row r="1570" spans="1:22" ht="14.25" customHeight="1" x14ac:dyDescent="0.35">
      <c r="A1570" s="10" t="s">
        <v>2029</v>
      </c>
      <c r="B1570" s="11">
        <v>45625</v>
      </c>
      <c r="C1570" s="10" t="s">
        <v>1314</v>
      </c>
      <c r="D1570" s="10" t="s">
        <v>164</v>
      </c>
      <c r="E1570" s="10" t="s">
        <v>122</v>
      </c>
      <c r="F1570" s="12">
        <v>10</v>
      </c>
      <c r="G1570" s="12">
        <v>2760</v>
      </c>
      <c r="H1570" s="12">
        <v>17.2</v>
      </c>
      <c r="I1570" s="12">
        <v>22852.799999999999</v>
      </c>
      <c r="J1570" s="10" t="s">
        <v>51</v>
      </c>
      <c r="K1570" s="10" t="s">
        <v>76</v>
      </c>
      <c r="L1570" t="str">
        <f>IFERROR(VLOOKUP(D1570,Products!A:F,3,0),"")</f>
        <v>Grocery</v>
      </c>
      <c r="M1570" t="str">
        <f>IFERROR(VLOOKUP(E1570,Sales_Reps!A:E,3,0),"")</f>
        <v>East</v>
      </c>
      <c r="N1570" t="str">
        <f>IFERROR(VLOOKUP(C1570,Customers!A:F,5,0),"")</f>
        <v>Retail</v>
      </c>
      <c r="O1570">
        <f>IFERROR(VLOOKUP(C1570,Customers!A:F,3,0),"")</f>
        <v>38</v>
      </c>
      <c r="P1570">
        <f>IFERROR(VLOOKUP(D1570,Products!A:F,4,0),"")</f>
        <v>1435</v>
      </c>
      <c r="Q1570" t="b">
        <f>IFERROR(VLOOKUP(D1570,Products!A:F,6,0),"")</f>
        <v>1</v>
      </c>
      <c r="R1570">
        <f t="shared" si="72"/>
        <v>0.48007246376811596</v>
      </c>
      <c r="S1570">
        <f t="shared" si="73"/>
        <v>1</v>
      </c>
      <c r="T1570">
        <f>IF(AND(S1570&gt;1,COUNTIF($A$2:A1570,A1570)=1),1,0)</f>
        <v>0</v>
      </c>
      <c r="U1570">
        <f>COUNTIF(Customers!$A$2:$A$301,C1570)</f>
        <v>1</v>
      </c>
      <c r="V1570">
        <f t="shared" si="74"/>
        <v>0</v>
      </c>
    </row>
    <row r="1571" spans="1:22" ht="14.25" customHeight="1" x14ac:dyDescent="0.35">
      <c r="A1571" s="10" t="s">
        <v>2030</v>
      </c>
      <c r="B1571" s="11">
        <v>45358</v>
      </c>
      <c r="C1571" s="10" t="s">
        <v>195</v>
      </c>
      <c r="D1571" s="10" t="s">
        <v>95</v>
      </c>
      <c r="E1571" s="10" t="s">
        <v>165</v>
      </c>
      <c r="F1571" s="12">
        <v>4</v>
      </c>
      <c r="G1571" s="12">
        <v>2270</v>
      </c>
      <c r="H1571" s="12">
        <v>26.8</v>
      </c>
      <c r="I1571" s="12">
        <v>6646.56</v>
      </c>
      <c r="J1571" s="10" t="s">
        <v>51</v>
      </c>
      <c r="K1571" s="10" t="s">
        <v>81</v>
      </c>
      <c r="L1571" t="str">
        <f>IFERROR(VLOOKUP(D1571,Products!A:F,3,0),"")</f>
        <v>Grocery</v>
      </c>
      <c r="M1571" t="str">
        <f>IFERROR(VLOOKUP(E1571,Sales_Reps!A:E,3,0),"")</f>
        <v>West</v>
      </c>
      <c r="N1571" t="str">
        <f>IFERROR(VLOOKUP(C1571,Customers!A:F,5,0),"")</f>
        <v>SMB</v>
      </c>
      <c r="O1571">
        <f>IFERROR(VLOOKUP(C1571,Customers!A:F,3,0),"")</f>
        <v>64</v>
      </c>
      <c r="P1571">
        <f>IFERROR(VLOOKUP(D1571,Products!A:F,4,0),"")</f>
        <v>1203</v>
      </c>
      <c r="Q1571" t="b">
        <f>IFERROR(VLOOKUP(D1571,Products!A:F,6,0),"")</f>
        <v>1</v>
      </c>
      <c r="R1571">
        <f t="shared" si="72"/>
        <v>0.47004405286343615</v>
      </c>
      <c r="S1571">
        <f t="shared" si="73"/>
        <v>1</v>
      </c>
      <c r="T1571">
        <f>IF(AND(S1571&gt;1,COUNTIF($A$2:A1571,A1571)=1),1,0)</f>
        <v>0</v>
      </c>
      <c r="U1571">
        <f>COUNTIF(Customers!$A$2:$A$301,C1571)</f>
        <v>1</v>
      </c>
      <c r="V1571">
        <f t="shared" si="74"/>
        <v>6646.56</v>
      </c>
    </row>
    <row r="1572" spans="1:22" ht="14.25" customHeight="1" x14ac:dyDescent="0.35">
      <c r="A1572" s="10" t="s">
        <v>2031</v>
      </c>
      <c r="B1572" s="11">
        <v>45342</v>
      </c>
      <c r="C1572" s="10" t="s">
        <v>382</v>
      </c>
      <c r="D1572" s="10" t="s">
        <v>102</v>
      </c>
      <c r="E1572" s="10" t="s">
        <v>122</v>
      </c>
      <c r="F1572" s="12">
        <v>2</v>
      </c>
      <c r="G1572" s="12">
        <v>2600</v>
      </c>
      <c r="H1572" s="12">
        <v>27</v>
      </c>
      <c r="I1572" s="12">
        <v>3796</v>
      </c>
      <c r="J1572" s="10" t="s">
        <v>51</v>
      </c>
      <c r="K1572" s="10" t="s">
        <v>97</v>
      </c>
      <c r="L1572" t="str">
        <f>IFERROR(VLOOKUP(D1572,Products!A:F,3,0),"")</f>
        <v>Electronics</v>
      </c>
      <c r="M1572" t="str">
        <f>IFERROR(VLOOKUP(E1572,Sales_Reps!A:E,3,0),"")</f>
        <v>East</v>
      </c>
      <c r="N1572" t="str">
        <f>IFERROR(VLOOKUP(C1572,Customers!A:F,5,0),"")</f>
        <v>Retail</v>
      </c>
      <c r="O1572">
        <f>IFERROR(VLOOKUP(C1572,Customers!A:F,3,0),"")</f>
        <v>22</v>
      </c>
      <c r="P1572">
        <f>IFERROR(VLOOKUP(D1572,Products!A:F,4,0),"")</f>
        <v>1052</v>
      </c>
      <c r="Q1572" t="b">
        <f>IFERROR(VLOOKUP(D1572,Products!A:F,6,0),"")</f>
        <v>1</v>
      </c>
      <c r="R1572">
        <f t="shared" si="72"/>
        <v>0.5953846153846154</v>
      </c>
      <c r="S1572">
        <f t="shared" si="73"/>
        <v>1</v>
      </c>
      <c r="T1572">
        <f>IF(AND(S1572&gt;1,COUNTIF($A$2:A1572,A1572)=1),1,0)</f>
        <v>0</v>
      </c>
      <c r="U1572">
        <f>COUNTIF(Customers!$A$2:$A$301,C1572)</f>
        <v>1</v>
      </c>
      <c r="V1572">
        <f t="shared" si="74"/>
        <v>0</v>
      </c>
    </row>
    <row r="1573" spans="1:22" ht="14.25" customHeight="1" x14ac:dyDescent="0.35">
      <c r="A1573" s="10" t="s">
        <v>2032</v>
      </c>
      <c r="B1573" s="11">
        <v>45304</v>
      </c>
      <c r="C1573" s="10" t="s">
        <v>947</v>
      </c>
      <c r="D1573" s="10" t="s">
        <v>151</v>
      </c>
      <c r="E1573" s="10" t="s">
        <v>80</v>
      </c>
      <c r="F1573" s="12">
        <v>4</v>
      </c>
      <c r="G1573" s="12">
        <v>3570</v>
      </c>
      <c r="H1573" s="12">
        <v>12.3</v>
      </c>
      <c r="I1573" s="12">
        <v>12523.56</v>
      </c>
      <c r="J1573" s="10" t="s">
        <v>51</v>
      </c>
      <c r="K1573" s="10" t="s">
        <v>81</v>
      </c>
      <c r="L1573" t="str">
        <f>IFERROR(VLOOKUP(D1573,Products!A:F,3,0),"")</f>
        <v>Electronics</v>
      </c>
      <c r="M1573" t="str">
        <f>IFERROR(VLOOKUP(E1573,Sales_Reps!A:E,3,0),"")</f>
        <v>West</v>
      </c>
      <c r="N1573" t="str">
        <f>IFERROR(VLOOKUP(C1573,Customers!A:F,5,0),"")</f>
        <v>SMB</v>
      </c>
      <c r="O1573">
        <f>IFERROR(VLOOKUP(C1573,Customers!A:F,3,0),"")</f>
        <v>36</v>
      </c>
      <c r="P1573">
        <f>IFERROR(VLOOKUP(D1573,Products!A:F,4,0),"")</f>
        <v>1665</v>
      </c>
      <c r="Q1573" t="b">
        <f>IFERROR(VLOOKUP(D1573,Products!A:F,6,0),"")</f>
        <v>1</v>
      </c>
      <c r="R1573">
        <f t="shared" si="72"/>
        <v>0.53361344537815125</v>
      </c>
      <c r="S1573">
        <f t="shared" si="73"/>
        <v>1</v>
      </c>
      <c r="T1573">
        <f>IF(AND(S1573&gt;1,COUNTIF($A$2:A1573,A1573)=1),1,0)</f>
        <v>0</v>
      </c>
      <c r="U1573">
        <f>COUNTIF(Customers!$A$2:$A$301,C1573)</f>
        <v>1</v>
      </c>
      <c r="V1573">
        <f t="shared" si="74"/>
        <v>0</v>
      </c>
    </row>
    <row r="1574" spans="1:22" ht="14.25" customHeight="1" x14ac:dyDescent="0.35">
      <c r="A1574" s="10" t="s">
        <v>2033</v>
      </c>
      <c r="B1574" s="11">
        <v>45316</v>
      </c>
      <c r="C1574" s="10" t="s">
        <v>517</v>
      </c>
      <c r="D1574" s="10" t="s">
        <v>407</v>
      </c>
      <c r="E1574" s="10" t="s">
        <v>310</v>
      </c>
      <c r="F1574" s="12">
        <v>5</v>
      </c>
      <c r="G1574" s="12">
        <v>5080</v>
      </c>
      <c r="H1574" s="12">
        <v>1.3</v>
      </c>
      <c r="I1574" s="12">
        <v>25069.8</v>
      </c>
      <c r="J1574" s="10" t="s">
        <v>51</v>
      </c>
      <c r="K1574" s="10" t="s">
        <v>76</v>
      </c>
      <c r="L1574" t="str">
        <f>IFERROR(VLOOKUP(D1574,Products!A:F,3,0),"")</f>
        <v>Home</v>
      </c>
      <c r="M1574" t="str">
        <f>IFERROR(VLOOKUP(E1574,Sales_Reps!A:E,3,0),"")</f>
        <v>South</v>
      </c>
      <c r="N1574" t="str">
        <f>IFERROR(VLOOKUP(C1574,Customers!A:F,5,0),"")</f>
        <v>Retail</v>
      </c>
      <c r="O1574">
        <f>IFERROR(VLOOKUP(C1574,Customers!A:F,3,0),"")</f>
        <v>65</v>
      </c>
      <c r="P1574">
        <f>IFERROR(VLOOKUP(D1574,Products!A:F,4,0),"")</f>
        <v>2459</v>
      </c>
      <c r="Q1574" t="b">
        <f>IFERROR(VLOOKUP(D1574,Products!A:F,6,0),"")</f>
        <v>1</v>
      </c>
      <c r="R1574">
        <f t="shared" si="72"/>
        <v>0.51594488188976373</v>
      </c>
      <c r="S1574">
        <f t="shared" si="73"/>
        <v>1</v>
      </c>
      <c r="T1574">
        <f>IF(AND(S1574&gt;1,COUNTIF($A$2:A1574,A1574)=1),1,0)</f>
        <v>0</v>
      </c>
      <c r="U1574">
        <f>COUNTIF(Customers!$A$2:$A$301,C1574)</f>
        <v>1</v>
      </c>
      <c r="V1574">
        <f t="shared" si="74"/>
        <v>0</v>
      </c>
    </row>
    <row r="1575" spans="1:22" ht="14.25" customHeight="1" x14ac:dyDescent="0.35">
      <c r="A1575" s="10" t="s">
        <v>2034</v>
      </c>
      <c r="B1575" s="11">
        <v>45340</v>
      </c>
      <c r="C1575" s="10" t="s">
        <v>934</v>
      </c>
      <c r="D1575" s="10" t="s">
        <v>344</v>
      </c>
      <c r="E1575" s="10" t="s">
        <v>310</v>
      </c>
      <c r="F1575" s="12">
        <v>5</v>
      </c>
      <c r="G1575" s="12">
        <v>960</v>
      </c>
      <c r="H1575" s="12">
        <v>25.2</v>
      </c>
      <c r="I1575" s="12">
        <v>3590.4</v>
      </c>
      <c r="J1575" s="10" t="s">
        <v>51</v>
      </c>
      <c r="K1575" s="10" t="s">
        <v>76</v>
      </c>
      <c r="L1575" t="str">
        <f>IFERROR(VLOOKUP(D1575,Products!A:F,3,0),"")</f>
        <v>Beauty</v>
      </c>
      <c r="M1575" t="str">
        <f>IFERROR(VLOOKUP(E1575,Sales_Reps!A:E,3,0),"")</f>
        <v>South</v>
      </c>
      <c r="N1575" t="str">
        <f>IFERROR(VLOOKUP(C1575,Customers!A:F,5,0),"")</f>
        <v>Retail</v>
      </c>
      <c r="O1575">
        <f>IFERROR(VLOOKUP(C1575,Customers!A:F,3,0),"")</f>
        <v>40</v>
      </c>
      <c r="P1575">
        <f>IFERROR(VLOOKUP(D1575,Products!A:F,4,0),"")</f>
        <v>675</v>
      </c>
      <c r="Q1575" t="b">
        <f>IFERROR(VLOOKUP(D1575,Products!A:F,6,0),"")</f>
        <v>1</v>
      </c>
      <c r="R1575">
        <f t="shared" si="72"/>
        <v>0.296875</v>
      </c>
      <c r="S1575">
        <f t="shared" si="73"/>
        <v>1</v>
      </c>
      <c r="T1575">
        <f>IF(AND(S1575&gt;1,COUNTIF($A$2:A1575,A1575)=1),1,0)</f>
        <v>0</v>
      </c>
      <c r="U1575">
        <f>COUNTIF(Customers!$A$2:$A$301,C1575)</f>
        <v>1</v>
      </c>
      <c r="V1575">
        <f t="shared" si="74"/>
        <v>0</v>
      </c>
    </row>
    <row r="1576" spans="1:22" ht="14.25" customHeight="1" x14ac:dyDescent="0.35">
      <c r="A1576" s="10" t="s">
        <v>2035</v>
      </c>
      <c r="B1576" s="11">
        <v>45604</v>
      </c>
      <c r="C1576" s="10" t="s">
        <v>842</v>
      </c>
      <c r="D1576" s="10" t="s">
        <v>61</v>
      </c>
      <c r="E1576" s="10" t="s">
        <v>96</v>
      </c>
      <c r="F1576" s="12">
        <v>7</v>
      </c>
      <c r="G1576" s="12">
        <v>470</v>
      </c>
      <c r="H1576" s="12">
        <v>21.6</v>
      </c>
      <c r="I1576" s="12">
        <v>2579.36</v>
      </c>
      <c r="J1576" s="10" t="s">
        <v>51</v>
      </c>
      <c r="K1576" s="10" t="s">
        <v>76</v>
      </c>
      <c r="L1576" t="str">
        <f>IFERROR(VLOOKUP(D1576,Products!A:F,3,0),"")</f>
        <v>Sports</v>
      </c>
      <c r="M1576" t="str">
        <f>IFERROR(VLOOKUP(E1576,Sales_Reps!A:E,3,0),"")</f>
        <v>South</v>
      </c>
      <c r="N1576" t="str">
        <f>IFERROR(VLOOKUP(C1576,Customers!A:F,5,0),"")</f>
        <v>Corporate</v>
      </c>
      <c r="O1576">
        <f>IFERROR(VLOOKUP(C1576,Customers!A:F,3,0),"")</f>
        <v>62</v>
      </c>
      <c r="P1576">
        <f>IFERROR(VLOOKUP(D1576,Products!A:F,4,0),"")</f>
        <v>302</v>
      </c>
      <c r="Q1576" t="b">
        <f>IFERROR(VLOOKUP(D1576,Products!A:F,6,0),"")</f>
        <v>0</v>
      </c>
      <c r="R1576">
        <f t="shared" si="72"/>
        <v>0.35744680851063831</v>
      </c>
      <c r="S1576">
        <f t="shared" si="73"/>
        <v>1</v>
      </c>
      <c r="T1576">
        <f>IF(AND(S1576&gt;1,COUNTIF($A$2:A1576,A1576)=1),1,0)</f>
        <v>0</v>
      </c>
      <c r="U1576">
        <f>COUNTIF(Customers!$A$2:$A$301,C1576)</f>
        <v>1</v>
      </c>
      <c r="V1576">
        <f t="shared" si="74"/>
        <v>0</v>
      </c>
    </row>
    <row r="1577" spans="1:22" ht="14.25" customHeight="1" x14ac:dyDescent="0.35">
      <c r="A1577" s="10" t="s">
        <v>2036</v>
      </c>
      <c r="B1577" s="11">
        <v>45625</v>
      </c>
      <c r="C1577" s="10" t="s">
        <v>669</v>
      </c>
      <c r="D1577" s="10" t="s">
        <v>231</v>
      </c>
      <c r="E1577" s="10" t="s">
        <v>307</v>
      </c>
      <c r="F1577" s="12">
        <v>4</v>
      </c>
      <c r="G1577" s="12">
        <v>1220</v>
      </c>
      <c r="H1577" s="12">
        <v>12.6</v>
      </c>
      <c r="I1577" s="12">
        <v>4265.12</v>
      </c>
      <c r="J1577" s="10" t="s">
        <v>51</v>
      </c>
      <c r="K1577" s="10" t="s">
        <v>63</v>
      </c>
      <c r="L1577" t="str">
        <f>IFERROR(VLOOKUP(D1577,Products!A:F,3,0),"")</f>
        <v>Electronics</v>
      </c>
      <c r="M1577" t="str">
        <f>IFERROR(VLOOKUP(E1577,Sales_Reps!A:E,3,0),"")</f>
        <v>West</v>
      </c>
      <c r="N1577" t="str">
        <f>IFERROR(VLOOKUP(C1577,Customers!A:F,5,0),"")</f>
        <v>Retail</v>
      </c>
      <c r="O1577">
        <f>IFERROR(VLOOKUP(C1577,Customers!A:F,3,0),"")</f>
        <v>53</v>
      </c>
      <c r="P1577">
        <f>IFERROR(VLOOKUP(D1577,Products!A:F,4,0),"")</f>
        <v>517</v>
      </c>
      <c r="Q1577" t="b">
        <f>IFERROR(VLOOKUP(D1577,Products!A:F,6,0),"")</f>
        <v>1</v>
      </c>
      <c r="R1577">
        <f t="shared" si="72"/>
        <v>0.57622950819672136</v>
      </c>
      <c r="S1577">
        <f t="shared" si="73"/>
        <v>1</v>
      </c>
      <c r="T1577">
        <f>IF(AND(S1577&gt;1,COUNTIF($A$2:A1577,A1577)=1),1,0)</f>
        <v>0</v>
      </c>
      <c r="U1577">
        <f>COUNTIF(Customers!$A$2:$A$301,C1577)</f>
        <v>1</v>
      </c>
      <c r="V1577">
        <f t="shared" si="74"/>
        <v>0</v>
      </c>
    </row>
    <row r="1578" spans="1:22" ht="14.25" customHeight="1" x14ac:dyDescent="0.35">
      <c r="A1578" s="10" t="s">
        <v>2037</v>
      </c>
      <c r="B1578" s="11">
        <v>45293</v>
      </c>
      <c r="C1578" s="10" t="s">
        <v>577</v>
      </c>
      <c r="D1578" s="10" t="s">
        <v>146</v>
      </c>
      <c r="E1578" s="10" t="s">
        <v>71</v>
      </c>
      <c r="F1578" s="12">
        <v>4</v>
      </c>
      <c r="G1578" s="12">
        <v>1010</v>
      </c>
      <c r="H1578" s="12">
        <v>11.3</v>
      </c>
      <c r="I1578" s="12">
        <v>3583.48</v>
      </c>
      <c r="J1578" s="10" t="s">
        <v>51</v>
      </c>
      <c r="K1578" s="10" t="s">
        <v>76</v>
      </c>
      <c r="L1578" t="str">
        <f>IFERROR(VLOOKUP(D1578,Products!A:F,3,0),"")</f>
        <v>Sports</v>
      </c>
      <c r="M1578" t="str">
        <f>IFERROR(VLOOKUP(E1578,Sales_Reps!A:E,3,0),"")</f>
        <v>North</v>
      </c>
      <c r="N1578" t="str">
        <f>IFERROR(VLOOKUP(C1578,Customers!A:F,5,0),"")</f>
        <v>Retail</v>
      </c>
      <c r="O1578">
        <f>IFERROR(VLOOKUP(C1578,Customers!A:F,3,0),"")</f>
        <v>44</v>
      </c>
      <c r="P1578">
        <f>IFERROR(VLOOKUP(D1578,Products!A:F,4,0),"")</f>
        <v>516</v>
      </c>
      <c r="Q1578" t="b">
        <f>IFERROR(VLOOKUP(D1578,Products!A:F,6,0),"")</f>
        <v>1</v>
      </c>
      <c r="R1578">
        <f t="shared" si="72"/>
        <v>0.4891089108910891</v>
      </c>
      <c r="S1578">
        <f t="shared" si="73"/>
        <v>1</v>
      </c>
      <c r="T1578">
        <f>IF(AND(S1578&gt;1,COUNTIF($A$2:A1578,A1578)=1),1,0)</f>
        <v>0</v>
      </c>
      <c r="U1578">
        <f>COUNTIF(Customers!$A$2:$A$301,C1578)</f>
        <v>1</v>
      </c>
      <c r="V1578">
        <f t="shared" si="74"/>
        <v>0</v>
      </c>
    </row>
    <row r="1579" spans="1:22" ht="14.25" customHeight="1" x14ac:dyDescent="0.35">
      <c r="A1579" s="10" t="s">
        <v>2038</v>
      </c>
      <c r="B1579" s="11">
        <v>45454</v>
      </c>
      <c r="C1579" s="10" t="s">
        <v>297</v>
      </c>
      <c r="D1579" s="10" t="s">
        <v>66</v>
      </c>
      <c r="E1579" s="10" t="s">
        <v>56</v>
      </c>
      <c r="F1579" s="12">
        <v>4</v>
      </c>
      <c r="G1579" s="12">
        <v>3660</v>
      </c>
      <c r="H1579" s="12">
        <v>7.2</v>
      </c>
      <c r="I1579" s="12">
        <v>13585.92</v>
      </c>
      <c r="J1579" s="10" t="s">
        <v>51</v>
      </c>
      <c r="K1579" s="10" t="s">
        <v>97</v>
      </c>
      <c r="L1579" t="str">
        <f>IFERROR(VLOOKUP(D1579,Products!A:F,3,0),"")</f>
        <v>Grocery</v>
      </c>
      <c r="M1579" t="str">
        <f>IFERROR(VLOOKUP(E1579,Sales_Reps!A:E,3,0),"")</f>
        <v>North</v>
      </c>
      <c r="N1579" t="str">
        <f>IFERROR(VLOOKUP(C1579,Customers!A:F,5,0),"")</f>
        <v>SMB</v>
      </c>
      <c r="O1579">
        <f>IFERROR(VLOOKUP(C1579,Customers!A:F,3,0),"")</f>
        <v>65</v>
      </c>
      <c r="P1579">
        <f>IFERROR(VLOOKUP(D1579,Products!A:F,4,0),"")</f>
        <v>2214</v>
      </c>
      <c r="Q1579" t="b">
        <f>IFERROR(VLOOKUP(D1579,Products!A:F,6,0),"")</f>
        <v>0</v>
      </c>
      <c r="R1579">
        <f t="shared" si="72"/>
        <v>0.39508196721311473</v>
      </c>
      <c r="S1579">
        <f t="shared" si="73"/>
        <v>1</v>
      </c>
      <c r="T1579">
        <f>IF(AND(S1579&gt;1,COUNTIF($A$2:A1579,A1579)=1),1,0)</f>
        <v>0</v>
      </c>
      <c r="U1579">
        <f>COUNTIF(Customers!$A$2:$A$301,C1579)</f>
        <v>1</v>
      </c>
      <c r="V1579">
        <f t="shared" si="74"/>
        <v>0</v>
      </c>
    </row>
    <row r="1580" spans="1:22" ht="14.25" customHeight="1" x14ac:dyDescent="0.35">
      <c r="A1580" s="10" t="s">
        <v>2039</v>
      </c>
      <c r="B1580" s="11">
        <v>45345</v>
      </c>
      <c r="C1580" s="10" t="s">
        <v>759</v>
      </c>
      <c r="D1580" s="10" t="s">
        <v>88</v>
      </c>
      <c r="E1580" s="10" t="s">
        <v>96</v>
      </c>
      <c r="F1580" s="12">
        <v>4</v>
      </c>
      <c r="G1580" s="12">
        <v>5490</v>
      </c>
      <c r="H1580" s="12">
        <v>8</v>
      </c>
      <c r="I1580" s="12">
        <v>20203.2</v>
      </c>
      <c r="J1580" s="10" t="s">
        <v>51</v>
      </c>
      <c r="K1580" s="10" t="s">
        <v>58</v>
      </c>
      <c r="L1580" t="str">
        <f>IFERROR(VLOOKUP(D1580,Products!A:F,3,0),"")</f>
        <v>Home</v>
      </c>
      <c r="M1580" t="str">
        <f>IFERROR(VLOOKUP(E1580,Sales_Reps!A:E,3,0),"")</f>
        <v>South</v>
      </c>
      <c r="N1580" t="str">
        <f>IFERROR(VLOOKUP(C1580,Customers!A:F,5,0),"")</f>
        <v>Retail</v>
      </c>
      <c r="O1580">
        <f>IFERROR(VLOOKUP(C1580,Customers!A:F,3,0),"")</f>
        <v>22</v>
      </c>
      <c r="P1580">
        <f>IFERROR(VLOOKUP(D1580,Products!A:F,4,0),"")</f>
        <v>2549</v>
      </c>
      <c r="Q1580" t="b">
        <f>IFERROR(VLOOKUP(D1580,Products!A:F,6,0),"")</f>
        <v>1</v>
      </c>
      <c r="R1580">
        <f t="shared" si="72"/>
        <v>0.53570127504553733</v>
      </c>
      <c r="S1580">
        <f t="shared" si="73"/>
        <v>1</v>
      </c>
      <c r="T1580">
        <f>IF(AND(S1580&gt;1,COUNTIF($A$2:A1580,A1580)=1),1,0)</f>
        <v>0</v>
      </c>
      <c r="U1580">
        <f>COUNTIF(Customers!$A$2:$A$301,C1580)</f>
        <v>1</v>
      </c>
      <c r="V1580">
        <f t="shared" si="74"/>
        <v>0</v>
      </c>
    </row>
    <row r="1581" spans="1:22" ht="14.25" customHeight="1" x14ac:dyDescent="0.35">
      <c r="A1581" s="10" t="s">
        <v>2040</v>
      </c>
      <c r="B1581" s="11">
        <v>45645</v>
      </c>
      <c r="C1581" s="10" t="s">
        <v>391</v>
      </c>
      <c r="D1581" s="10" t="s">
        <v>209</v>
      </c>
      <c r="E1581" s="10" t="s">
        <v>112</v>
      </c>
      <c r="F1581" s="12">
        <v>6</v>
      </c>
      <c r="G1581" s="12">
        <v>2270</v>
      </c>
      <c r="H1581" s="12">
        <v>17.100000000000001</v>
      </c>
      <c r="I1581" s="12">
        <v>11290.98</v>
      </c>
      <c r="J1581" s="10" t="s">
        <v>51</v>
      </c>
      <c r="K1581" s="10" t="s">
        <v>52</v>
      </c>
      <c r="L1581" t="str">
        <f>IFERROR(VLOOKUP(D1581,Products!A:F,3,0),"")</f>
        <v>Grocery</v>
      </c>
      <c r="M1581" t="str">
        <f>IFERROR(VLOOKUP(E1581,Sales_Reps!A:E,3,0),"")</f>
        <v>North</v>
      </c>
      <c r="N1581" t="str">
        <f>IFERROR(VLOOKUP(C1581,Customers!A:F,5,0),"")</f>
        <v>Corporate</v>
      </c>
      <c r="O1581">
        <f>IFERROR(VLOOKUP(C1581,Customers!A:F,3,0),"")</f>
        <v>48</v>
      </c>
      <c r="P1581">
        <f>IFERROR(VLOOKUP(D1581,Products!A:F,4,0),"")</f>
        <v>1412</v>
      </c>
      <c r="Q1581" t="b">
        <f>IFERROR(VLOOKUP(D1581,Products!A:F,6,0),"")</f>
        <v>1</v>
      </c>
      <c r="R1581">
        <f t="shared" si="72"/>
        <v>0.37797356828193834</v>
      </c>
      <c r="S1581">
        <f t="shared" si="73"/>
        <v>1</v>
      </c>
      <c r="T1581">
        <f>IF(AND(S1581&gt;1,COUNTIF($A$2:A1581,A1581)=1),1,0)</f>
        <v>0</v>
      </c>
      <c r="U1581">
        <f>COUNTIF(Customers!$A$2:$A$301,C1581)</f>
        <v>1</v>
      </c>
      <c r="V1581">
        <f t="shared" si="74"/>
        <v>0</v>
      </c>
    </row>
    <row r="1582" spans="1:22" ht="14.25" customHeight="1" x14ac:dyDescent="0.35">
      <c r="A1582" s="10" t="s">
        <v>2041</v>
      </c>
      <c r="B1582" s="11">
        <v>45588</v>
      </c>
      <c r="C1582" s="10" t="s">
        <v>245</v>
      </c>
      <c r="D1582" s="10" t="s">
        <v>209</v>
      </c>
      <c r="E1582" s="10" t="s">
        <v>152</v>
      </c>
      <c r="F1582" s="12">
        <v>8</v>
      </c>
      <c r="G1582" s="12">
        <v>2270</v>
      </c>
      <c r="H1582" s="12">
        <v>11.9</v>
      </c>
      <c r="I1582" s="12">
        <v>15998.96</v>
      </c>
      <c r="J1582" s="10" t="s">
        <v>57</v>
      </c>
      <c r="K1582" s="10" t="s">
        <v>52</v>
      </c>
      <c r="L1582" t="str">
        <f>IFERROR(VLOOKUP(D1582,Products!A:F,3,0),"")</f>
        <v>Grocery</v>
      </c>
      <c r="M1582" t="str">
        <f>IFERROR(VLOOKUP(E1582,Sales_Reps!A:E,3,0),"")</f>
        <v>South</v>
      </c>
      <c r="N1582" t="str">
        <f>IFERROR(VLOOKUP(C1582,Customers!A:F,5,0),"")</f>
        <v>Retail</v>
      </c>
      <c r="O1582">
        <f>IFERROR(VLOOKUP(C1582,Customers!A:F,3,0),"")</f>
        <v>25</v>
      </c>
      <c r="P1582">
        <f>IFERROR(VLOOKUP(D1582,Products!A:F,4,0),"")</f>
        <v>1412</v>
      </c>
      <c r="Q1582" t="b">
        <f>IFERROR(VLOOKUP(D1582,Products!A:F,6,0),"")</f>
        <v>1</v>
      </c>
      <c r="R1582">
        <f t="shared" si="72"/>
        <v>0.37797356828193834</v>
      </c>
      <c r="S1582">
        <f t="shared" si="73"/>
        <v>1</v>
      </c>
      <c r="T1582">
        <f>IF(AND(S1582&gt;1,COUNTIF($A$2:A1582,A1582)=1),1,0)</f>
        <v>0</v>
      </c>
      <c r="U1582">
        <f>COUNTIF(Customers!$A$2:$A$301,C1582)</f>
        <v>1</v>
      </c>
      <c r="V1582">
        <f t="shared" si="74"/>
        <v>0</v>
      </c>
    </row>
    <row r="1583" spans="1:22" ht="14.25" customHeight="1" x14ac:dyDescent="0.35">
      <c r="A1583" s="10" t="s">
        <v>2042</v>
      </c>
      <c r="B1583" s="11">
        <v>45592</v>
      </c>
      <c r="C1583" s="10" t="s">
        <v>280</v>
      </c>
      <c r="D1583" s="10" t="s">
        <v>102</v>
      </c>
      <c r="E1583" s="10" t="s">
        <v>267</v>
      </c>
      <c r="F1583" s="12">
        <v>6</v>
      </c>
      <c r="G1583" s="12">
        <v>2600</v>
      </c>
      <c r="H1583" s="12">
        <v>5.0999999999999996</v>
      </c>
      <c r="I1583" s="12">
        <v>14804.4</v>
      </c>
      <c r="J1583" s="10" t="s">
        <v>51</v>
      </c>
      <c r="K1583" s="10" t="s">
        <v>52</v>
      </c>
      <c r="L1583" t="str">
        <f>IFERROR(VLOOKUP(D1583,Products!A:F,3,0),"")</f>
        <v>Electronics</v>
      </c>
      <c r="M1583" t="str">
        <f>IFERROR(VLOOKUP(E1583,Sales_Reps!A:E,3,0),"")</f>
        <v>East</v>
      </c>
      <c r="N1583" t="str">
        <f>IFERROR(VLOOKUP(C1583,Customers!A:F,5,0),"")</f>
        <v>SMB</v>
      </c>
      <c r="O1583">
        <f>IFERROR(VLOOKUP(C1583,Customers!A:F,3,0),"")</f>
        <v>60</v>
      </c>
      <c r="P1583">
        <f>IFERROR(VLOOKUP(D1583,Products!A:F,4,0),"")</f>
        <v>1052</v>
      </c>
      <c r="Q1583" t="b">
        <f>IFERROR(VLOOKUP(D1583,Products!A:F,6,0),"")</f>
        <v>1</v>
      </c>
      <c r="R1583">
        <f t="shared" si="72"/>
        <v>0.5953846153846154</v>
      </c>
      <c r="S1583">
        <f t="shared" si="73"/>
        <v>1</v>
      </c>
      <c r="T1583">
        <f>IF(AND(S1583&gt;1,COUNTIF($A$2:A1583,A1583)=1),1,0)</f>
        <v>0</v>
      </c>
      <c r="U1583">
        <f>COUNTIF(Customers!$A$2:$A$301,C1583)</f>
        <v>1</v>
      </c>
      <c r="V1583">
        <f t="shared" si="74"/>
        <v>0</v>
      </c>
    </row>
    <row r="1584" spans="1:22" ht="14.25" customHeight="1" x14ac:dyDescent="0.35">
      <c r="A1584" s="10" t="s">
        <v>2043</v>
      </c>
      <c r="B1584" s="11">
        <v>45403</v>
      </c>
      <c r="C1584" s="10" t="s">
        <v>133</v>
      </c>
      <c r="D1584" s="10" t="s">
        <v>212</v>
      </c>
      <c r="E1584" s="10" t="s">
        <v>307</v>
      </c>
      <c r="F1584" s="12">
        <v>9</v>
      </c>
      <c r="G1584" s="12">
        <v>3870</v>
      </c>
      <c r="H1584" s="12">
        <v>1.8</v>
      </c>
      <c r="I1584" s="12">
        <v>34203.06</v>
      </c>
      <c r="J1584" s="10" t="s">
        <v>104</v>
      </c>
      <c r="K1584" s="10" t="s">
        <v>76</v>
      </c>
      <c r="L1584" t="str">
        <f>IFERROR(VLOOKUP(D1584,Products!A:F,3,0),"")</f>
        <v>Electronics</v>
      </c>
      <c r="M1584" t="str">
        <f>IFERROR(VLOOKUP(E1584,Sales_Reps!A:E,3,0),"")</f>
        <v>West</v>
      </c>
      <c r="N1584" t="str">
        <f>IFERROR(VLOOKUP(C1584,Customers!A:F,5,0),"")</f>
        <v>Retail</v>
      </c>
      <c r="O1584">
        <f>IFERROR(VLOOKUP(C1584,Customers!A:F,3,0),"")</f>
        <v>34</v>
      </c>
      <c r="P1584">
        <f>IFERROR(VLOOKUP(D1584,Products!A:F,4,0),"")</f>
        <v>1559</v>
      </c>
      <c r="Q1584" t="b">
        <f>IFERROR(VLOOKUP(D1584,Products!A:F,6,0),"")</f>
        <v>1</v>
      </c>
      <c r="R1584">
        <f t="shared" si="72"/>
        <v>0.59715762273901807</v>
      </c>
      <c r="S1584">
        <f t="shared" si="73"/>
        <v>1</v>
      </c>
      <c r="T1584">
        <f>IF(AND(S1584&gt;1,COUNTIF($A$2:A1584,A1584)=1),1,0)</f>
        <v>0</v>
      </c>
      <c r="U1584">
        <f>COUNTIF(Customers!$A$2:$A$301,C1584)</f>
        <v>1</v>
      </c>
      <c r="V1584">
        <f t="shared" si="74"/>
        <v>0</v>
      </c>
    </row>
    <row r="1585" spans="1:22" ht="14.25" customHeight="1" x14ac:dyDescent="0.35">
      <c r="A1585" s="10" t="s">
        <v>2044</v>
      </c>
      <c r="B1585" s="11">
        <v>45459</v>
      </c>
      <c r="C1585" s="10" t="s">
        <v>371</v>
      </c>
      <c r="D1585" s="10" t="s">
        <v>372</v>
      </c>
      <c r="E1585" s="10" t="s">
        <v>67</v>
      </c>
      <c r="F1585" s="12">
        <v>3</v>
      </c>
      <c r="G1585" s="12">
        <v>3970</v>
      </c>
      <c r="H1585" s="12">
        <v>8.1999999999999993</v>
      </c>
      <c r="I1585" s="12">
        <v>10933.38</v>
      </c>
      <c r="J1585" s="10" t="s">
        <v>51</v>
      </c>
      <c r="K1585" s="10" t="s">
        <v>52</v>
      </c>
      <c r="L1585" t="str">
        <f>IFERROR(VLOOKUP(D1585,Products!A:F,3,0),"")</f>
        <v>Electronics</v>
      </c>
      <c r="M1585" t="str">
        <f>IFERROR(VLOOKUP(E1585,Sales_Reps!A:E,3,0),"")</f>
        <v>North</v>
      </c>
      <c r="N1585" t="str">
        <f>IFERROR(VLOOKUP(C1585,Customers!A:F,5,0),"")</f>
        <v>SMB</v>
      </c>
      <c r="O1585">
        <f>IFERROR(VLOOKUP(C1585,Customers!A:F,3,0),"")</f>
        <v>53</v>
      </c>
      <c r="P1585">
        <f>IFERROR(VLOOKUP(D1585,Products!A:F,4,0),"")</f>
        <v>2865</v>
      </c>
      <c r="Q1585" t="b">
        <f>IFERROR(VLOOKUP(D1585,Products!A:F,6,0),"")</f>
        <v>1</v>
      </c>
      <c r="R1585">
        <f t="shared" si="72"/>
        <v>0.27833753148614609</v>
      </c>
      <c r="S1585">
        <f t="shared" si="73"/>
        <v>1</v>
      </c>
      <c r="T1585">
        <f>IF(AND(S1585&gt;1,COUNTIF($A$2:A1585,A1585)=1),1,0)</f>
        <v>0</v>
      </c>
      <c r="U1585">
        <f>COUNTIF(Customers!$A$2:$A$301,C1585)</f>
        <v>1</v>
      </c>
      <c r="V1585">
        <f t="shared" si="74"/>
        <v>0</v>
      </c>
    </row>
    <row r="1586" spans="1:22" ht="14.25" customHeight="1" x14ac:dyDescent="0.35">
      <c r="A1586" s="10" t="s">
        <v>2045</v>
      </c>
      <c r="B1586" s="11">
        <v>45438</v>
      </c>
      <c r="C1586" s="10" t="s">
        <v>248</v>
      </c>
      <c r="D1586" s="10" t="s">
        <v>344</v>
      </c>
      <c r="E1586" s="10" t="s">
        <v>92</v>
      </c>
      <c r="F1586" s="12">
        <v>9</v>
      </c>
      <c r="G1586" s="12">
        <v>960</v>
      </c>
      <c r="H1586" s="12">
        <v>21.7</v>
      </c>
      <c r="I1586" s="12">
        <v>6765.12</v>
      </c>
      <c r="J1586" s="10" t="s">
        <v>104</v>
      </c>
      <c r="K1586" s="10" t="s">
        <v>58</v>
      </c>
      <c r="L1586" t="str">
        <f>IFERROR(VLOOKUP(D1586,Products!A:F,3,0),"")</f>
        <v>Beauty</v>
      </c>
      <c r="M1586" t="str">
        <f>IFERROR(VLOOKUP(E1586,Sales_Reps!A:E,3,0),"")</f>
        <v>West</v>
      </c>
      <c r="N1586" t="str">
        <f>IFERROR(VLOOKUP(C1586,Customers!A:F,5,0),"")</f>
        <v>Retail</v>
      </c>
      <c r="O1586">
        <f>IFERROR(VLOOKUP(C1586,Customers!A:F,3,0),"")</f>
        <v>28</v>
      </c>
      <c r="P1586">
        <f>IFERROR(VLOOKUP(D1586,Products!A:F,4,0),"")</f>
        <v>675</v>
      </c>
      <c r="Q1586" t="b">
        <f>IFERROR(VLOOKUP(D1586,Products!A:F,6,0),"")</f>
        <v>1</v>
      </c>
      <c r="R1586">
        <f t="shared" si="72"/>
        <v>0.296875</v>
      </c>
      <c r="S1586">
        <f t="shared" si="73"/>
        <v>1</v>
      </c>
      <c r="T1586">
        <f>IF(AND(S1586&gt;1,COUNTIF($A$2:A1586,A1586)=1),1,0)</f>
        <v>0</v>
      </c>
      <c r="U1586">
        <f>COUNTIF(Customers!$A$2:$A$301,C1586)</f>
        <v>1</v>
      </c>
      <c r="V1586">
        <f t="shared" si="74"/>
        <v>0</v>
      </c>
    </row>
    <row r="1587" spans="1:22" ht="14.25" customHeight="1" x14ac:dyDescent="0.35">
      <c r="A1587" s="10" t="s">
        <v>2046</v>
      </c>
      <c r="B1587" s="11">
        <v>45632</v>
      </c>
      <c r="C1587" s="10" t="s">
        <v>761</v>
      </c>
      <c r="D1587" s="10" t="s">
        <v>324</v>
      </c>
      <c r="E1587" s="10" t="s">
        <v>75</v>
      </c>
      <c r="F1587" s="12">
        <v>3</v>
      </c>
      <c r="G1587" s="12">
        <v>5410</v>
      </c>
      <c r="H1587" s="12">
        <v>20.3</v>
      </c>
      <c r="I1587" s="12">
        <v>12935.31</v>
      </c>
      <c r="J1587" s="10" t="s">
        <v>51</v>
      </c>
      <c r="K1587" s="10" t="s">
        <v>63</v>
      </c>
      <c r="L1587" t="str">
        <f>IFERROR(VLOOKUP(D1587,Products!A:F,3,0),"")</f>
        <v>Sports</v>
      </c>
      <c r="M1587" t="str">
        <f>IFERROR(VLOOKUP(E1587,Sales_Reps!A:E,3,0),"")</f>
        <v>West</v>
      </c>
      <c r="N1587" t="str">
        <f>IFERROR(VLOOKUP(C1587,Customers!A:F,5,0),"")</f>
        <v>Retail</v>
      </c>
      <c r="O1587">
        <f>IFERROR(VLOOKUP(C1587,Customers!A:F,3,0),"")</f>
        <v>63</v>
      </c>
      <c r="P1587">
        <f>IFERROR(VLOOKUP(D1587,Products!A:F,4,0),"")</f>
        <v>2265</v>
      </c>
      <c r="Q1587" t="b">
        <f>IFERROR(VLOOKUP(D1587,Products!A:F,6,0),"")</f>
        <v>1</v>
      </c>
      <c r="R1587">
        <f t="shared" si="72"/>
        <v>0.58133086876155271</v>
      </c>
      <c r="S1587">
        <f t="shared" si="73"/>
        <v>1</v>
      </c>
      <c r="T1587">
        <f>IF(AND(S1587&gt;1,COUNTIF($A$2:A1587,A1587)=1),1,0)</f>
        <v>0</v>
      </c>
      <c r="U1587">
        <f>COUNTIF(Customers!$A$2:$A$301,C1587)</f>
        <v>1</v>
      </c>
      <c r="V1587">
        <f t="shared" si="74"/>
        <v>0</v>
      </c>
    </row>
    <row r="1588" spans="1:22" ht="14.25" customHeight="1" x14ac:dyDescent="0.35">
      <c r="A1588" s="10" t="s">
        <v>2047</v>
      </c>
      <c r="B1588" s="11">
        <v>45579</v>
      </c>
      <c r="C1588" s="10" t="s">
        <v>850</v>
      </c>
      <c r="D1588" s="10" t="s">
        <v>416</v>
      </c>
      <c r="E1588" s="10" t="s">
        <v>56</v>
      </c>
      <c r="F1588" s="12">
        <v>3</v>
      </c>
      <c r="G1588" s="12">
        <v>3450</v>
      </c>
      <c r="H1588" s="12">
        <v>11.6</v>
      </c>
      <c r="I1588" s="12">
        <v>9149.4</v>
      </c>
      <c r="J1588" s="10" t="s">
        <v>51</v>
      </c>
      <c r="K1588" s="10" t="s">
        <v>58</v>
      </c>
      <c r="L1588" t="str">
        <f>IFERROR(VLOOKUP(D1588,Products!A:F,3,0),"")</f>
        <v>Apparel</v>
      </c>
      <c r="M1588" t="str">
        <f>IFERROR(VLOOKUP(E1588,Sales_Reps!A:E,3,0),"")</f>
        <v>North</v>
      </c>
      <c r="N1588" t="str">
        <f>IFERROR(VLOOKUP(C1588,Customers!A:F,5,0),"")</f>
        <v>Corporate</v>
      </c>
      <c r="O1588">
        <f>IFERROR(VLOOKUP(C1588,Customers!A:F,3,0),"")</f>
        <v>44</v>
      </c>
      <c r="P1588">
        <f>IFERROR(VLOOKUP(D1588,Products!A:F,4,0),"")</f>
        <v>1748</v>
      </c>
      <c r="Q1588" t="b">
        <f>IFERROR(VLOOKUP(D1588,Products!A:F,6,0),"")</f>
        <v>1</v>
      </c>
      <c r="R1588">
        <f t="shared" si="72"/>
        <v>0.49333333333333335</v>
      </c>
      <c r="S1588">
        <f t="shared" si="73"/>
        <v>1</v>
      </c>
      <c r="T1588">
        <f>IF(AND(S1588&gt;1,COUNTIF($A$2:A1588,A1588)=1),1,0)</f>
        <v>0</v>
      </c>
      <c r="U1588">
        <f>COUNTIF(Customers!$A$2:$A$301,C1588)</f>
        <v>1</v>
      </c>
      <c r="V1588">
        <f t="shared" si="74"/>
        <v>0</v>
      </c>
    </row>
    <row r="1589" spans="1:22" ht="14.25" customHeight="1" x14ac:dyDescent="0.35">
      <c r="A1589" s="10" t="s">
        <v>2048</v>
      </c>
      <c r="B1589" s="11">
        <v>45392</v>
      </c>
      <c r="C1589" s="10" t="s">
        <v>187</v>
      </c>
      <c r="D1589" s="10" t="s">
        <v>240</v>
      </c>
      <c r="E1589" s="10" t="s">
        <v>71</v>
      </c>
      <c r="F1589" s="12">
        <v>2</v>
      </c>
      <c r="G1589" s="12">
        <v>3020</v>
      </c>
      <c r="H1589" s="12">
        <v>20.8</v>
      </c>
      <c r="I1589" s="12">
        <v>4783.68</v>
      </c>
      <c r="J1589" s="10" t="s">
        <v>57</v>
      </c>
      <c r="K1589" s="10" t="s">
        <v>63</v>
      </c>
      <c r="L1589" t="str">
        <f>IFERROR(VLOOKUP(D1589,Products!A:F,3,0),"")</f>
        <v>Beauty</v>
      </c>
      <c r="M1589" t="str">
        <f>IFERROR(VLOOKUP(E1589,Sales_Reps!A:E,3,0),"")</f>
        <v>North</v>
      </c>
      <c r="N1589" t="str">
        <f>IFERROR(VLOOKUP(C1589,Customers!A:F,5,0),"")</f>
        <v>Retail</v>
      </c>
      <c r="O1589">
        <f>IFERROR(VLOOKUP(C1589,Customers!A:F,3,0),"")</f>
        <v>53</v>
      </c>
      <c r="P1589">
        <f>IFERROR(VLOOKUP(D1589,Products!A:F,4,0),"")</f>
        <v>1626</v>
      </c>
      <c r="Q1589" t="b">
        <f>IFERROR(VLOOKUP(D1589,Products!A:F,6,0),"")</f>
        <v>1</v>
      </c>
      <c r="R1589">
        <f t="shared" si="72"/>
        <v>0.46158940397350995</v>
      </c>
      <c r="S1589">
        <f t="shared" si="73"/>
        <v>1</v>
      </c>
      <c r="T1589">
        <f>IF(AND(S1589&gt;1,COUNTIF($A$2:A1589,A1589)=1),1,0)</f>
        <v>0</v>
      </c>
      <c r="U1589">
        <f>COUNTIF(Customers!$A$2:$A$301,C1589)</f>
        <v>1</v>
      </c>
      <c r="V1589">
        <f t="shared" si="74"/>
        <v>0</v>
      </c>
    </row>
    <row r="1590" spans="1:22" ht="14.25" customHeight="1" x14ac:dyDescent="0.35">
      <c r="A1590" s="10" t="s">
        <v>2049</v>
      </c>
      <c r="B1590" s="11">
        <v>45563</v>
      </c>
      <c r="C1590" s="10" t="s">
        <v>1026</v>
      </c>
      <c r="D1590" s="10" t="s">
        <v>111</v>
      </c>
      <c r="E1590" s="10" t="s">
        <v>261</v>
      </c>
      <c r="F1590" s="12">
        <v>3</v>
      </c>
      <c r="G1590" s="12">
        <v>190</v>
      </c>
      <c r="H1590" s="12">
        <v>10.7</v>
      </c>
      <c r="I1590" s="12">
        <v>509.01</v>
      </c>
      <c r="J1590" s="10" t="s">
        <v>51</v>
      </c>
      <c r="K1590" s="10" t="s">
        <v>76</v>
      </c>
      <c r="L1590" t="str">
        <f>IFERROR(VLOOKUP(D1590,Products!A:F,3,0),"")</f>
        <v>Sports</v>
      </c>
      <c r="M1590" t="str">
        <f>IFERROR(VLOOKUP(E1590,Sales_Reps!A:E,3,0),"")</f>
        <v>North</v>
      </c>
      <c r="N1590" t="str">
        <f>IFERROR(VLOOKUP(C1590,Customers!A:F,5,0),"")</f>
        <v>SMB</v>
      </c>
      <c r="O1590">
        <f>IFERROR(VLOOKUP(C1590,Customers!A:F,3,0),"")</f>
        <v>54</v>
      </c>
      <c r="P1590">
        <f>IFERROR(VLOOKUP(D1590,Products!A:F,4,0),"")</f>
        <v>147</v>
      </c>
      <c r="Q1590" t="b">
        <f>IFERROR(VLOOKUP(D1590,Products!A:F,6,0),"")</f>
        <v>1</v>
      </c>
      <c r="R1590">
        <f t="shared" si="72"/>
        <v>0.22631578947368422</v>
      </c>
      <c r="S1590">
        <f t="shared" si="73"/>
        <v>1</v>
      </c>
      <c r="T1590">
        <f>IF(AND(S1590&gt;1,COUNTIF($A$2:A1590,A1590)=1),1,0)</f>
        <v>0</v>
      </c>
      <c r="U1590">
        <f>COUNTIF(Customers!$A$2:$A$301,C1590)</f>
        <v>1</v>
      </c>
      <c r="V1590">
        <f t="shared" si="74"/>
        <v>0</v>
      </c>
    </row>
    <row r="1591" spans="1:22" ht="14.25" customHeight="1" x14ac:dyDescent="0.35">
      <c r="A1591" s="10" t="s">
        <v>2050</v>
      </c>
      <c r="B1591" s="11">
        <v>45294</v>
      </c>
      <c r="C1591" s="10" t="s">
        <v>158</v>
      </c>
      <c r="D1591" s="10" t="s">
        <v>190</v>
      </c>
      <c r="E1591" s="10" t="s">
        <v>289</v>
      </c>
      <c r="F1591" s="12">
        <v>4</v>
      </c>
      <c r="G1591" s="12">
        <v>3730</v>
      </c>
      <c r="H1591" s="12">
        <v>6.9</v>
      </c>
      <c r="I1591" s="12">
        <v>13890.52</v>
      </c>
      <c r="J1591" s="10" t="s">
        <v>51</v>
      </c>
      <c r="K1591" s="10" t="s">
        <v>52</v>
      </c>
      <c r="L1591" t="str">
        <f>IFERROR(VLOOKUP(D1591,Products!A:F,3,0),"")</f>
        <v>Home</v>
      </c>
      <c r="M1591" t="str">
        <f>IFERROR(VLOOKUP(E1591,Sales_Reps!A:E,3,0),"")</f>
        <v>South</v>
      </c>
      <c r="N1591" t="str">
        <f>IFERROR(VLOOKUP(C1591,Customers!A:F,5,0),"")</f>
        <v>SMB</v>
      </c>
      <c r="O1591">
        <f>IFERROR(VLOOKUP(C1591,Customers!A:F,3,0),"")</f>
        <v>44</v>
      </c>
      <c r="P1591">
        <f>IFERROR(VLOOKUP(D1591,Products!A:F,4,0),"")</f>
        <v>2135</v>
      </c>
      <c r="Q1591" t="b">
        <f>IFERROR(VLOOKUP(D1591,Products!A:F,6,0),"")</f>
        <v>1</v>
      </c>
      <c r="R1591">
        <f t="shared" si="72"/>
        <v>0.42761394101876676</v>
      </c>
      <c r="S1591">
        <f t="shared" si="73"/>
        <v>1</v>
      </c>
      <c r="T1591">
        <f>IF(AND(S1591&gt;1,COUNTIF($A$2:A1591,A1591)=1),1,0)</f>
        <v>0</v>
      </c>
      <c r="U1591">
        <f>COUNTIF(Customers!$A$2:$A$301,C1591)</f>
        <v>1</v>
      </c>
      <c r="V1591">
        <f t="shared" si="74"/>
        <v>0</v>
      </c>
    </row>
    <row r="1592" spans="1:22" ht="14.25" customHeight="1" x14ac:dyDescent="0.35">
      <c r="A1592" s="10" t="s">
        <v>2051</v>
      </c>
      <c r="B1592" s="11">
        <v>45503</v>
      </c>
      <c r="C1592" s="10" t="s">
        <v>991</v>
      </c>
      <c r="D1592" s="10" t="s">
        <v>125</v>
      </c>
      <c r="E1592" s="10" t="s">
        <v>75</v>
      </c>
      <c r="F1592" s="12">
        <v>9</v>
      </c>
      <c r="G1592" s="12">
        <v>3450</v>
      </c>
      <c r="H1592" s="12">
        <v>22.2</v>
      </c>
      <c r="I1592" s="12">
        <v>24156.9</v>
      </c>
      <c r="J1592" s="10" t="s">
        <v>104</v>
      </c>
      <c r="K1592" s="10" t="s">
        <v>76</v>
      </c>
      <c r="L1592" t="str">
        <f>IFERROR(VLOOKUP(D1592,Products!A:F,3,0),"")</f>
        <v>Sports</v>
      </c>
      <c r="M1592" t="str">
        <f>IFERROR(VLOOKUP(E1592,Sales_Reps!A:E,3,0),"")</f>
        <v>West</v>
      </c>
      <c r="N1592" t="str">
        <f>IFERROR(VLOOKUP(C1592,Customers!A:F,5,0),"")</f>
        <v>SMB</v>
      </c>
      <c r="O1592">
        <f>IFERROR(VLOOKUP(C1592,Customers!A:F,3,0),"")</f>
        <v>47</v>
      </c>
      <c r="P1592">
        <f>IFERROR(VLOOKUP(D1592,Products!A:F,4,0),"")</f>
        <v>2467</v>
      </c>
      <c r="Q1592" t="b">
        <f>IFERROR(VLOOKUP(D1592,Products!A:F,6,0),"")</f>
        <v>1</v>
      </c>
      <c r="R1592">
        <f t="shared" si="72"/>
        <v>0.28492753623188405</v>
      </c>
      <c r="S1592">
        <f t="shared" si="73"/>
        <v>1</v>
      </c>
      <c r="T1592">
        <f>IF(AND(S1592&gt;1,COUNTIF($A$2:A1592,A1592)=1),1,0)</f>
        <v>0</v>
      </c>
      <c r="U1592">
        <f>COUNTIF(Customers!$A$2:$A$301,C1592)</f>
        <v>1</v>
      </c>
      <c r="V1592">
        <f t="shared" si="74"/>
        <v>0</v>
      </c>
    </row>
    <row r="1593" spans="1:22" ht="14.25" customHeight="1" x14ac:dyDescent="0.35">
      <c r="A1593" s="10" t="s">
        <v>2052</v>
      </c>
      <c r="B1593" s="11">
        <v>45336</v>
      </c>
      <c r="C1593" s="10" t="s">
        <v>468</v>
      </c>
      <c r="D1593" s="10" t="s">
        <v>372</v>
      </c>
      <c r="E1593" s="10" t="s">
        <v>261</v>
      </c>
      <c r="F1593" s="12">
        <v>3</v>
      </c>
      <c r="G1593" s="12">
        <v>3970</v>
      </c>
      <c r="H1593" s="12">
        <v>6.8</v>
      </c>
      <c r="I1593" s="12">
        <v>11100.12</v>
      </c>
      <c r="J1593" s="10" t="s">
        <v>51</v>
      </c>
      <c r="K1593" s="10" t="s">
        <v>81</v>
      </c>
      <c r="L1593" t="str">
        <f>IFERROR(VLOOKUP(D1593,Products!A:F,3,0),"")</f>
        <v>Electronics</v>
      </c>
      <c r="M1593" t="str">
        <f>IFERROR(VLOOKUP(E1593,Sales_Reps!A:E,3,0),"")</f>
        <v>North</v>
      </c>
      <c r="N1593" t="str">
        <f>IFERROR(VLOOKUP(C1593,Customers!A:F,5,0),"")</f>
        <v>Corporate</v>
      </c>
      <c r="O1593">
        <f>IFERROR(VLOOKUP(C1593,Customers!A:F,3,0),"")</f>
        <v>36</v>
      </c>
      <c r="P1593">
        <f>IFERROR(VLOOKUP(D1593,Products!A:F,4,0),"")</f>
        <v>2865</v>
      </c>
      <c r="Q1593" t="b">
        <f>IFERROR(VLOOKUP(D1593,Products!A:F,6,0),"")</f>
        <v>1</v>
      </c>
      <c r="R1593">
        <f t="shared" si="72"/>
        <v>0.27833753148614609</v>
      </c>
      <c r="S1593">
        <f t="shared" si="73"/>
        <v>1</v>
      </c>
      <c r="T1593">
        <f>IF(AND(S1593&gt;1,COUNTIF($A$2:A1593,A1593)=1),1,0)</f>
        <v>0</v>
      </c>
      <c r="U1593">
        <f>COUNTIF(Customers!$A$2:$A$301,C1593)</f>
        <v>1</v>
      </c>
      <c r="V1593">
        <f t="shared" si="74"/>
        <v>0</v>
      </c>
    </row>
    <row r="1594" spans="1:22" ht="14.25" customHeight="1" x14ac:dyDescent="0.35">
      <c r="A1594" s="10" t="s">
        <v>2053</v>
      </c>
      <c r="B1594" s="11">
        <v>45462</v>
      </c>
      <c r="C1594" s="10" t="s">
        <v>570</v>
      </c>
      <c r="D1594" s="10" t="s">
        <v>466</v>
      </c>
      <c r="E1594" s="10" t="s">
        <v>249</v>
      </c>
      <c r="F1594" s="12">
        <v>3</v>
      </c>
      <c r="G1594" s="12">
        <v>1090</v>
      </c>
      <c r="H1594" s="12">
        <v>23.7</v>
      </c>
      <c r="I1594" s="12">
        <v>2495.0100000000002</v>
      </c>
      <c r="J1594" s="10" t="s">
        <v>51</v>
      </c>
      <c r="K1594" s="10" t="s">
        <v>76</v>
      </c>
      <c r="L1594" t="str">
        <f>IFERROR(VLOOKUP(D1594,Products!A:F,3,0),"")</f>
        <v>Home</v>
      </c>
      <c r="M1594" t="str">
        <f>IFERROR(VLOOKUP(E1594,Sales_Reps!A:E,3,0),"")</f>
        <v>East</v>
      </c>
      <c r="N1594" t="str">
        <f>IFERROR(VLOOKUP(C1594,Customers!A:F,5,0),"")</f>
        <v>Retail</v>
      </c>
      <c r="O1594">
        <f>IFERROR(VLOOKUP(C1594,Customers!A:F,3,0),"")</f>
        <v>52</v>
      </c>
      <c r="P1594">
        <f>IFERROR(VLOOKUP(D1594,Products!A:F,4,0),"")</f>
        <v>464</v>
      </c>
      <c r="Q1594" t="b">
        <f>IFERROR(VLOOKUP(D1594,Products!A:F,6,0),"")</f>
        <v>1</v>
      </c>
      <c r="R1594">
        <f t="shared" si="72"/>
        <v>0.57431192660550456</v>
      </c>
      <c r="S1594">
        <f t="shared" si="73"/>
        <v>1</v>
      </c>
      <c r="T1594">
        <f>IF(AND(S1594&gt;1,COUNTIF($A$2:A1594,A1594)=1),1,0)</f>
        <v>0</v>
      </c>
      <c r="U1594">
        <f>COUNTIF(Customers!$A$2:$A$301,C1594)</f>
        <v>1</v>
      </c>
      <c r="V1594">
        <f t="shared" si="74"/>
        <v>0</v>
      </c>
    </row>
    <row r="1595" spans="1:22" ht="14.25" customHeight="1" x14ac:dyDescent="0.35">
      <c r="A1595" s="10" t="s">
        <v>2054</v>
      </c>
      <c r="B1595" s="11">
        <v>45300</v>
      </c>
      <c r="C1595" s="10" t="s">
        <v>443</v>
      </c>
      <c r="D1595" s="10" t="s">
        <v>259</v>
      </c>
      <c r="E1595" s="10" t="s">
        <v>118</v>
      </c>
      <c r="F1595" s="12">
        <v>3</v>
      </c>
      <c r="G1595" s="12">
        <v>2030</v>
      </c>
      <c r="H1595" s="12">
        <v>18.8</v>
      </c>
      <c r="I1595" s="12">
        <v>4945.08</v>
      </c>
      <c r="J1595" s="10" t="s">
        <v>51</v>
      </c>
      <c r="K1595" s="10" t="s">
        <v>52</v>
      </c>
      <c r="L1595" t="str">
        <f>IFERROR(VLOOKUP(D1595,Products!A:F,3,0),"")</f>
        <v>Home</v>
      </c>
      <c r="M1595" t="str">
        <f>IFERROR(VLOOKUP(E1595,Sales_Reps!A:E,3,0),"")</f>
        <v>East</v>
      </c>
      <c r="N1595" t="str">
        <f>IFERROR(VLOOKUP(C1595,Customers!A:F,5,0),"")</f>
        <v>SMB</v>
      </c>
      <c r="O1595">
        <f>IFERROR(VLOOKUP(C1595,Customers!A:F,3,0),"")</f>
        <v>49</v>
      </c>
      <c r="P1595">
        <f>IFERROR(VLOOKUP(D1595,Products!A:F,4,0),"")</f>
        <v>1143</v>
      </c>
      <c r="Q1595" t="b">
        <f>IFERROR(VLOOKUP(D1595,Products!A:F,6,0),"")</f>
        <v>1</v>
      </c>
      <c r="R1595">
        <f t="shared" si="72"/>
        <v>0.43694581280788175</v>
      </c>
      <c r="S1595">
        <f t="shared" si="73"/>
        <v>1</v>
      </c>
      <c r="T1595">
        <f>IF(AND(S1595&gt;1,COUNTIF($A$2:A1595,A1595)=1),1,0)</f>
        <v>0</v>
      </c>
      <c r="U1595">
        <f>COUNTIF(Customers!$A$2:$A$301,C1595)</f>
        <v>1</v>
      </c>
      <c r="V1595">
        <f t="shared" si="74"/>
        <v>0</v>
      </c>
    </row>
    <row r="1596" spans="1:22" ht="14.25" customHeight="1" x14ac:dyDescent="0.35">
      <c r="A1596" s="10" t="s">
        <v>2055</v>
      </c>
      <c r="B1596" s="11">
        <v>45367</v>
      </c>
      <c r="C1596" s="10" t="s">
        <v>585</v>
      </c>
      <c r="D1596" s="10" t="s">
        <v>228</v>
      </c>
      <c r="E1596" s="10" t="s">
        <v>71</v>
      </c>
      <c r="F1596" s="12">
        <v>2</v>
      </c>
      <c r="G1596" s="12">
        <v>4070</v>
      </c>
      <c r="H1596" s="12">
        <v>14.3</v>
      </c>
      <c r="I1596" s="12">
        <v>6975.98</v>
      </c>
      <c r="J1596" s="10" t="s">
        <v>51</v>
      </c>
      <c r="K1596" s="10" t="s">
        <v>2056</v>
      </c>
      <c r="L1596" t="str">
        <f>IFERROR(VLOOKUP(D1596,Products!A:F,3,0),"")</f>
        <v>Grocery</v>
      </c>
      <c r="M1596" t="str">
        <f>IFERROR(VLOOKUP(E1596,Sales_Reps!A:E,3,0),"")</f>
        <v>North</v>
      </c>
      <c r="N1596" t="str">
        <f>IFERROR(VLOOKUP(C1596,Customers!A:F,5,0),"")</f>
        <v>Corporate</v>
      </c>
      <c r="O1596">
        <f>IFERROR(VLOOKUP(C1596,Customers!A:F,3,0),"")</f>
        <v>22</v>
      </c>
      <c r="P1596">
        <f>IFERROR(VLOOKUP(D1596,Products!A:F,4,0),"")</f>
        <v>2027</v>
      </c>
      <c r="Q1596" t="b">
        <f>IFERROR(VLOOKUP(D1596,Products!A:F,6,0),"")</f>
        <v>1</v>
      </c>
      <c r="R1596">
        <f t="shared" si="72"/>
        <v>0.50196560196560192</v>
      </c>
      <c r="S1596">
        <f t="shared" si="73"/>
        <v>1</v>
      </c>
      <c r="T1596">
        <f>IF(AND(S1596&gt;1,COUNTIF($A$2:A1596,A1596)=1),1,0)</f>
        <v>0</v>
      </c>
      <c r="U1596">
        <f>COUNTIF(Customers!$A$2:$A$301,C1596)</f>
        <v>1</v>
      </c>
      <c r="V1596">
        <f t="shared" si="74"/>
        <v>0</v>
      </c>
    </row>
    <row r="1597" spans="1:22" ht="14.25" customHeight="1" x14ac:dyDescent="0.35">
      <c r="A1597" s="10" t="s">
        <v>2057</v>
      </c>
      <c r="B1597" s="11">
        <v>45410</v>
      </c>
      <c r="C1597" s="10" t="s">
        <v>1144</v>
      </c>
      <c r="D1597" s="10" t="s">
        <v>49</v>
      </c>
      <c r="E1597" s="10" t="s">
        <v>92</v>
      </c>
      <c r="F1597" s="12">
        <v>3</v>
      </c>
      <c r="G1597" s="12">
        <v>3620</v>
      </c>
      <c r="H1597" s="12">
        <v>13.5</v>
      </c>
      <c r="I1597" s="12">
        <v>9393.9</v>
      </c>
      <c r="J1597" s="10" t="s">
        <v>51</v>
      </c>
      <c r="K1597" s="10" t="s">
        <v>58</v>
      </c>
      <c r="L1597" t="str">
        <f>IFERROR(VLOOKUP(D1597,Products!A:F,3,0),"")</f>
        <v>Apparel</v>
      </c>
      <c r="M1597" t="str">
        <f>IFERROR(VLOOKUP(E1597,Sales_Reps!A:E,3,0),"")</f>
        <v>West</v>
      </c>
      <c r="N1597" t="str">
        <f>IFERROR(VLOOKUP(C1597,Customers!A:F,5,0),"")</f>
        <v>Corporate</v>
      </c>
      <c r="O1597">
        <f>IFERROR(VLOOKUP(C1597,Customers!A:F,3,0),"")</f>
        <v>49</v>
      </c>
      <c r="P1597">
        <f>IFERROR(VLOOKUP(D1597,Products!A:F,4,0),"")</f>
        <v>2509</v>
      </c>
      <c r="Q1597" t="b">
        <f>IFERROR(VLOOKUP(D1597,Products!A:F,6,0),"")</f>
        <v>1</v>
      </c>
      <c r="R1597">
        <f t="shared" si="72"/>
        <v>0.3069060773480663</v>
      </c>
      <c r="S1597">
        <f t="shared" si="73"/>
        <v>1</v>
      </c>
      <c r="T1597">
        <f>IF(AND(S1597&gt;1,COUNTIF($A$2:A1597,A1597)=1),1,0)</f>
        <v>0</v>
      </c>
      <c r="U1597">
        <f>COUNTIF(Customers!$A$2:$A$301,C1597)</f>
        <v>1</v>
      </c>
      <c r="V1597">
        <f t="shared" si="74"/>
        <v>0</v>
      </c>
    </row>
    <row r="1598" spans="1:22" ht="14.25" customHeight="1" x14ac:dyDescent="0.35">
      <c r="A1598" s="10" t="s">
        <v>2058</v>
      </c>
      <c r="B1598" s="11">
        <v>45623</v>
      </c>
      <c r="C1598" s="10" t="s">
        <v>749</v>
      </c>
      <c r="D1598" s="10" t="s">
        <v>146</v>
      </c>
      <c r="E1598" s="10" t="s">
        <v>179</v>
      </c>
      <c r="F1598" s="12">
        <v>4</v>
      </c>
      <c r="G1598" s="12">
        <v>1010</v>
      </c>
      <c r="H1598" s="12">
        <v>3.3</v>
      </c>
      <c r="I1598" s="12">
        <v>3906.68</v>
      </c>
      <c r="J1598" s="10" t="s">
        <v>51</v>
      </c>
      <c r="K1598" s="10" t="s">
        <v>52</v>
      </c>
      <c r="L1598" t="str">
        <f>IFERROR(VLOOKUP(D1598,Products!A:F,3,0),"")</f>
        <v>Sports</v>
      </c>
      <c r="M1598" t="str">
        <f>IFERROR(VLOOKUP(E1598,Sales_Reps!A:E,3,0),"")</f>
        <v>North</v>
      </c>
      <c r="N1598" t="str">
        <f>IFERROR(VLOOKUP(C1598,Customers!A:F,5,0),"")</f>
        <v>Retail</v>
      </c>
      <c r="O1598">
        <f>IFERROR(VLOOKUP(C1598,Customers!A:F,3,0),"")</f>
        <v>31</v>
      </c>
      <c r="P1598">
        <f>IFERROR(VLOOKUP(D1598,Products!A:F,4,0),"")</f>
        <v>516</v>
      </c>
      <c r="Q1598" t="b">
        <f>IFERROR(VLOOKUP(D1598,Products!A:F,6,0),"")</f>
        <v>1</v>
      </c>
      <c r="R1598">
        <f t="shared" si="72"/>
        <v>0.4891089108910891</v>
      </c>
      <c r="S1598">
        <f t="shared" si="73"/>
        <v>1</v>
      </c>
      <c r="T1598">
        <f>IF(AND(S1598&gt;1,COUNTIF($A$2:A1598,A1598)=1),1,0)</f>
        <v>0</v>
      </c>
      <c r="U1598">
        <f>COUNTIF(Customers!$A$2:$A$301,C1598)</f>
        <v>1</v>
      </c>
      <c r="V1598">
        <f t="shared" si="74"/>
        <v>0</v>
      </c>
    </row>
    <row r="1599" spans="1:22" ht="14.25" customHeight="1" x14ac:dyDescent="0.35">
      <c r="A1599" s="10" t="s">
        <v>2059</v>
      </c>
      <c r="B1599" s="11">
        <v>45491</v>
      </c>
      <c r="C1599" s="10" t="s">
        <v>321</v>
      </c>
      <c r="D1599" s="10" t="s">
        <v>91</v>
      </c>
      <c r="E1599" s="10" t="s">
        <v>56</v>
      </c>
      <c r="F1599" s="12">
        <v>7</v>
      </c>
      <c r="G1599" s="12">
        <v>970</v>
      </c>
      <c r="H1599" s="12">
        <v>0.1</v>
      </c>
      <c r="I1599" s="12">
        <v>6783.21</v>
      </c>
      <c r="J1599" s="10" t="s">
        <v>51</v>
      </c>
      <c r="K1599" s="10" t="s">
        <v>63</v>
      </c>
      <c r="L1599" t="str">
        <f>IFERROR(VLOOKUP(D1599,Products!A:F,3,0),"")</f>
        <v>Grocery</v>
      </c>
      <c r="M1599" t="str">
        <f>IFERROR(VLOOKUP(E1599,Sales_Reps!A:E,3,0),"")</f>
        <v>North</v>
      </c>
      <c r="N1599" t="str">
        <f>IFERROR(VLOOKUP(C1599,Customers!A:F,5,0),"")</f>
        <v>SMB</v>
      </c>
      <c r="O1599">
        <f>IFERROR(VLOOKUP(C1599,Customers!A:F,3,0),"")</f>
        <v>38</v>
      </c>
      <c r="P1599">
        <f>IFERROR(VLOOKUP(D1599,Products!A:F,4,0),"")</f>
        <v>434</v>
      </c>
      <c r="Q1599" t="b">
        <f>IFERROR(VLOOKUP(D1599,Products!A:F,6,0),"")</f>
        <v>1</v>
      </c>
      <c r="R1599">
        <f t="shared" si="72"/>
        <v>0.5525773195876289</v>
      </c>
      <c r="S1599">
        <f t="shared" si="73"/>
        <v>1</v>
      </c>
      <c r="T1599">
        <f>IF(AND(S1599&gt;1,COUNTIF($A$2:A1599,A1599)=1),1,0)</f>
        <v>0</v>
      </c>
      <c r="U1599">
        <f>COUNTIF(Customers!$A$2:$A$301,C1599)</f>
        <v>1</v>
      </c>
      <c r="V1599">
        <f t="shared" si="74"/>
        <v>0</v>
      </c>
    </row>
    <row r="1600" spans="1:22" ht="14.25" customHeight="1" x14ac:dyDescent="0.35">
      <c r="A1600" s="10" t="s">
        <v>2060</v>
      </c>
      <c r="B1600" s="11">
        <v>45571</v>
      </c>
      <c r="C1600" s="10" t="s">
        <v>834</v>
      </c>
      <c r="D1600" s="10" t="s">
        <v>61</v>
      </c>
      <c r="E1600" s="10" t="s">
        <v>307</v>
      </c>
      <c r="F1600" s="12">
        <v>5</v>
      </c>
      <c r="G1600" s="12">
        <v>470</v>
      </c>
      <c r="H1600" s="12">
        <v>18.3</v>
      </c>
      <c r="I1600" s="12">
        <v>1919.95</v>
      </c>
      <c r="J1600" s="10" t="s">
        <v>108</v>
      </c>
      <c r="K1600" s="10" t="s">
        <v>81</v>
      </c>
      <c r="L1600" t="str">
        <f>IFERROR(VLOOKUP(D1600,Products!A:F,3,0),"")</f>
        <v>Sports</v>
      </c>
      <c r="M1600" t="str">
        <f>IFERROR(VLOOKUP(E1600,Sales_Reps!A:E,3,0),"")</f>
        <v>West</v>
      </c>
      <c r="N1600" t="str">
        <f>IFERROR(VLOOKUP(C1600,Customers!A:F,5,0),"")</f>
        <v>Retail</v>
      </c>
      <c r="O1600">
        <f>IFERROR(VLOOKUP(C1600,Customers!A:F,3,0),"")</f>
        <v>47</v>
      </c>
      <c r="P1600">
        <f>IFERROR(VLOOKUP(D1600,Products!A:F,4,0),"")</f>
        <v>302</v>
      </c>
      <c r="Q1600" t="b">
        <f>IFERROR(VLOOKUP(D1600,Products!A:F,6,0),"")</f>
        <v>0</v>
      </c>
      <c r="R1600">
        <f t="shared" si="72"/>
        <v>0.35744680851063831</v>
      </c>
      <c r="S1600">
        <f t="shared" si="73"/>
        <v>1</v>
      </c>
      <c r="T1600">
        <f>IF(AND(S1600&gt;1,COUNTIF($A$2:A1600,A1600)=1),1,0)</f>
        <v>0</v>
      </c>
      <c r="U1600">
        <f>COUNTIF(Customers!$A$2:$A$301,C1600)</f>
        <v>1</v>
      </c>
      <c r="V1600">
        <f t="shared" si="74"/>
        <v>0</v>
      </c>
    </row>
    <row r="1601" spans="1:22" ht="14.25" customHeight="1" x14ac:dyDescent="0.35">
      <c r="A1601" s="10" t="s">
        <v>2061</v>
      </c>
      <c r="B1601" s="11">
        <v>45393</v>
      </c>
      <c r="C1601" s="10" t="s">
        <v>519</v>
      </c>
      <c r="D1601" s="10" t="s">
        <v>416</v>
      </c>
      <c r="E1601" s="10" t="s">
        <v>96</v>
      </c>
      <c r="F1601" s="12">
        <v>8</v>
      </c>
      <c r="G1601" s="12">
        <v>3450</v>
      </c>
      <c r="H1601" s="12">
        <v>5.0999999999999996</v>
      </c>
      <c r="I1601" s="12">
        <v>26192.400000000001</v>
      </c>
      <c r="J1601" s="10" t="s">
        <v>108</v>
      </c>
      <c r="K1601" s="10" t="s">
        <v>76</v>
      </c>
      <c r="L1601" t="str">
        <f>IFERROR(VLOOKUP(D1601,Products!A:F,3,0),"")</f>
        <v>Apparel</v>
      </c>
      <c r="M1601" t="str">
        <f>IFERROR(VLOOKUP(E1601,Sales_Reps!A:E,3,0),"")</f>
        <v>South</v>
      </c>
      <c r="N1601" t="str">
        <f>IFERROR(VLOOKUP(C1601,Customers!A:F,5,0),"")</f>
        <v>Retail</v>
      </c>
      <c r="O1601">
        <f>IFERROR(VLOOKUP(C1601,Customers!A:F,3,0),"")</f>
        <v>37</v>
      </c>
      <c r="P1601">
        <f>IFERROR(VLOOKUP(D1601,Products!A:F,4,0),"")</f>
        <v>1748</v>
      </c>
      <c r="Q1601" t="b">
        <f>IFERROR(VLOOKUP(D1601,Products!A:F,6,0),"")</f>
        <v>1</v>
      </c>
      <c r="R1601">
        <f t="shared" si="72"/>
        <v>0.49333333333333335</v>
      </c>
      <c r="S1601">
        <f t="shared" si="73"/>
        <v>1</v>
      </c>
      <c r="T1601">
        <f>IF(AND(S1601&gt;1,COUNTIF($A$2:A1601,A1601)=1),1,0)</f>
        <v>0</v>
      </c>
      <c r="U1601">
        <f>COUNTIF(Customers!$A$2:$A$301,C1601)</f>
        <v>1</v>
      </c>
      <c r="V1601">
        <f t="shared" si="74"/>
        <v>0</v>
      </c>
    </row>
    <row r="1602" spans="1:22" ht="14.25" customHeight="1" x14ac:dyDescent="0.35">
      <c r="A1602" s="10" t="s">
        <v>2062</v>
      </c>
      <c r="B1602" s="11">
        <v>45465</v>
      </c>
      <c r="C1602" s="10" t="s">
        <v>572</v>
      </c>
      <c r="D1602" s="10" t="s">
        <v>99</v>
      </c>
      <c r="E1602" s="10" t="s">
        <v>249</v>
      </c>
      <c r="F1602" s="12">
        <v>1</v>
      </c>
      <c r="G1602" s="12">
        <v>2640</v>
      </c>
      <c r="H1602" s="12">
        <v>5.9</v>
      </c>
      <c r="I1602" s="12">
        <v>2484.2399999999998</v>
      </c>
      <c r="J1602" s="10" t="s">
        <v>51</v>
      </c>
      <c r="K1602" s="10" t="s">
        <v>52</v>
      </c>
      <c r="L1602" t="str">
        <f>IFERROR(VLOOKUP(D1602,Products!A:F,3,0),"")</f>
        <v>Electronics</v>
      </c>
      <c r="M1602" t="str">
        <f>IFERROR(VLOOKUP(E1602,Sales_Reps!A:E,3,0),"")</f>
        <v>East</v>
      </c>
      <c r="N1602" t="str">
        <f>IFERROR(VLOOKUP(C1602,Customers!A:F,5,0),"")</f>
        <v>Corporate</v>
      </c>
      <c r="O1602">
        <f>IFERROR(VLOOKUP(C1602,Customers!A:F,3,0),"")</f>
        <v>40</v>
      </c>
      <c r="P1602">
        <f>IFERROR(VLOOKUP(D1602,Products!A:F,4,0),"")</f>
        <v>1149</v>
      </c>
      <c r="Q1602" t="b">
        <f>IFERROR(VLOOKUP(D1602,Products!A:F,6,0),"")</f>
        <v>1</v>
      </c>
      <c r="R1602">
        <f t="shared" ref="R1602:R1665" si="75">IFERROR((G1602-P1602)/G1602,"")</f>
        <v>0.56477272727272732</v>
      </c>
      <c r="S1602">
        <f t="shared" ref="S1602:S1665" si="76">COUNTIF($A$2:$A$2001,A1602)</f>
        <v>1</v>
      </c>
      <c r="T1602">
        <f>IF(AND(S1602&gt;1,COUNTIF($A$2:A1602,A1602)=1),1,0)</f>
        <v>0</v>
      </c>
      <c r="U1602">
        <f>COUNTIF(Customers!$A$2:$A$301,C1602)</f>
        <v>1</v>
      </c>
      <c r="V1602">
        <f t="shared" ref="V1602:V1665" si="77">IF(AND(K1602="Bengaluru",L1602="Grocery"),I1602,0)</f>
        <v>0</v>
      </c>
    </row>
    <row r="1603" spans="1:22" ht="14.25" customHeight="1" x14ac:dyDescent="0.35">
      <c r="A1603" s="10" t="s">
        <v>2063</v>
      </c>
      <c r="B1603" s="11">
        <v>45354</v>
      </c>
      <c r="C1603" s="10" t="s">
        <v>549</v>
      </c>
      <c r="D1603" s="10" t="s">
        <v>151</v>
      </c>
      <c r="E1603" s="10" t="s">
        <v>156</v>
      </c>
      <c r="F1603" s="12">
        <v>10</v>
      </c>
      <c r="G1603" s="12">
        <v>3570</v>
      </c>
      <c r="H1603" s="12">
        <v>21.5</v>
      </c>
      <c r="I1603" s="12">
        <v>28024.5</v>
      </c>
      <c r="J1603" s="10" t="s">
        <v>51</v>
      </c>
      <c r="K1603" s="10" t="s">
        <v>58</v>
      </c>
      <c r="L1603" t="str">
        <f>IFERROR(VLOOKUP(D1603,Products!A:F,3,0),"")</f>
        <v>Electronics</v>
      </c>
      <c r="M1603" t="str">
        <f>IFERROR(VLOOKUP(E1603,Sales_Reps!A:E,3,0),"")</f>
        <v>East</v>
      </c>
      <c r="N1603" t="str">
        <f>IFERROR(VLOOKUP(C1603,Customers!A:F,5,0),"")</f>
        <v>Retail</v>
      </c>
      <c r="O1603">
        <f>IFERROR(VLOOKUP(C1603,Customers!A:F,3,0),"")</f>
        <v>26</v>
      </c>
      <c r="P1603">
        <f>IFERROR(VLOOKUP(D1603,Products!A:F,4,0),"")</f>
        <v>1665</v>
      </c>
      <c r="Q1603" t="b">
        <f>IFERROR(VLOOKUP(D1603,Products!A:F,6,0),"")</f>
        <v>1</v>
      </c>
      <c r="R1603">
        <f t="shared" si="75"/>
        <v>0.53361344537815125</v>
      </c>
      <c r="S1603">
        <f t="shared" si="76"/>
        <v>1</v>
      </c>
      <c r="T1603">
        <f>IF(AND(S1603&gt;1,COUNTIF($A$2:A1603,A1603)=1),1,0)</f>
        <v>0</v>
      </c>
      <c r="U1603">
        <f>COUNTIF(Customers!$A$2:$A$301,C1603)</f>
        <v>1</v>
      </c>
      <c r="V1603">
        <f t="shared" si="77"/>
        <v>0</v>
      </c>
    </row>
    <row r="1604" spans="1:22" ht="14.25" customHeight="1" x14ac:dyDescent="0.35">
      <c r="A1604" s="10" t="s">
        <v>2064</v>
      </c>
      <c r="B1604" s="11">
        <v>45581</v>
      </c>
      <c r="C1604" s="10" t="s">
        <v>556</v>
      </c>
      <c r="D1604" s="10" t="s">
        <v>84</v>
      </c>
      <c r="E1604" s="10" t="s">
        <v>310</v>
      </c>
      <c r="F1604" s="12">
        <v>10</v>
      </c>
      <c r="G1604" s="12">
        <v>1430</v>
      </c>
      <c r="H1604" s="12">
        <v>11.4</v>
      </c>
      <c r="I1604" s="12">
        <v>12669.8</v>
      </c>
      <c r="J1604" s="10" t="s">
        <v>104</v>
      </c>
      <c r="K1604" s="10" t="s">
        <v>97</v>
      </c>
      <c r="L1604" t="str">
        <f>IFERROR(VLOOKUP(D1604,Products!A:F,3,0),"")</f>
        <v>Electronics</v>
      </c>
      <c r="M1604" t="str">
        <f>IFERROR(VLOOKUP(E1604,Sales_Reps!A:E,3,0),"")</f>
        <v>South</v>
      </c>
      <c r="N1604" t="str">
        <f>IFERROR(VLOOKUP(C1604,Customers!A:F,5,0),"")</f>
        <v>Retail</v>
      </c>
      <c r="O1604">
        <f>IFERROR(VLOOKUP(C1604,Customers!A:F,3,0),"")</f>
        <v>22</v>
      </c>
      <c r="P1604">
        <f>IFERROR(VLOOKUP(D1604,Products!A:F,4,0),"")</f>
        <v>861</v>
      </c>
      <c r="Q1604" t="b">
        <f>IFERROR(VLOOKUP(D1604,Products!A:F,6,0),"")</f>
        <v>1</v>
      </c>
      <c r="R1604">
        <f t="shared" si="75"/>
        <v>0.39790209790209791</v>
      </c>
      <c r="S1604">
        <f t="shared" si="76"/>
        <v>1</v>
      </c>
      <c r="T1604">
        <f>IF(AND(S1604&gt;1,COUNTIF($A$2:A1604,A1604)=1),1,0)</f>
        <v>0</v>
      </c>
      <c r="U1604">
        <f>COUNTIF(Customers!$A$2:$A$301,C1604)</f>
        <v>1</v>
      </c>
      <c r="V1604">
        <f t="shared" si="77"/>
        <v>0</v>
      </c>
    </row>
    <row r="1605" spans="1:22" ht="14.25" customHeight="1" x14ac:dyDescent="0.35">
      <c r="A1605" s="10" t="s">
        <v>2065</v>
      </c>
      <c r="B1605" s="11">
        <v>45643</v>
      </c>
      <c r="C1605" s="10" t="s">
        <v>787</v>
      </c>
      <c r="D1605" s="10" t="s">
        <v>79</v>
      </c>
      <c r="E1605" s="10" t="s">
        <v>216</v>
      </c>
      <c r="F1605" s="12">
        <v>7</v>
      </c>
      <c r="G1605" s="12">
        <v>960</v>
      </c>
      <c r="H1605" s="12">
        <v>22.9</v>
      </c>
      <c r="I1605" s="12">
        <v>5181.12</v>
      </c>
      <c r="J1605" s="10" t="s">
        <v>51</v>
      </c>
      <c r="K1605" s="10" t="s">
        <v>58</v>
      </c>
      <c r="L1605" t="str">
        <f>IFERROR(VLOOKUP(D1605,Products!A:F,3,0),"")</f>
        <v>Sports</v>
      </c>
      <c r="M1605" t="str">
        <f>IFERROR(VLOOKUP(E1605,Sales_Reps!A:E,3,0),"")</f>
        <v>South</v>
      </c>
      <c r="N1605" t="str">
        <f>IFERROR(VLOOKUP(C1605,Customers!A:F,5,0),"")</f>
        <v>Retail</v>
      </c>
      <c r="O1605">
        <f>IFERROR(VLOOKUP(C1605,Customers!A:F,3,0),"")</f>
        <v>32</v>
      </c>
      <c r="P1605">
        <f>IFERROR(VLOOKUP(D1605,Products!A:F,4,0),"")</f>
        <v>705</v>
      </c>
      <c r="Q1605" t="b">
        <f>IFERROR(VLOOKUP(D1605,Products!A:F,6,0),"")</f>
        <v>1</v>
      </c>
      <c r="R1605">
        <f t="shared" si="75"/>
        <v>0.265625</v>
      </c>
      <c r="S1605">
        <f t="shared" si="76"/>
        <v>1</v>
      </c>
      <c r="T1605">
        <f>IF(AND(S1605&gt;1,COUNTIF($A$2:A1605,A1605)=1),1,0)</f>
        <v>0</v>
      </c>
      <c r="U1605">
        <f>COUNTIF(Customers!$A$2:$A$301,C1605)</f>
        <v>1</v>
      </c>
      <c r="V1605">
        <f t="shared" si="77"/>
        <v>0</v>
      </c>
    </row>
    <row r="1606" spans="1:22" ht="14.25" customHeight="1" x14ac:dyDescent="0.35">
      <c r="A1606" s="10" t="s">
        <v>2066</v>
      </c>
      <c r="B1606" s="11">
        <v>45606</v>
      </c>
      <c r="C1606" s="10" t="s">
        <v>964</v>
      </c>
      <c r="D1606" s="10" t="s">
        <v>107</v>
      </c>
      <c r="E1606" s="10" t="s">
        <v>96</v>
      </c>
      <c r="F1606" s="12">
        <v>8</v>
      </c>
      <c r="G1606" s="12">
        <v>3250</v>
      </c>
      <c r="H1606" s="12">
        <v>1.9</v>
      </c>
      <c r="I1606" s="12">
        <v>25506</v>
      </c>
      <c r="J1606" s="10" t="s">
        <v>51</v>
      </c>
      <c r="K1606" s="10" t="s">
        <v>81</v>
      </c>
      <c r="L1606" t="str">
        <f>IFERROR(VLOOKUP(D1606,Products!A:F,3,0),"")</f>
        <v>Home</v>
      </c>
      <c r="M1606" t="str">
        <f>IFERROR(VLOOKUP(E1606,Sales_Reps!A:E,3,0),"")</f>
        <v>South</v>
      </c>
      <c r="N1606" t="str">
        <f>IFERROR(VLOOKUP(C1606,Customers!A:F,5,0),"")</f>
        <v>Retail</v>
      </c>
      <c r="O1606">
        <f>IFERROR(VLOOKUP(C1606,Customers!A:F,3,0),"")</f>
        <v>27</v>
      </c>
      <c r="P1606">
        <f>IFERROR(VLOOKUP(D1606,Products!A:F,4,0),"")</f>
        <v>1556</v>
      </c>
      <c r="Q1606" t="b">
        <f>IFERROR(VLOOKUP(D1606,Products!A:F,6,0),"")</f>
        <v>1</v>
      </c>
      <c r="R1606">
        <f t="shared" si="75"/>
        <v>0.52123076923076928</v>
      </c>
      <c r="S1606">
        <f t="shared" si="76"/>
        <v>1</v>
      </c>
      <c r="T1606">
        <f>IF(AND(S1606&gt;1,COUNTIF($A$2:A1606,A1606)=1),1,0)</f>
        <v>0</v>
      </c>
      <c r="U1606">
        <f>COUNTIF(Customers!$A$2:$A$301,C1606)</f>
        <v>1</v>
      </c>
      <c r="V1606">
        <f t="shared" si="77"/>
        <v>0</v>
      </c>
    </row>
    <row r="1607" spans="1:22" ht="14.25" customHeight="1" x14ac:dyDescent="0.35">
      <c r="A1607" s="10" t="s">
        <v>2067</v>
      </c>
      <c r="B1607" s="11">
        <v>45356</v>
      </c>
      <c r="C1607" s="10" t="s">
        <v>592</v>
      </c>
      <c r="D1607" s="10" t="s">
        <v>125</v>
      </c>
      <c r="E1607" s="10" t="s">
        <v>267</v>
      </c>
      <c r="F1607" s="12">
        <v>9</v>
      </c>
      <c r="G1607" s="12">
        <v>3450</v>
      </c>
      <c r="H1607" s="12">
        <v>18</v>
      </c>
      <c r="I1607" s="12">
        <v>25461</v>
      </c>
      <c r="J1607" s="10" t="s">
        <v>51</v>
      </c>
      <c r="K1607" s="10" t="s">
        <v>97</v>
      </c>
      <c r="L1607" t="str">
        <f>IFERROR(VLOOKUP(D1607,Products!A:F,3,0),"")</f>
        <v>Sports</v>
      </c>
      <c r="M1607" t="str">
        <f>IFERROR(VLOOKUP(E1607,Sales_Reps!A:E,3,0),"")</f>
        <v>East</v>
      </c>
      <c r="N1607" t="str">
        <f>IFERROR(VLOOKUP(C1607,Customers!A:F,5,0),"")</f>
        <v>Corporate</v>
      </c>
      <c r="O1607">
        <f>IFERROR(VLOOKUP(C1607,Customers!A:F,3,0),"")</f>
        <v>22</v>
      </c>
      <c r="P1607">
        <f>IFERROR(VLOOKUP(D1607,Products!A:F,4,0),"")</f>
        <v>2467</v>
      </c>
      <c r="Q1607" t="b">
        <f>IFERROR(VLOOKUP(D1607,Products!A:F,6,0),"")</f>
        <v>1</v>
      </c>
      <c r="R1607">
        <f t="shared" si="75"/>
        <v>0.28492753623188405</v>
      </c>
      <c r="S1607">
        <f t="shared" si="76"/>
        <v>1</v>
      </c>
      <c r="T1607">
        <f>IF(AND(S1607&gt;1,COUNTIF($A$2:A1607,A1607)=1),1,0)</f>
        <v>0</v>
      </c>
      <c r="U1607">
        <f>COUNTIF(Customers!$A$2:$A$301,C1607)</f>
        <v>1</v>
      </c>
      <c r="V1607">
        <f t="shared" si="77"/>
        <v>0</v>
      </c>
    </row>
    <row r="1608" spans="1:22" ht="14.25" customHeight="1" x14ac:dyDescent="0.35">
      <c r="A1608" s="10" t="s">
        <v>2068</v>
      </c>
      <c r="B1608" s="11">
        <v>45343</v>
      </c>
      <c r="C1608" s="10" t="s">
        <v>139</v>
      </c>
      <c r="D1608" s="10" t="s">
        <v>95</v>
      </c>
      <c r="E1608" s="10" t="s">
        <v>310</v>
      </c>
      <c r="F1608" s="12">
        <v>5</v>
      </c>
      <c r="G1608" s="12">
        <v>2270</v>
      </c>
      <c r="H1608" s="12">
        <v>11.5</v>
      </c>
      <c r="I1608" s="12">
        <v>10044.75</v>
      </c>
      <c r="J1608" s="10" t="s">
        <v>51</v>
      </c>
      <c r="K1608" s="10" t="s">
        <v>97</v>
      </c>
      <c r="L1608" t="str">
        <f>IFERROR(VLOOKUP(D1608,Products!A:F,3,0),"")</f>
        <v>Grocery</v>
      </c>
      <c r="M1608" t="str">
        <f>IFERROR(VLOOKUP(E1608,Sales_Reps!A:E,3,0),"")</f>
        <v>South</v>
      </c>
      <c r="N1608" t="str">
        <f>IFERROR(VLOOKUP(C1608,Customers!A:F,5,0),"")</f>
        <v>SMB</v>
      </c>
      <c r="O1608">
        <f>IFERROR(VLOOKUP(C1608,Customers!A:F,3,0),"")</f>
        <v>40</v>
      </c>
      <c r="P1608">
        <f>IFERROR(VLOOKUP(D1608,Products!A:F,4,0),"")</f>
        <v>1203</v>
      </c>
      <c r="Q1608" t="b">
        <f>IFERROR(VLOOKUP(D1608,Products!A:F,6,0),"")</f>
        <v>1</v>
      </c>
      <c r="R1608">
        <f t="shared" si="75"/>
        <v>0.47004405286343615</v>
      </c>
      <c r="S1608">
        <f t="shared" si="76"/>
        <v>1</v>
      </c>
      <c r="T1608">
        <f>IF(AND(S1608&gt;1,COUNTIF($A$2:A1608,A1608)=1),1,0)</f>
        <v>0</v>
      </c>
      <c r="U1608">
        <f>COUNTIF(Customers!$A$2:$A$301,C1608)</f>
        <v>1</v>
      </c>
      <c r="V1608">
        <f t="shared" si="77"/>
        <v>0</v>
      </c>
    </row>
    <row r="1609" spans="1:22" ht="14.25" customHeight="1" x14ac:dyDescent="0.35">
      <c r="A1609" s="10" t="s">
        <v>2069</v>
      </c>
      <c r="B1609" s="11">
        <v>45449</v>
      </c>
      <c r="C1609" s="10" t="s">
        <v>859</v>
      </c>
      <c r="D1609" s="10" t="s">
        <v>240</v>
      </c>
      <c r="E1609" s="10" t="s">
        <v>85</v>
      </c>
      <c r="F1609" s="12">
        <v>6</v>
      </c>
      <c r="G1609" s="12">
        <v>3020</v>
      </c>
      <c r="H1609" s="12">
        <v>12.6</v>
      </c>
      <c r="I1609" s="12">
        <v>15836.88</v>
      </c>
      <c r="J1609" s="10" t="s">
        <v>51</v>
      </c>
      <c r="K1609" s="10" t="s">
        <v>81</v>
      </c>
      <c r="L1609" t="str">
        <f>IFERROR(VLOOKUP(D1609,Products!A:F,3,0),"")</f>
        <v>Beauty</v>
      </c>
      <c r="M1609" t="str">
        <f>IFERROR(VLOOKUP(E1609,Sales_Reps!A:E,3,0),"")</f>
        <v>East</v>
      </c>
      <c r="N1609" t="str">
        <f>IFERROR(VLOOKUP(C1609,Customers!A:F,5,0),"")</f>
        <v>Retail</v>
      </c>
      <c r="O1609">
        <f>IFERROR(VLOOKUP(C1609,Customers!A:F,3,0),"")</f>
        <v>46</v>
      </c>
      <c r="P1609">
        <f>IFERROR(VLOOKUP(D1609,Products!A:F,4,0),"")</f>
        <v>1626</v>
      </c>
      <c r="Q1609" t="b">
        <f>IFERROR(VLOOKUP(D1609,Products!A:F,6,0),"")</f>
        <v>1</v>
      </c>
      <c r="R1609">
        <f t="shared" si="75"/>
        <v>0.46158940397350995</v>
      </c>
      <c r="S1609">
        <f t="shared" si="76"/>
        <v>1</v>
      </c>
      <c r="T1609">
        <f>IF(AND(S1609&gt;1,COUNTIF($A$2:A1609,A1609)=1),1,0)</f>
        <v>0</v>
      </c>
      <c r="U1609">
        <f>COUNTIF(Customers!$A$2:$A$301,C1609)</f>
        <v>1</v>
      </c>
      <c r="V1609">
        <f t="shared" si="77"/>
        <v>0</v>
      </c>
    </row>
    <row r="1610" spans="1:22" ht="14.25" customHeight="1" x14ac:dyDescent="0.35">
      <c r="A1610" s="10" t="s">
        <v>2070</v>
      </c>
      <c r="B1610" s="11">
        <v>45317</v>
      </c>
      <c r="C1610" s="10" t="s">
        <v>427</v>
      </c>
      <c r="D1610" s="10" t="s">
        <v>99</v>
      </c>
      <c r="E1610" s="10" t="s">
        <v>71</v>
      </c>
      <c r="F1610" s="12">
        <v>8</v>
      </c>
      <c r="G1610" s="12">
        <v>2640</v>
      </c>
      <c r="H1610" s="12">
        <v>14.5</v>
      </c>
      <c r="I1610" s="12">
        <v>18057.599999999999</v>
      </c>
      <c r="J1610" s="10" t="s">
        <v>108</v>
      </c>
      <c r="K1610" s="10" t="s">
        <v>81</v>
      </c>
      <c r="L1610" t="str">
        <f>IFERROR(VLOOKUP(D1610,Products!A:F,3,0),"")</f>
        <v>Electronics</v>
      </c>
      <c r="M1610" t="str">
        <f>IFERROR(VLOOKUP(E1610,Sales_Reps!A:E,3,0),"")</f>
        <v>North</v>
      </c>
      <c r="N1610" t="str">
        <f>IFERROR(VLOOKUP(C1610,Customers!A:F,5,0),"")</f>
        <v>Retail</v>
      </c>
      <c r="O1610">
        <f>IFERROR(VLOOKUP(C1610,Customers!A:F,3,0),"")</f>
        <v>55</v>
      </c>
      <c r="P1610">
        <f>IFERROR(VLOOKUP(D1610,Products!A:F,4,0),"")</f>
        <v>1149</v>
      </c>
      <c r="Q1610" t="b">
        <f>IFERROR(VLOOKUP(D1610,Products!A:F,6,0),"")</f>
        <v>1</v>
      </c>
      <c r="R1610">
        <f t="shared" si="75"/>
        <v>0.56477272727272732</v>
      </c>
      <c r="S1610">
        <f t="shared" si="76"/>
        <v>1</v>
      </c>
      <c r="T1610">
        <f>IF(AND(S1610&gt;1,COUNTIF($A$2:A1610,A1610)=1),1,0)</f>
        <v>0</v>
      </c>
      <c r="U1610">
        <f>COUNTIF(Customers!$A$2:$A$301,C1610)</f>
        <v>1</v>
      </c>
      <c r="V1610">
        <f t="shared" si="77"/>
        <v>0</v>
      </c>
    </row>
    <row r="1611" spans="1:22" ht="14.25" customHeight="1" x14ac:dyDescent="0.35">
      <c r="A1611" s="10" t="s">
        <v>2071</v>
      </c>
      <c r="B1611" s="11">
        <v>45561</v>
      </c>
      <c r="C1611" s="10" t="s">
        <v>87</v>
      </c>
      <c r="D1611" s="10" t="s">
        <v>95</v>
      </c>
      <c r="E1611" s="10" t="s">
        <v>307</v>
      </c>
      <c r="F1611" s="12">
        <v>2</v>
      </c>
      <c r="G1611" s="12">
        <v>2270</v>
      </c>
      <c r="H1611" s="12">
        <v>27</v>
      </c>
      <c r="I1611" s="12">
        <v>3314.2</v>
      </c>
      <c r="J1611" s="10" t="s">
        <v>51</v>
      </c>
      <c r="K1611" s="10" t="s">
        <v>81</v>
      </c>
      <c r="L1611" t="str">
        <f>IFERROR(VLOOKUP(D1611,Products!A:F,3,0),"")</f>
        <v>Grocery</v>
      </c>
      <c r="M1611" t="str">
        <f>IFERROR(VLOOKUP(E1611,Sales_Reps!A:E,3,0),"")</f>
        <v>West</v>
      </c>
      <c r="N1611" t="str">
        <f>IFERROR(VLOOKUP(C1611,Customers!A:F,5,0),"")</f>
        <v>Retail</v>
      </c>
      <c r="O1611">
        <f>IFERROR(VLOOKUP(C1611,Customers!A:F,3,0),"")</f>
        <v>42</v>
      </c>
      <c r="P1611">
        <f>IFERROR(VLOOKUP(D1611,Products!A:F,4,0),"")</f>
        <v>1203</v>
      </c>
      <c r="Q1611" t="b">
        <f>IFERROR(VLOOKUP(D1611,Products!A:F,6,0),"")</f>
        <v>1</v>
      </c>
      <c r="R1611">
        <f t="shared" si="75"/>
        <v>0.47004405286343615</v>
      </c>
      <c r="S1611">
        <f t="shared" si="76"/>
        <v>1</v>
      </c>
      <c r="T1611">
        <f>IF(AND(S1611&gt;1,COUNTIF($A$2:A1611,A1611)=1),1,0)</f>
        <v>0</v>
      </c>
      <c r="U1611">
        <f>COUNTIF(Customers!$A$2:$A$301,C1611)</f>
        <v>1</v>
      </c>
      <c r="V1611">
        <f t="shared" si="77"/>
        <v>3314.2</v>
      </c>
    </row>
    <row r="1612" spans="1:22" ht="14.25" customHeight="1" x14ac:dyDescent="0.35">
      <c r="A1612" s="10" t="s">
        <v>2072</v>
      </c>
      <c r="B1612" s="11">
        <v>45636</v>
      </c>
      <c r="C1612" s="10" t="s">
        <v>69</v>
      </c>
      <c r="D1612" s="10" t="s">
        <v>164</v>
      </c>
      <c r="E1612" s="10" t="s">
        <v>307</v>
      </c>
      <c r="F1612" s="12">
        <v>8</v>
      </c>
      <c r="G1612" s="12">
        <v>2760</v>
      </c>
      <c r="H1612" s="12">
        <v>18</v>
      </c>
      <c r="I1612" s="12">
        <v>18105.599999999999</v>
      </c>
      <c r="J1612" s="10" t="s">
        <v>104</v>
      </c>
      <c r="K1612" s="10" t="s">
        <v>58</v>
      </c>
      <c r="L1612" t="str">
        <f>IFERROR(VLOOKUP(D1612,Products!A:F,3,0),"")</f>
        <v>Grocery</v>
      </c>
      <c r="M1612" t="str">
        <f>IFERROR(VLOOKUP(E1612,Sales_Reps!A:E,3,0),"")</f>
        <v>West</v>
      </c>
      <c r="N1612" t="str">
        <f>IFERROR(VLOOKUP(C1612,Customers!A:F,5,0),"")</f>
        <v>Retail</v>
      </c>
      <c r="O1612">
        <f>IFERROR(VLOOKUP(C1612,Customers!A:F,3,0),"")</f>
        <v>36</v>
      </c>
      <c r="P1612">
        <f>IFERROR(VLOOKUP(D1612,Products!A:F,4,0),"")</f>
        <v>1435</v>
      </c>
      <c r="Q1612" t="b">
        <f>IFERROR(VLOOKUP(D1612,Products!A:F,6,0),"")</f>
        <v>1</v>
      </c>
      <c r="R1612">
        <f t="shared" si="75"/>
        <v>0.48007246376811596</v>
      </c>
      <c r="S1612">
        <f t="shared" si="76"/>
        <v>1</v>
      </c>
      <c r="T1612">
        <f>IF(AND(S1612&gt;1,COUNTIF($A$2:A1612,A1612)=1),1,0)</f>
        <v>0</v>
      </c>
      <c r="U1612">
        <f>COUNTIF(Customers!$A$2:$A$301,C1612)</f>
        <v>1</v>
      </c>
      <c r="V1612">
        <f t="shared" si="77"/>
        <v>0</v>
      </c>
    </row>
    <row r="1613" spans="1:22" ht="14.25" customHeight="1" x14ac:dyDescent="0.35">
      <c r="A1613" s="10" t="s">
        <v>2073</v>
      </c>
      <c r="B1613" s="11">
        <v>45398</v>
      </c>
      <c r="C1613" s="10" t="s">
        <v>633</v>
      </c>
      <c r="D1613" s="10" t="s">
        <v>49</v>
      </c>
      <c r="E1613" s="10" t="s">
        <v>118</v>
      </c>
      <c r="F1613" s="12">
        <v>8</v>
      </c>
      <c r="G1613" s="12">
        <v>3620</v>
      </c>
      <c r="H1613" s="12">
        <v>7.1</v>
      </c>
      <c r="I1613" s="12">
        <v>26903.84</v>
      </c>
      <c r="J1613" s="10" t="s">
        <v>51</v>
      </c>
      <c r="K1613" s="10" t="s">
        <v>97</v>
      </c>
      <c r="L1613" t="str">
        <f>IFERROR(VLOOKUP(D1613,Products!A:F,3,0),"")</f>
        <v>Apparel</v>
      </c>
      <c r="M1613" t="str">
        <f>IFERROR(VLOOKUP(E1613,Sales_Reps!A:E,3,0),"")</f>
        <v>East</v>
      </c>
      <c r="N1613" t="str">
        <f>IFERROR(VLOOKUP(C1613,Customers!A:F,5,0),"")</f>
        <v>Retail</v>
      </c>
      <c r="O1613">
        <f>IFERROR(VLOOKUP(C1613,Customers!A:F,3,0),"")</f>
        <v>31</v>
      </c>
      <c r="P1613">
        <f>IFERROR(VLOOKUP(D1613,Products!A:F,4,0),"")</f>
        <v>2509</v>
      </c>
      <c r="Q1613" t="b">
        <f>IFERROR(VLOOKUP(D1613,Products!A:F,6,0),"")</f>
        <v>1</v>
      </c>
      <c r="R1613">
        <f t="shared" si="75"/>
        <v>0.3069060773480663</v>
      </c>
      <c r="S1613">
        <f t="shared" si="76"/>
        <v>1</v>
      </c>
      <c r="T1613">
        <f>IF(AND(S1613&gt;1,COUNTIF($A$2:A1613,A1613)=1),1,0)</f>
        <v>0</v>
      </c>
      <c r="U1613">
        <f>COUNTIF(Customers!$A$2:$A$301,C1613)</f>
        <v>1</v>
      </c>
      <c r="V1613">
        <f t="shared" si="77"/>
        <v>0</v>
      </c>
    </row>
    <row r="1614" spans="1:22" ht="14.25" customHeight="1" x14ac:dyDescent="0.35">
      <c r="A1614" s="10" t="s">
        <v>2074</v>
      </c>
      <c r="B1614" s="11">
        <v>45477</v>
      </c>
      <c r="C1614" s="10" t="s">
        <v>699</v>
      </c>
      <c r="D1614" s="10" t="s">
        <v>350</v>
      </c>
      <c r="E1614" s="10" t="s">
        <v>122</v>
      </c>
      <c r="F1614" s="12">
        <v>8</v>
      </c>
      <c r="G1614" s="12">
        <v>2290</v>
      </c>
      <c r="H1614" s="12">
        <v>16.399999999999999</v>
      </c>
      <c r="I1614" s="12">
        <v>15315.52</v>
      </c>
      <c r="J1614" s="10" t="s">
        <v>51</v>
      </c>
      <c r="K1614" s="10" t="s">
        <v>52</v>
      </c>
      <c r="L1614" t="str">
        <f>IFERROR(VLOOKUP(D1614,Products!A:F,3,0),"")</f>
        <v>Beauty</v>
      </c>
      <c r="M1614" t="str">
        <f>IFERROR(VLOOKUP(E1614,Sales_Reps!A:E,3,0),"")</f>
        <v>East</v>
      </c>
      <c r="N1614" t="str">
        <f>IFERROR(VLOOKUP(C1614,Customers!A:F,5,0),"")</f>
        <v>Retail</v>
      </c>
      <c r="O1614">
        <f>IFERROR(VLOOKUP(C1614,Customers!A:F,3,0),"")</f>
        <v>54</v>
      </c>
      <c r="P1614">
        <f>IFERROR(VLOOKUP(D1614,Products!A:F,4,0),"")</f>
        <v>1219</v>
      </c>
      <c r="Q1614" t="b">
        <f>IFERROR(VLOOKUP(D1614,Products!A:F,6,0),"")</f>
        <v>1</v>
      </c>
      <c r="R1614">
        <f t="shared" si="75"/>
        <v>0.46768558951965067</v>
      </c>
      <c r="S1614">
        <f t="shared" si="76"/>
        <v>1</v>
      </c>
      <c r="T1614">
        <f>IF(AND(S1614&gt;1,COUNTIF($A$2:A1614,A1614)=1),1,0)</f>
        <v>0</v>
      </c>
      <c r="U1614">
        <f>COUNTIF(Customers!$A$2:$A$301,C1614)</f>
        <v>1</v>
      </c>
      <c r="V1614">
        <f t="shared" si="77"/>
        <v>0</v>
      </c>
    </row>
    <row r="1615" spans="1:22" ht="14.25" customHeight="1" x14ac:dyDescent="0.35">
      <c r="A1615" s="10" t="s">
        <v>2075</v>
      </c>
      <c r="B1615" s="11">
        <v>45462</v>
      </c>
      <c r="C1615" s="10" t="s">
        <v>805</v>
      </c>
      <c r="D1615" s="10" t="s">
        <v>140</v>
      </c>
      <c r="E1615" s="10" t="s">
        <v>85</v>
      </c>
      <c r="F1615" s="12">
        <v>3</v>
      </c>
      <c r="G1615" s="12">
        <v>1650</v>
      </c>
      <c r="H1615" s="12">
        <v>1.8</v>
      </c>
      <c r="I1615" s="12">
        <v>4860.8999999999996</v>
      </c>
      <c r="J1615" s="10" t="s">
        <v>104</v>
      </c>
      <c r="K1615" s="10" t="s">
        <v>81</v>
      </c>
      <c r="L1615" t="str">
        <f>IFERROR(VLOOKUP(D1615,Products!A:F,3,0),"")</f>
        <v>Beauty</v>
      </c>
      <c r="M1615" t="str">
        <f>IFERROR(VLOOKUP(E1615,Sales_Reps!A:E,3,0),"")</f>
        <v>East</v>
      </c>
      <c r="N1615" t="str">
        <f>IFERROR(VLOOKUP(C1615,Customers!A:F,5,0),"")</f>
        <v>Corporate</v>
      </c>
      <c r="O1615">
        <f>IFERROR(VLOOKUP(C1615,Customers!A:F,3,0),"")</f>
        <v>41</v>
      </c>
      <c r="P1615">
        <f>IFERROR(VLOOKUP(D1615,Products!A:F,4,0),"")</f>
        <v>1222</v>
      </c>
      <c r="Q1615" t="b">
        <f>IFERROR(VLOOKUP(D1615,Products!A:F,6,0),"")</f>
        <v>1</v>
      </c>
      <c r="R1615">
        <f t="shared" si="75"/>
        <v>0.2593939393939394</v>
      </c>
      <c r="S1615">
        <f t="shared" si="76"/>
        <v>1</v>
      </c>
      <c r="T1615">
        <f>IF(AND(S1615&gt;1,COUNTIF($A$2:A1615,A1615)=1),1,0)</f>
        <v>0</v>
      </c>
      <c r="U1615">
        <f>COUNTIF(Customers!$A$2:$A$301,C1615)</f>
        <v>1</v>
      </c>
      <c r="V1615">
        <f t="shared" si="77"/>
        <v>0</v>
      </c>
    </row>
    <row r="1616" spans="1:22" ht="14.25" customHeight="1" x14ac:dyDescent="0.35">
      <c r="A1616" s="10" t="s">
        <v>2076</v>
      </c>
      <c r="B1616" s="11">
        <v>45642</v>
      </c>
      <c r="C1616" s="10" t="s">
        <v>484</v>
      </c>
      <c r="D1616" s="10" t="s">
        <v>328</v>
      </c>
      <c r="E1616" s="10" t="s">
        <v>267</v>
      </c>
      <c r="F1616" s="12">
        <v>3</v>
      </c>
      <c r="G1616" s="12">
        <v>5330</v>
      </c>
      <c r="H1616" s="12">
        <v>22.2</v>
      </c>
      <c r="I1616" s="12">
        <v>12440.22</v>
      </c>
      <c r="J1616" s="10" t="s">
        <v>51</v>
      </c>
      <c r="K1616" s="10" t="s">
        <v>76</v>
      </c>
      <c r="L1616" t="str">
        <f>IFERROR(VLOOKUP(D1616,Products!A:F,3,0),"")</f>
        <v>Electronics</v>
      </c>
      <c r="M1616" t="str">
        <f>IFERROR(VLOOKUP(E1616,Sales_Reps!A:E,3,0),"")</f>
        <v>East</v>
      </c>
      <c r="N1616" t="str">
        <f>IFERROR(VLOOKUP(C1616,Customers!A:F,5,0),"")</f>
        <v>Corporate</v>
      </c>
      <c r="O1616">
        <f>IFERROR(VLOOKUP(C1616,Customers!A:F,3,0),"")</f>
        <v>35</v>
      </c>
      <c r="P1616">
        <f>IFERROR(VLOOKUP(D1616,Products!A:F,4,0),"")</f>
        <v>2405</v>
      </c>
      <c r="Q1616" t="b">
        <f>IFERROR(VLOOKUP(D1616,Products!A:F,6,0),"")</f>
        <v>1</v>
      </c>
      <c r="R1616">
        <f t="shared" si="75"/>
        <v>0.54878048780487809</v>
      </c>
      <c r="S1616">
        <f t="shared" si="76"/>
        <v>1</v>
      </c>
      <c r="T1616">
        <f>IF(AND(S1616&gt;1,COUNTIF($A$2:A1616,A1616)=1),1,0)</f>
        <v>0</v>
      </c>
      <c r="U1616">
        <f>COUNTIF(Customers!$A$2:$A$301,C1616)</f>
        <v>1</v>
      </c>
      <c r="V1616">
        <f t="shared" si="77"/>
        <v>0</v>
      </c>
    </row>
    <row r="1617" spans="1:22" ht="14.25" customHeight="1" x14ac:dyDescent="0.35">
      <c r="A1617" s="10" t="s">
        <v>2077</v>
      </c>
      <c r="B1617" s="11">
        <v>45534</v>
      </c>
      <c r="C1617" s="10" t="s">
        <v>650</v>
      </c>
      <c r="D1617" s="10" t="s">
        <v>128</v>
      </c>
      <c r="E1617" s="10" t="s">
        <v>249</v>
      </c>
      <c r="F1617" s="12">
        <v>7</v>
      </c>
      <c r="G1617" s="12">
        <v>1080</v>
      </c>
      <c r="H1617" s="12">
        <v>17.899999999999999</v>
      </c>
      <c r="I1617" s="12">
        <v>6206.76</v>
      </c>
      <c r="J1617" s="10" t="s">
        <v>51</v>
      </c>
      <c r="K1617" s="10" t="s">
        <v>76</v>
      </c>
      <c r="L1617" t="str">
        <f>IFERROR(VLOOKUP(D1617,Products!A:F,3,0),"")</f>
        <v>Home</v>
      </c>
      <c r="M1617" t="str">
        <f>IFERROR(VLOOKUP(E1617,Sales_Reps!A:E,3,0),"")</f>
        <v>East</v>
      </c>
      <c r="N1617" t="str">
        <f>IFERROR(VLOOKUP(C1617,Customers!A:F,5,0),"")</f>
        <v>Retail</v>
      </c>
      <c r="O1617">
        <f>IFERROR(VLOOKUP(C1617,Customers!A:F,3,0),"")</f>
        <v>35</v>
      </c>
      <c r="P1617">
        <f>IFERROR(VLOOKUP(D1617,Products!A:F,4,0),"")</f>
        <v>519</v>
      </c>
      <c r="Q1617" t="b">
        <f>IFERROR(VLOOKUP(D1617,Products!A:F,6,0),"")</f>
        <v>1</v>
      </c>
      <c r="R1617">
        <f t="shared" si="75"/>
        <v>0.51944444444444449</v>
      </c>
      <c r="S1617">
        <f t="shared" si="76"/>
        <v>1</v>
      </c>
      <c r="T1617">
        <f>IF(AND(S1617&gt;1,COUNTIF($A$2:A1617,A1617)=1),1,0)</f>
        <v>0</v>
      </c>
      <c r="U1617">
        <f>COUNTIF(Customers!$A$2:$A$301,C1617)</f>
        <v>1</v>
      </c>
      <c r="V1617">
        <f t="shared" si="77"/>
        <v>0</v>
      </c>
    </row>
    <row r="1618" spans="1:22" ht="14.25" customHeight="1" x14ac:dyDescent="0.35">
      <c r="A1618" s="10" t="s">
        <v>2078</v>
      </c>
      <c r="B1618" s="11">
        <v>45460</v>
      </c>
      <c r="C1618" s="10" t="s">
        <v>65</v>
      </c>
      <c r="D1618" s="10" t="s">
        <v>231</v>
      </c>
      <c r="E1618" s="10" t="s">
        <v>249</v>
      </c>
      <c r="F1618" s="12">
        <v>10</v>
      </c>
      <c r="G1618" s="12">
        <v>1220</v>
      </c>
      <c r="H1618" s="12">
        <v>5.7</v>
      </c>
      <c r="I1618" s="12">
        <v>11504.6</v>
      </c>
      <c r="J1618" s="10" t="s">
        <v>51</v>
      </c>
      <c r="K1618" s="10" t="s">
        <v>63</v>
      </c>
      <c r="L1618" t="str">
        <f>IFERROR(VLOOKUP(D1618,Products!A:F,3,0),"")</f>
        <v>Electronics</v>
      </c>
      <c r="M1618" t="str">
        <f>IFERROR(VLOOKUP(E1618,Sales_Reps!A:E,3,0),"")</f>
        <v>East</v>
      </c>
      <c r="N1618" t="str">
        <f>IFERROR(VLOOKUP(C1618,Customers!A:F,5,0),"")</f>
        <v>Corporate</v>
      </c>
      <c r="O1618">
        <f>IFERROR(VLOOKUP(C1618,Customers!A:F,3,0),"")</f>
        <v>46</v>
      </c>
      <c r="P1618">
        <f>IFERROR(VLOOKUP(D1618,Products!A:F,4,0),"")</f>
        <v>517</v>
      </c>
      <c r="Q1618" t="b">
        <f>IFERROR(VLOOKUP(D1618,Products!A:F,6,0),"")</f>
        <v>1</v>
      </c>
      <c r="R1618">
        <f t="shared" si="75"/>
        <v>0.57622950819672136</v>
      </c>
      <c r="S1618">
        <f t="shared" si="76"/>
        <v>1</v>
      </c>
      <c r="T1618">
        <f>IF(AND(S1618&gt;1,COUNTIF($A$2:A1618,A1618)=1),1,0)</f>
        <v>0</v>
      </c>
      <c r="U1618">
        <f>COUNTIF(Customers!$A$2:$A$301,C1618)</f>
        <v>1</v>
      </c>
      <c r="V1618">
        <f t="shared" si="77"/>
        <v>0</v>
      </c>
    </row>
    <row r="1619" spans="1:22" ht="14.25" customHeight="1" x14ac:dyDescent="0.35">
      <c r="A1619" s="10" t="s">
        <v>2079</v>
      </c>
      <c r="B1619" s="11">
        <v>45648</v>
      </c>
      <c r="C1619" s="10" t="s">
        <v>269</v>
      </c>
      <c r="D1619" s="10" t="s">
        <v>167</v>
      </c>
      <c r="E1619" s="10" t="s">
        <v>134</v>
      </c>
      <c r="F1619" s="12">
        <v>10</v>
      </c>
      <c r="G1619" s="12">
        <v>660</v>
      </c>
      <c r="H1619" s="12">
        <v>7.5</v>
      </c>
      <c r="I1619" s="12">
        <v>6105</v>
      </c>
      <c r="J1619" s="10" t="s">
        <v>51</v>
      </c>
      <c r="K1619" s="10" t="s">
        <v>97</v>
      </c>
      <c r="L1619" t="str">
        <f>IFERROR(VLOOKUP(D1619,Products!A:F,3,0),"")</f>
        <v>Home</v>
      </c>
      <c r="M1619" t="str">
        <f>IFERROR(VLOOKUP(E1619,Sales_Reps!A:E,3,0),"")</f>
        <v>West</v>
      </c>
      <c r="N1619" t="str">
        <f>IFERROR(VLOOKUP(C1619,Customers!A:F,5,0),"")</f>
        <v>Corporate</v>
      </c>
      <c r="O1619">
        <f>IFERROR(VLOOKUP(C1619,Customers!A:F,3,0),"")</f>
        <v>46</v>
      </c>
      <c r="P1619">
        <f>IFERROR(VLOOKUP(D1619,Products!A:F,4,0),"")</f>
        <v>329</v>
      </c>
      <c r="Q1619" t="b">
        <f>IFERROR(VLOOKUP(D1619,Products!A:F,6,0),"")</f>
        <v>1</v>
      </c>
      <c r="R1619">
        <f t="shared" si="75"/>
        <v>0.50151515151515147</v>
      </c>
      <c r="S1619">
        <f t="shared" si="76"/>
        <v>1</v>
      </c>
      <c r="T1619">
        <f>IF(AND(S1619&gt;1,COUNTIF($A$2:A1619,A1619)=1),1,0)</f>
        <v>0</v>
      </c>
      <c r="U1619">
        <f>COUNTIF(Customers!$A$2:$A$301,C1619)</f>
        <v>1</v>
      </c>
      <c r="V1619">
        <f t="shared" si="77"/>
        <v>0</v>
      </c>
    </row>
    <row r="1620" spans="1:22" ht="14.25" customHeight="1" x14ac:dyDescent="0.35">
      <c r="A1620" s="10" t="s">
        <v>2080</v>
      </c>
      <c r="B1620" s="11">
        <v>45557</v>
      </c>
      <c r="C1620" s="10" t="s">
        <v>912</v>
      </c>
      <c r="D1620" s="10" t="s">
        <v>128</v>
      </c>
      <c r="E1620" s="10" t="s">
        <v>156</v>
      </c>
      <c r="F1620" s="12">
        <v>6</v>
      </c>
      <c r="G1620" s="12">
        <v>1080</v>
      </c>
      <c r="H1620" s="12">
        <v>28.9</v>
      </c>
      <c r="I1620" s="12">
        <v>4607.28</v>
      </c>
      <c r="J1620" s="10" t="s">
        <v>51</v>
      </c>
      <c r="K1620" s="10" t="s">
        <v>52</v>
      </c>
      <c r="L1620" t="str">
        <f>IFERROR(VLOOKUP(D1620,Products!A:F,3,0),"")</f>
        <v>Home</v>
      </c>
      <c r="M1620" t="str">
        <f>IFERROR(VLOOKUP(E1620,Sales_Reps!A:E,3,0),"")</f>
        <v>East</v>
      </c>
      <c r="N1620" t="str">
        <f>IFERROR(VLOOKUP(C1620,Customers!A:F,5,0),"")</f>
        <v>Retail</v>
      </c>
      <c r="O1620">
        <f>IFERROR(VLOOKUP(C1620,Customers!A:F,3,0),"")</f>
        <v>65</v>
      </c>
      <c r="P1620">
        <f>IFERROR(VLOOKUP(D1620,Products!A:F,4,0),"")</f>
        <v>519</v>
      </c>
      <c r="Q1620" t="b">
        <f>IFERROR(VLOOKUP(D1620,Products!A:F,6,0),"")</f>
        <v>1</v>
      </c>
      <c r="R1620">
        <f t="shared" si="75"/>
        <v>0.51944444444444449</v>
      </c>
      <c r="S1620">
        <f t="shared" si="76"/>
        <v>1</v>
      </c>
      <c r="T1620">
        <f>IF(AND(S1620&gt;1,COUNTIF($A$2:A1620,A1620)=1),1,0)</f>
        <v>0</v>
      </c>
      <c r="U1620">
        <f>COUNTIF(Customers!$A$2:$A$301,C1620)</f>
        <v>1</v>
      </c>
      <c r="V1620">
        <f t="shared" si="77"/>
        <v>0</v>
      </c>
    </row>
    <row r="1621" spans="1:22" ht="14.25" customHeight="1" x14ac:dyDescent="0.35">
      <c r="A1621" s="10" t="s">
        <v>2081</v>
      </c>
      <c r="B1621" s="11">
        <v>45584</v>
      </c>
      <c r="C1621" s="10" t="s">
        <v>553</v>
      </c>
      <c r="D1621" s="10" t="s">
        <v>209</v>
      </c>
      <c r="E1621" s="10" t="s">
        <v>156</v>
      </c>
      <c r="F1621" s="12">
        <v>7</v>
      </c>
      <c r="G1621" s="12">
        <v>2270</v>
      </c>
      <c r="H1621" s="12">
        <v>1.4</v>
      </c>
      <c r="I1621" s="12">
        <v>15667.54</v>
      </c>
      <c r="J1621" s="10" t="s">
        <v>51</v>
      </c>
      <c r="K1621" s="10" t="s">
        <v>58</v>
      </c>
      <c r="L1621" t="str">
        <f>IFERROR(VLOOKUP(D1621,Products!A:F,3,0),"")</f>
        <v>Grocery</v>
      </c>
      <c r="M1621" t="str">
        <f>IFERROR(VLOOKUP(E1621,Sales_Reps!A:E,3,0),"")</f>
        <v>East</v>
      </c>
      <c r="N1621" t="str">
        <f>IFERROR(VLOOKUP(C1621,Customers!A:F,5,0),"")</f>
        <v>Corporate</v>
      </c>
      <c r="O1621">
        <f>IFERROR(VLOOKUP(C1621,Customers!A:F,3,0),"")</f>
        <v>30</v>
      </c>
      <c r="P1621">
        <f>IFERROR(VLOOKUP(D1621,Products!A:F,4,0),"")</f>
        <v>1412</v>
      </c>
      <c r="Q1621" t="b">
        <f>IFERROR(VLOOKUP(D1621,Products!A:F,6,0),"")</f>
        <v>1</v>
      </c>
      <c r="R1621">
        <f t="shared" si="75"/>
        <v>0.37797356828193834</v>
      </c>
      <c r="S1621">
        <f t="shared" si="76"/>
        <v>1</v>
      </c>
      <c r="T1621">
        <f>IF(AND(S1621&gt;1,COUNTIF($A$2:A1621,A1621)=1),1,0)</f>
        <v>0</v>
      </c>
      <c r="U1621">
        <f>COUNTIF(Customers!$A$2:$A$301,C1621)</f>
        <v>1</v>
      </c>
      <c r="V1621">
        <f t="shared" si="77"/>
        <v>0</v>
      </c>
    </row>
    <row r="1622" spans="1:22" ht="14.25" customHeight="1" x14ac:dyDescent="0.35">
      <c r="A1622" s="10" t="s">
        <v>2082</v>
      </c>
      <c r="B1622" s="11">
        <v>45475</v>
      </c>
      <c r="C1622" s="10" t="s">
        <v>745</v>
      </c>
      <c r="D1622" s="10" t="s">
        <v>74</v>
      </c>
      <c r="E1622" s="10" t="s">
        <v>92</v>
      </c>
      <c r="F1622" s="12">
        <v>3</v>
      </c>
      <c r="G1622" s="12">
        <v>370</v>
      </c>
      <c r="H1622" s="12">
        <v>9.6</v>
      </c>
      <c r="I1622" s="12">
        <v>1003.44</v>
      </c>
      <c r="J1622" s="10" t="s">
        <v>108</v>
      </c>
      <c r="K1622" s="10" t="s">
        <v>63</v>
      </c>
      <c r="L1622" t="str">
        <f>IFERROR(VLOOKUP(D1622,Products!A:F,3,0),"")</f>
        <v>Home</v>
      </c>
      <c r="M1622" t="str">
        <f>IFERROR(VLOOKUP(E1622,Sales_Reps!A:E,3,0),"")</f>
        <v>West</v>
      </c>
      <c r="N1622" t="str">
        <f>IFERROR(VLOOKUP(C1622,Customers!A:F,5,0),"")</f>
        <v>SMB</v>
      </c>
      <c r="O1622">
        <f>IFERROR(VLOOKUP(C1622,Customers!A:F,3,0),"")</f>
        <v>29</v>
      </c>
      <c r="P1622">
        <f>IFERROR(VLOOKUP(D1622,Products!A:F,4,0),"")</f>
        <v>288</v>
      </c>
      <c r="Q1622" t="b">
        <f>IFERROR(VLOOKUP(D1622,Products!A:F,6,0),"")</f>
        <v>1</v>
      </c>
      <c r="R1622">
        <f t="shared" si="75"/>
        <v>0.22162162162162163</v>
      </c>
      <c r="S1622">
        <f t="shared" si="76"/>
        <v>1</v>
      </c>
      <c r="T1622">
        <f>IF(AND(S1622&gt;1,COUNTIF($A$2:A1622,A1622)=1),1,0)</f>
        <v>0</v>
      </c>
      <c r="U1622">
        <f>COUNTIF(Customers!$A$2:$A$301,C1622)</f>
        <v>1</v>
      </c>
      <c r="V1622">
        <f t="shared" si="77"/>
        <v>0</v>
      </c>
    </row>
    <row r="1623" spans="1:22" ht="14.25" customHeight="1" x14ac:dyDescent="0.35">
      <c r="A1623" s="10" t="s">
        <v>2083</v>
      </c>
      <c r="B1623" s="11">
        <v>45365</v>
      </c>
      <c r="C1623" s="10" t="s">
        <v>838</v>
      </c>
      <c r="D1623" s="10" t="s">
        <v>91</v>
      </c>
      <c r="E1623" s="10" t="s">
        <v>168</v>
      </c>
      <c r="F1623" s="12">
        <v>9</v>
      </c>
      <c r="G1623" s="12">
        <v>970</v>
      </c>
      <c r="H1623" s="12">
        <v>29.7</v>
      </c>
      <c r="I1623" s="12">
        <v>6137.19</v>
      </c>
      <c r="J1623" s="10" t="s">
        <v>51</v>
      </c>
      <c r="K1623" s="10" t="s">
        <v>76</v>
      </c>
      <c r="L1623" t="str">
        <f>IFERROR(VLOOKUP(D1623,Products!A:F,3,0),"")</f>
        <v>Grocery</v>
      </c>
      <c r="M1623" t="str">
        <f>IFERROR(VLOOKUP(E1623,Sales_Reps!A:E,3,0),"")</f>
        <v>South</v>
      </c>
      <c r="N1623" t="str">
        <f>IFERROR(VLOOKUP(C1623,Customers!A:F,5,0),"")</f>
        <v>Retail</v>
      </c>
      <c r="O1623">
        <f>IFERROR(VLOOKUP(C1623,Customers!A:F,3,0),"")</f>
        <v>57</v>
      </c>
      <c r="P1623">
        <f>IFERROR(VLOOKUP(D1623,Products!A:F,4,0),"")</f>
        <v>434</v>
      </c>
      <c r="Q1623" t="b">
        <f>IFERROR(VLOOKUP(D1623,Products!A:F,6,0),"")</f>
        <v>1</v>
      </c>
      <c r="R1623">
        <f t="shared" si="75"/>
        <v>0.5525773195876289</v>
      </c>
      <c r="S1623">
        <f t="shared" si="76"/>
        <v>1</v>
      </c>
      <c r="T1623">
        <f>IF(AND(S1623&gt;1,COUNTIF($A$2:A1623,A1623)=1),1,0)</f>
        <v>0</v>
      </c>
      <c r="U1623">
        <f>COUNTIF(Customers!$A$2:$A$301,C1623)</f>
        <v>1</v>
      </c>
      <c r="V1623">
        <f t="shared" si="77"/>
        <v>0</v>
      </c>
    </row>
    <row r="1624" spans="1:22" ht="14.25" customHeight="1" x14ac:dyDescent="0.35">
      <c r="A1624" s="10" t="s">
        <v>1034</v>
      </c>
      <c r="B1624" s="11">
        <v>45405</v>
      </c>
      <c r="C1624" s="10" t="s">
        <v>909</v>
      </c>
      <c r="D1624" s="10" t="s">
        <v>256</v>
      </c>
      <c r="E1624" s="10" t="s">
        <v>112</v>
      </c>
      <c r="F1624" s="12">
        <v>1</v>
      </c>
      <c r="G1624" s="12">
        <v>620</v>
      </c>
      <c r="H1624" s="12">
        <v>10.4</v>
      </c>
      <c r="I1624" s="12">
        <v>555.52</v>
      </c>
      <c r="J1624" s="10" t="s">
        <v>104</v>
      </c>
      <c r="K1624" s="10" t="s">
        <v>52</v>
      </c>
      <c r="L1624" t="str">
        <f>IFERROR(VLOOKUP(D1624,Products!A:F,3,0),"")</f>
        <v>Apparel</v>
      </c>
      <c r="M1624" t="str">
        <f>IFERROR(VLOOKUP(E1624,Sales_Reps!A:E,3,0),"")</f>
        <v>North</v>
      </c>
      <c r="N1624" t="str">
        <f>IFERROR(VLOOKUP(C1624,Customers!A:F,5,0),"")</f>
        <v>Retail</v>
      </c>
      <c r="O1624">
        <f>IFERROR(VLOOKUP(C1624,Customers!A:F,3,0),"")</f>
        <v>54</v>
      </c>
      <c r="P1624">
        <f>IFERROR(VLOOKUP(D1624,Products!A:F,4,0),"")</f>
        <v>396</v>
      </c>
      <c r="Q1624" t="b">
        <f>IFERROR(VLOOKUP(D1624,Products!A:F,6,0),"")</f>
        <v>1</v>
      </c>
      <c r="R1624">
        <f t="shared" si="75"/>
        <v>0.36129032258064514</v>
      </c>
      <c r="S1624">
        <f t="shared" si="76"/>
        <v>2</v>
      </c>
      <c r="T1624">
        <f>IF(AND(S1624&gt;1,COUNTIF($A$2:A1624,A1624)=1),1,0)</f>
        <v>0</v>
      </c>
      <c r="U1624">
        <f>COUNTIF(Customers!$A$2:$A$301,C1624)</f>
        <v>1</v>
      </c>
      <c r="V1624">
        <f t="shared" si="77"/>
        <v>0</v>
      </c>
    </row>
    <row r="1625" spans="1:22" ht="14.25" customHeight="1" x14ac:dyDescent="0.35">
      <c r="A1625" s="10" t="s">
        <v>2084</v>
      </c>
      <c r="B1625" s="11">
        <v>45533</v>
      </c>
      <c r="C1625" s="10" t="s">
        <v>836</v>
      </c>
      <c r="D1625" s="10" t="s">
        <v>66</v>
      </c>
      <c r="E1625" s="10" t="s">
        <v>193</v>
      </c>
      <c r="F1625" s="12">
        <v>5</v>
      </c>
      <c r="G1625" s="12">
        <v>3660</v>
      </c>
      <c r="H1625" s="12">
        <v>8</v>
      </c>
      <c r="I1625" s="12">
        <v>16836</v>
      </c>
      <c r="J1625" s="10" t="s">
        <v>51</v>
      </c>
      <c r="K1625" s="10" t="s">
        <v>76</v>
      </c>
      <c r="L1625" t="str">
        <f>IFERROR(VLOOKUP(D1625,Products!A:F,3,0),"")</f>
        <v>Grocery</v>
      </c>
      <c r="M1625" t="str">
        <f>IFERROR(VLOOKUP(E1625,Sales_Reps!A:E,3,0),"")</f>
        <v>West</v>
      </c>
      <c r="N1625" t="str">
        <f>IFERROR(VLOOKUP(C1625,Customers!A:F,5,0),"")</f>
        <v>Corporate</v>
      </c>
      <c r="O1625">
        <f>IFERROR(VLOOKUP(C1625,Customers!A:F,3,0),"")</f>
        <v>62</v>
      </c>
      <c r="P1625">
        <f>IFERROR(VLOOKUP(D1625,Products!A:F,4,0),"")</f>
        <v>2214</v>
      </c>
      <c r="Q1625" t="b">
        <f>IFERROR(VLOOKUP(D1625,Products!A:F,6,0),"")</f>
        <v>0</v>
      </c>
      <c r="R1625">
        <f t="shared" si="75"/>
        <v>0.39508196721311473</v>
      </c>
      <c r="S1625">
        <f t="shared" si="76"/>
        <v>1</v>
      </c>
      <c r="T1625">
        <f>IF(AND(S1625&gt;1,COUNTIF($A$2:A1625,A1625)=1),1,0)</f>
        <v>0</v>
      </c>
      <c r="U1625">
        <f>COUNTIF(Customers!$A$2:$A$301,C1625)</f>
        <v>1</v>
      </c>
      <c r="V1625">
        <f t="shared" si="77"/>
        <v>0</v>
      </c>
    </row>
    <row r="1626" spans="1:22" ht="14.25" customHeight="1" x14ac:dyDescent="0.35">
      <c r="A1626" s="10" t="s">
        <v>2085</v>
      </c>
      <c r="B1626" s="11">
        <v>45628</v>
      </c>
      <c r="C1626" s="10" t="s">
        <v>65</v>
      </c>
      <c r="D1626" s="10" t="s">
        <v>302</v>
      </c>
      <c r="E1626" s="10" t="s">
        <v>80</v>
      </c>
      <c r="F1626" s="12">
        <v>7</v>
      </c>
      <c r="G1626" s="12">
        <v>2210</v>
      </c>
      <c r="H1626" s="12">
        <v>13.7</v>
      </c>
      <c r="I1626" s="12">
        <v>13350.61</v>
      </c>
      <c r="J1626" s="10" t="s">
        <v>108</v>
      </c>
      <c r="K1626" s="10" t="s">
        <v>63</v>
      </c>
      <c r="L1626" t="str">
        <f>IFERROR(VLOOKUP(D1626,Products!A:F,3,0),"")</f>
        <v>Grocery</v>
      </c>
      <c r="M1626" t="str">
        <f>IFERROR(VLOOKUP(E1626,Sales_Reps!A:E,3,0),"")</f>
        <v>West</v>
      </c>
      <c r="N1626" t="str">
        <f>IFERROR(VLOOKUP(C1626,Customers!A:F,5,0),"")</f>
        <v>Corporate</v>
      </c>
      <c r="O1626">
        <f>IFERROR(VLOOKUP(C1626,Customers!A:F,3,0),"")</f>
        <v>46</v>
      </c>
      <c r="P1626">
        <f>IFERROR(VLOOKUP(D1626,Products!A:F,4,0),"")</f>
        <v>1010</v>
      </c>
      <c r="Q1626" t="b">
        <f>IFERROR(VLOOKUP(D1626,Products!A:F,6,0),"")</f>
        <v>1</v>
      </c>
      <c r="R1626">
        <f t="shared" si="75"/>
        <v>0.54298642533936647</v>
      </c>
      <c r="S1626">
        <f t="shared" si="76"/>
        <v>1</v>
      </c>
      <c r="T1626">
        <f>IF(AND(S1626&gt;1,COUNTIF($A$2:A1626,A1626)=1),1,0)</f>
        <v>0</v>
      </c>
      <c r="U1626">
        <f>COUNTIF(Customers!$A$2:$A$301,C1626)</f>
        <v>1</v>
      </c>
      <c r="V1626">
        <f t="shared" si="77"/>
        <v>0</v>
      </c>
    </row>
    <row r="1627" spans="1:22" ht="14.25" customHeight="1" x14ac:dyDescent="0.35">
      <c r="A1627" s="10" t="s">
        <v>2086</v>
      </c>
      <c r="B1627" s="11">
        <v>45631</v>
      </c>
      <c r="C1627" s="10" t="s">
        <v>669</v>
      </c>
      <c r="D1627" s="10" t="s">
        <v>425</v>
      </c>
      <c r="E1627" s="10" t="s">
        <v>92</v>
      </c>
      <c r="F1627" s="12">
        <v>1</v>
      </c>
      <c r="G1627" s="12">
        <v>3780</v>
      </c>
      <c r="H1627" s="12">
        <v>11.5</v>
      </c>
      <c r="I1627" s="12">
        <v>3345.3</v>
      </c>
      <c r="J1627" s="10" t="s">
        <v>51</v>
      </c>
      <c r="K1627" s="10" t="s">
        <v>63</v>
      </c>
      <c r="L1627" t="str">
        <f>IFERROR(VLOOKUP(D1627,Products!A:F,3,0),"")</f>
        <v>Sports</v>
      </c>
      <c r="M1627" t="str">
        <f>IFERROR(VLOOKUP(E1627,Sales_Reps!A:E,3,0),"")</f>
        <v>West</v>
      </c>
      <c r="N1627" t="str">
        <f>IFERROR(VLOOKUP(C1627,Customers!A:F,5,0),"")</f>
        <v>Retail</v>
      </c>
      <c r="O1627">
        <f>IFERROR(VLOOKUP(C1627,Customers!A:F,3,0),"")</f>
        <v>53</v>
      </c>
      <c r="P1627">
        <f>IFERROR(VLOOKUP(D1627,Products!A:F,4,0),"")</f>
        <v>1860</v>
      </c>
      <c r="Q1627" t="b">
        <f>IFERROR(VLOOKUP(D1627,Products!A:F,6,0),"")</f>
        <v>1</v>
      </c>
      <c r="R1627">
        <f t="shared" si="75"/>
        <v>0.50793650793650791</v>
      </c>
      <c r="S1627">
        <f t="shared" si="76"/>
        <v>1</v>
      </c>
      <c r="T1627">
        <f>IF(AND(S1627&gt;1,COUNTIF($A$2:A1627,A1627)=1),1,0)</f>
        <v>0</v>
      </c>
      <c r="U1627">
        <f>COUNTIF(Customers!$A$2:$A$301,C1627)</f>
        <v>1</v>
      </c>
      <c r="V1627">
        <f t="shared" si="77"/>
        <v>0</v>
      </c>
    </row>
    <row r="1628" spans="1:22" ht="14.25" customHeight="1" x14ac:dyDescent="0.35">
      <c r="A1628" s="10" t="s">
        <v>2087</v>
      </c>
      <c r="B1628" s="11">
        <v>45601</v>
      </c>
      <c r="C1628" s="10" t="s">
        <v>255</v>
      </c>
      <c r="D1628" s="10" t="s">
        <v>102</v>
      </c>
      <c r="E1628" s="10" t="s">
        <v>56</v>
      </c>
      <c r="F1628" s="12">
        <v>10</v>
      </c>
      <c r="G1628" s="12">
        <v>2600</v>
      </c>
      <c r="H1628" s="12">
        <v>29.4</v>
      </c>
      <c r="I1628" s="12">
        <v>18356</v>
      </c>
      <c r="J1628" s="10" t="s">
        <v>51</v>
      </c>
      <c r="K1628" s="10" t="s">
        <v>63</v>
      </c>
      <c r="L1628" t="str">
        <f>IFERROR(VLOOKUP(D1628,Products!A:F,3,0),"")</f>
        <v>Electronics</v>
      </c>
      <c r="M1628" t="str">
        <f>IFERROR(VLOOKUP(E1628,Sales_Reps!A:E,3,0),"")</f>
        <v>North</v>
      </c>
      <c r="N1628" t="str">
        <f>IFERROR(VLOOKUP(C1628,Customers!A:F,5,0),"")</f>
        <v>Retail</v>
      </c>
      <c r="O1628">
        <f>IFERROR(VLOOKUP(C1628,Customers!A:F,3,0),"")</f>
        <v>35</v>
      </c>
      <c r="P1628">
        <f>IFERROR(VLOOKUP(D1628,Products!A:F,4,0),"")</f>
        <v>1052</v>
      </c>
      <c r="Q1628" t="b">
        <f>IFERROR(VLOOKUP(D1628,Products!A:F,6,0),"")</f>
        <v>1</v>
      </c>
      <c r="R1628">
        <f t="shared" si="75"/>
        <v>0.5953846153846154</v>
      </c>
      <c r="S1628">
        <f t="shared" si="76"/>
        <v>1</v>
      </c>
      <c r="T1628">
        <f>IF(AND(S1628&gt;1,COUNTIF($A$2:A1628,A1628)=1),1,0)</f>
        <v>0</v>
      </c>
      <c r="U1628">
        <f>COUNTIF(Customers!$A$2:$A$301,C1628)</f>
        <v>1</v>
      </c>
      <c r="V1628">
        <f t="shared" si="77"/>
        <v>0</v>
      </c>
    </row>
    <row r="1629" spans="1:22" ht="14.25" customHeight="1" x14ac:dyDescent="0.35">
      <c r="A1629" s="10" t="s">
        <v>2088</v>
      </c>
      <c r="B1629" s="11">
        <v>45365</v>
      </c>
      <c r="C1629" s="10" t="s">
        <v>515</v>
      </c>
      <c r="D1629" s="10" t="s">
        <v>198</v>
      </c>
      <c r="E1629" s="10" t="s">
        <v>202</v>
      </c>
      <c r="F1629" s="12">
        <v>3</v>
      </c>
      <c r="G1629" s="12">
        <v>3780</v>
      </c>
      <c r="H1629" s="12">
        <v>14.4</v>
      </c>
      <c r="I1629" s="12">
        <v>9707.0400000000009</v>
      </c>
      <c r="J1629" s="10" t="s">
        <v>51</v>
      </c>
      <c r="K1629" s="10" t="s">
        <v>76</v>
      </c>
      <c r="L1629" t="str">
        <f>IFERROR(VLOOKUP(D1629,Products!A:F,3,0),"")</f>
        <v>Grocery</v>
      </c>
      <c r="M1629" t="str">
        <f>IFERROR(VLOOKUP(E1629,Sales_Reps!A:E,3,0),"")</f>
        <v>East</v>
      </c>
      <c r="N1629" t="str">
        <f>IFERROR(VLOOKUP(C1629,Customers!A:F,5,0),"")</f>
        <v>Corporate</v>
      </c>
      <c r="O1629">
        <f>IFERROR(VLOOKUP(C1629,Customers!A:F,3,0),"")</f>
        <v>60</v>
      </c>
      <c r="P1629">
        <f>IFERROR(VLOOKUP(D1629,Products!A:F,4,0),"")</f>
        <v>2436</v>
      </c>
      <c r="Q1629" t="b">
        <f>IFERROR(VLOOKUP(D1629,Products!A:F,6,0),"")</f>
        <v>1</v>
      </c>
      <c r="R1629">
        <f t="shared" si="75"/>
        <v>0.35555555555555557</v>
      </c>
      <c r="S1629">
        <f t="shared" si="76"/>
        <v>1</v>
      </c>
      <c r="T1629">
        <f>IF(AND(S1629&gt;1,COUNTIF($A$2:A1629,A1629)=1),1,0)</f>
        <v>0</v>
      </c>
      <c r="U1629">
        <f>COUNTIF(Customers!$A$2:$A$301,C1629)</f>
        <v>1</v>
      </c>
      <c r="V1629">
        <f t="shared" si="77"/>
        <v>0</v>
      </c>
    </row>
    <row r="1630" spans="1:22" ht="14.25" customHeight="1" x14ac:dyDescent="0.35">
      <c r="A1630" s="10" t="s">
        <v>2089</v>
      </c>
      <c r="B1630" s="11">
        <v>45421</v>
      </c>
      <c r="C1630" s="10" t="s">
        <v>214</v>
      </c>
      <c r="D1630" s="10" t="s">
        <v>99</v>
      </c>
      <c r="E1630" s="10" t="s">
        <v>112</v>
      </c>
      <c r="F1630" s="12">
        <v>10</v>
      </c>
      <c r="G1630" s="12">
        <v>2640</v>
      </c>
      <c r="H1630" s="12">
        <v>26.8</v>
      </c>
      <c r="I1630" s="12">
        <v>19324.8</v>
      </c>
      <c r="J1630" s="10" t="s">
        <v>57</v>
      </c>
      <c r="K1630" s="10" t="s">
        <v>81</v>
      </c>
      <c r="L1630" t="str">
        <f>IFERROR(VLOOKUP(D1630,Products!A:F,3,0),"")</f>
        <v>Electronics</v>
      </c>
      <c r="M1630" t="str">
        <f>IFERROR(VLOOKUP(E1630,Sales_Reps!A:E,3,0),"")</f>
        <v>North</v>
      </c>
      <c r="N1630" t="str">
        <f>IFERROR(VLOOKUP(C1630,Customers!A:F,5,0),"")</f>
        <v>SMB</v>
      </c>
      <c r="O1630">
        <f>IFERROR(VLOOKUP(C1630,Customers!A:F,3,0),"")</f>
        <v>34</v>
      </c>
      <c r="P1630">
        <f>IFERROR(VLOOKUP(D1630,Products!A:F,4,0),"")</f>
        <v>1149</v>
      </c>
      <c r="Q1630" t="b">
        <f>IFERROR(VLOOKUP(D1630,Products!A:F,6,0),"")</f>
        <v>1</v>
      </c>
      <c r="R1630">
        <f t="shared" si="75"/>
        <v>0.56477272727272732</v>
      </c>
      <c r="S1630">
        <f t="shared" si="76"/>
        <v>1</v>
      </c>
      <c r="T1630">
        <f>IF(AND(S1630&gt;1,COUNTIF($A$2:A1630,A1630)=1),1,0)</f>
        <v>0</v>
      </c>
      <c r="U1630">
        <f>COUNTIF(Customers!$A$2:$A$301,C1630)</f>
        <v>1</v>
      </c>
      <c r="V1630">
        <f t="shared" si="77"/>
        <v>0</v>
      </c>
    </row>
    <row r="1631" spans="1:22" ht="14.25" customHeight="1" x14ac:dyDescent="0.35">
      <c r="A1631" s="10" t="s">
        <v>2090</v>
      </c>
      <c r="B1631" s="11">
        <v>45347</v>
      </c>
      <c r="C1631" s="10" t="s">
        <v>864</v>
      </c>
      <c r="D1631" s="10" t="s">
        <v>466</v>
      </c>
      <c r="E1631" s="10" t="s">
        <v>216</v>
      </c>
      <c r="F1631" s="12">
        <v>3</v>
      </c>
      <c r="G1631" s="12">
        <v>1090</v>
      </c>
      <c r="H1631" s="12">
        <v>9.1</v>
      </c>
      <c r="I1631" s="12">
        <v>2972.43</v>
      </c>
      <c r="J1631" s="10" t="s">
        <v>51</v>
      </c>
      <c r="K1631" s="10" t="s">
        <v>81</v>
      </c>
      <c r="L1631" t="str">
        <f>IFERROR(VLOOKUP(D1631,Products!A:F,3,0),"")</f>
        <v>Home</v>
      </c>
      <c r="M1631" t="str">
        <f>IFERROR(VLOOKUP(E1631,Sales_Reps!A:E,3,0),"")</f>
        <v>South</v>
      </c>
      <c r="N1631" t="str">
        <f>IFERROR(VLOOKUP(C1631,Customers!A:F,5,0),"")</f>
        <v>Retail</v>
      </c>
      <c r="O1631">
        <f>IFERROR(VLOOKUP(C1631,Customers!A:F,3,0),"")</f>
        <v>35</v>
      </c>
      <c r="P1631">
        <f>IFERROR(VLOOKUP(D1631,Products!A:F,4,0),"")</f>
        <v>464</v>
      </c>
      <c r="Q1631" t="b">
        <f>IFERROR(VLOOKUP(D1631,Products!A:F,6,0),"")</f>
        <v>1</v>
      </c>
      <c r="R1631">
        <f t="shared" si="75"/>
        <v>0.57431192660550456</v>
      </c>
      <c r="S1631">
        <f t="shared" si="76"/>
        <v>1</v>
      </c>
      <c r="T1631">
        <f>IF(AND(S1631&gt;1,COUNTIF($A$2:A1631,A1631)=1),1,0)</f>
        <v>0</v>
      </c>
      <c r="U1631">
        <f>COUNTIF(Customers!$A$2:$A$301,C1631)</f>
        <v>1</v>
      </c>
      <c r="V1631">
        <f t="shared" si="77"/>
        <v>0</v>
      </c>
    </row>
    <row r="1632" spans="1:22" ht="14.25" customHeight="1" x14ac:dyDescent="0.35">
      <c r="A1632" s="10" t="s">
        <v>2091</v>
      </c>
      <c r="B1632" s="11">
        <v>45574</v>
      </c>
      <c r="C1632" s="10" t="s">
        <v>664</v>
      </c>
      <c r="D1632" s="10" t="s">
        <v>416</v>
      </c>
      <c r="E1632" s="10" t="s">
        <v>80</v>
      </c>
      <c r="F1632" s="12">
        <v>3</v>
      </c>
      <c r="G1632" s="12">
        <v>3450</v>
      </c>
      <c r="H1632" s="12">
        <v>23</v>
      </c>
      <c r="I1632" s="12">
        <v>7969.5</v>
      </c>
      <c r="J1632" s="10" t="s">
        <v>57</v>
      </c>
      <c r="K1632" s="10" t="s">
        <v>58</v>
      </c>
      <c r="L1632" t="str">
        <f>IFERROR(VLOOKUP(D1632,Products!A:F,3,0),"")</f>
        <v>Apparel</v>
      </c>
      <c r="M1632" t="str">
        <f>IFERROR(VLOOKUP(E1632,Sales_Reps!A:E,3,0),"")</f>
        <v>West</v>
      </c>
      <c r="N1632" t="str">
        <f>IFERROR(VLOOKUP(C1632,Customers!A:F,5,0),"")</f>
        <v>SMB</v>
      </c>
      <c r="O1632">
        <f>IFERROR(VLOOKUP(C1632,Customers!A:F,3,0),"")</f>
        <v>46</v>
      </c>
      <c r="P1632">
        <f>IFERROR(VLOOKUP(D1632,Products!A:F,4,0),"")</f>
        <v>1748</v>
      </c>
      <c r="Q1632" t="b">
        <f>IFERROR(VLOOKUP(D1632,Products!A:F,6,0),"")</f>
        <v>1</v>
      </c>
      <c r="R1632">
        <f t="shared" si="75"/>
        <v>0.49333333333333335</v>
      </c>
      <c r="S1632">
        <f t="shared" si="76"/>
        <v>1</v>
      </c>
      <c r="T1632">
        <f>IF(AND(S1632&gt;1,COUNTIF($A$2:A1632,A1632)=1),1,0)</f>
        <v>0</v>
      </c>
      <c r="U1632">
        <f>COUNTIF(Customers!$A$2:$A$301,C1632)</f>
        <v>1</v>
      </c>
      <c r="V1632">
        <f t="shared" si="77"/>
        <v>0</v>
      </c>
    </row>
    <row r="1633" spans="1:22" ht="14.25" customHeight="1" x14ac:dyDescent="0.35">
      <c r="A1633" s="10" t="s">
        <v>2092</v>
      </c>
      <c r="B1633" s="11">
        <v>45365</v>
      </c>
      <c r="C1633" s="10" t="s">
        <v>1195</v>
      </c>
      <c r="D1633" s="10" t="s">
        <v>344</v>
      </c>
      <c r="E1633" s="10" t="s">
        <v>152</v>
      </c>
      <c r="F1633" s="12">
        <v>1</v>
      </c>
      <c r="G1633" s="12">
        <v>960</v>
      </c>
      <c r="H1633" s="12">
        <v>1.1000000000000001</v>
      </c>
      <c r="I1633" s="12">
        <v>949.44</v>
      </c>
      <c r="J1633" s="10" t="s">
        <v>51</v>
      </c>
      <c r="K1633" s="10" t="s">
        <v>52</v>
      </c>
      <c r="L1633" t="str">
        <f>IFERROR(VLOOKUP(D1633,Products!A:F,3,0),"")</f>
        <v>Beauty</v>
      </c>
      <c r="M1633" t="str">
        <f>IFERROR(VLOOKUP(E1633,Sales_Reps!A:E,3,0),"")</f>
        <v>South</v>
      </c>
      <c r="N1633" t="str">
        <f>IFERROR(VLOOKUP(C1633,Customers!A:F,5,0),"")</f>
        <v>Retail</v>
      </c>
      <c r="O1633">
        <f>IFERROR(VLOOKUP(C1633,Customers!A:F,3,0),"")</f>
        <v>42</v>
      </c>
      <c r="P1633">
        <f>IFERROR(VLOOKUP(D1633,Products!A:F,4,0),"")</f>
        <v>675</v>
      </c>
      <c r="Q1633" t="b">
        <f>IFERROR(VLOOKUP(D1633,Products!A:F,6,0),"")</f>
        <v>1</v>
      </c>
      <c r="R1633">
        <f t="shared" si="75"/>
        <v>0.296875</v>
      </c>
      <c r="S1633">
        <f t="shared" si="76"/>
        <v>1</v>
      </c>
      <c r="T1633">
        <f>IF(AND(S1633&gt;1,COUNTIF($A$2:A1633,A1633)=1),1,0)</f>
        <v>0</v>
      </c>
      <c r="U1633">
        <f>COUNTIF(Customers!$A$2:$A$301,C1633)</f>
        <v>1</v>
      </c>
      <c r="V1633">
        <f t="shared" si="77"/>
        <v>0</v>
      </c>
    </row>
    <row r="1634" spans="1:22" ht="14.25" customHeight="1" x14ac:dyDescent="0.35">
      <c r="A1634" s="10" t="s">
        <v>2093</v>
      </c>
      <c r="B1634" s="11">
        <v>45577</v>
      </c>
      <c r="C1634" s="10" t="s">
        <v>443</v>
      </c>
      <c r="D1634" s="10" t="s">
        <v>66</v>
      </c>
      <c r="E1634" s="10" t="s">
        <v>134</v>
      </c>
      <c r="F1634" s="12">
        <v>9</v>
      </c>
      <c r="G1634" s="12">
        <v>3660</v>
      </c>
      <c r="H1634" s="12">
        <v>9</v>
      </c>
      <c r="I1634" s="12">
        <v>29975.4</v>
      </c>
      <c r="J1634" s="10" t="s">
        <v>51</v>
      </c>
      <c r="K1634" s="10" t="s">
        <v>52</v>
      </c>
      <c r="L1634" t="str">
        <f>IFERROR(VLOOKUP(D1634,Products!A:F,3,0),"")</f>
        <v>Grocery</v>
      </c>
      <c r="M1634" t="str">
        <f>IFERROR(VLOOKUP(E1634,Sales_Reps!A:E,3,0),"")</f>
        <v>West</v>
      </c>
      <c r="N1634" t="str">
        <f>IFERROR(VLOOKUP(C1634,Customers!A:F,5,0),"")</f>
        <v>SMB</v>
      </c>
      <c r="O1634">
        <f>IFERROR(VLOOKUP(C1634,Customers!A:F,3,0),"")</f>
        <v>49</v>
      </c>
      <c r="P1634">
        <f>IFERROR(VLOOKUP(D1634,Products!A:F,4,0),"")</f>
        <v>2214</v>
      </c>
      <c r="Q1634" t="b">
        <f>IFERROR(VLOOKUP(D1634,Products!A:F,6,0),"")</f>
        <v>0</v>
      </c>
      <c r="R1634">
        <f t="shared" si="75"/>
        <v>0.39508196721311473</v>
      </c>
      <c r="S1634">
        <f t="shared" si="76"/>
        <v>1</v>
      </c>
      <c r="T1634">
        <f>IF(AND(S1634&gt;1,COUNTIF($A$2:A1634,A1634)=1),1,0)</f>
        <v>0</v>
      </c>
      <c r="U1634">
        <f>COUNTIF(Customers!$A$2:$A$301,C1634)</f>
        <v>1</v>
      </c>
      <c r="V1634">
        <f t="shared" si="77"/>
        <v>0</v>
      </c>
    </row>
    <row r="1635" spans="1:22" ht="14.25" customHeight="1" x14ac:dyDescent="0.35">
      <c r="A1635" s="10" t="s">
        <v>2094</v>
      </c>
      <c r="B1635" s="11">
        <v>45420</v>
      </c>
      <c r="C1635" s="10" t="s">
        <v>602</v>
      </c>
      <c r="D1635" s="10" t="s">
        <v>190</v>
      </c>
      <c r="E1635" s="10" t="s">
        <v>71</v>
      </c>
      <c r="F1635" s="12">
        <v>3</v>
      </c>
      <c r="G1635" s="12">
        <v>3730</v>
      </c>
      <c r="H1635" s="12">
        <v>15.8</v>
      </c>
      <c r="I1635" s="12">
        <v>9421.98</v>
      </c>
      <c r="J1635" s="10" t="s">
        <v>51</v>
      </c>
      <c r="K1635" s="10" t="s">
        <v>63</v>
      </c>
      <c r="L1635" t="str">
        <f>IFERROR(VLOOKUP(D1635,Products!A:F,3,0),"")</f>
        <v>Home</v>
      </c>
      <c r="M1635" t="str">
        <f>IFERROR(VLOOKUP(E1635,Sales_Reps!A:E,3,0),"")</f>
        <v>North</v>
      </c>
      <c r="N1635" t="str">
        <f>IFERROR(VLOOKUP(C1635,Customers!A:F,5,0),"")</f>
        <v>Retail</v>
      </c>
      <c r="O1635">
        <f>IFERROR(VLOOKUP(C1635,Customers!A:F,3,0),"")</f>
        <v>43</v>
      </c>
      <c r="P1635">
        <f>IFERROR(VLOOKUP(D1635,Products!A:F,4,0),"")</f>
        <v>2135</v>
      </c>
      <c r="Q1635" t="b">
        <f>IFERROR(VLOOKUP(D1635,Products!A:F,6,0),"")</f>
        <v>1</v>
      </c>
      <c r="R1635">
        <f t="shared" si="75"/>
        <v>0.42761394101876676</v>
      </c>
      <c r="S1635">
        <f t="shared" si="76"/>
        <v>1</v>
      </c>
      <c r="T1635">
        <f>IF(AND(S1635&gt;1,COUNTIF($A$2:A1635,A1635)=1),1,0)</f>
        <v>0</v>
      </c>
      <c r="U1635">
        <f>COUNTIF(Customers!$A$2:$A$301,C1635)</f>
        <v>1</v>
      </c>
      <c r="V1635">
        <f t="shared" si="77"/>
        <v>0</v>
      </c>
    </row>
    <row r="1636" spans="1:22" ht="14.25" customHeight="1" x14ac:dyDescent="0.35">
      <c r="A1636" s="10" t="s">
        <v>2095</v>
      </c>
      <c r="B1636" s="11">
        <v>45347</v>
      </c>
      <c r="C1636" s="10" t="s">
        <v>515</v>
      </c>
      <c r="D1636" s="10" t="s">
        <v>228</v>
      </c>
      <c r="E1636" s="10" t="s">
        <v>103</v>
      </c>
      <c r="F1636" s="12">
        <v>6</v>
      </c>
      <c r="G1636" s="12">
        <v>4070</v>
      </c>
      <c r="H1636" s="12">
        <v>6.2</v>
      </c>
      <c r="I1636" s="12">
        <v>22905.96</v>
      </c>
      <c r="J1636" s="10" t="s">
        <v>51</v>
      </c>
      <c r="K1636" s="10" t="s">
        <v>76</v>
      </c>
      <c r="L1636" t="str">
        <f>IFERROR(VLOOKUP(D1636,Products!A:F,3,0),"")</f>
        <v>Grocery</v>
      </c>
      <c r="M1636" t="str">
        <f>IFERROR(VLOOKUP(E1636,Sales_Reps!A:E,3,0),"")</f>
        <v>North</v>
      </c>
      <c r="N1636" t="str">
        <f>IFERROR(VLOOKUP(C1636,Customers!A:F,5,0),"")</f>
        <v>Corporate</v>
      </c>
      <c r="O1636">
        <f>IFERROR(VLOOKUP(C1636,Customers!A:F,3,0),"")</f>
        <v>60</v>
      </c>
      <c r="P1636">
        <f>IFERROR(VLOOKUP(D1636,Products!A:F,4,0),"")</f>
        <v>2027</v>
      </c>
      <c r="Q1636" t="b">
        <f>IFERROR(VLOOKUP(D1636,Products!A:F,6,0),"")</f>
        <v>1</v>
      </c>
      <c r="R1636">
        <f t="shared" si="75"/>
        <v>0.50196560196560192</v>
      </c>
      <c r="S1636">
        <f t="shared" si="76"/>
        <v>1</v>
      </c>
      <c r="T1636">
        <f>IF(AND(S1636&gt;1,COUNTIF($A$2:A1636,A1636)=1),1,0)</f>
        <v>0</v>
      </c>
      <c r="U1636">
        <f>COUNTIF(Customers!$A$2:$A$301,C1636)</f>
        <v>1</v>
      </c>
      <c r="V1636">
        <f t="shared" si="77"/>
        <v>0</v>
      </c>
    </row>
    <row r="1637" spans="1:22" ht="14.25" customHeight="1" x14ac:dyDescent="0.35">
      <c r="A1637" s="10" t="s">
        <v>2096</v>
      </c>
      <c r="B1637" s="11">
        <v>45329</v>
      </c>
      <c r="C1637" s="10" t="s">
        <v>581</v>
      </c>
      <c r="D1637" s="10" t="s">
        <v>243</v>
      </c>
      <c r="E1637" s="10" t="s">
        <v>249</v>
      </c>
      <c r="F1637" s="12">
        <v>1</v>
      </c>
      <c r="G1637" s="12">
        <v>2660</v>
      </c>
      <c r="H1637" s="12">
        <v>14.6</v>
      </c>
      <c r="I1637" s="12">
        <v>2271.64</v>
      </c>
      <c r="J1637" s="10" t="s">
        <v>51</v>
      </c>
      <c r="K1637" s="10" t="s">
        <v>76</v>
      </c>
      <c r="L1637" t="str">
        <f>IFERROR(VLOOKUP(D1637,Products!A:F,3,0),"")</f>
        <v>Electronics</v>
      </c>
      <c r="M1637" t="str">
        <f>IFERROR(VLOOKUP(E1637,Sales_Reps!A:E,3,0),"")</f>
        <v>East</v>
      </c>
      <c r="N1637" t="str">
        <f>IFERROR(VLOOKUP(C1637,Customers!A:F,5,0),"")</f>
        <v>SMB</v>
      </c>
      <c r="O1637">
        <f>IFERROR(VLOOKUP(C1637,Customers!A:F,3,0),"")</f>
        <v>65</v>
      </c>
      <c r="P1637">
        <f>IFERROR(VLOOKUP(D1637,Products!A:F,4,0),"")</f>
        <v>1259</v>
      </c>
      <c r="Q1637" t="b">
        <f>IFERROR(VLOOKUP(D1637,Products!A:F,6,0),"")</f>
        <v>0</v>
      </c>
      <c r="R1637">
        <f t="shared" si="75"/>
        <v>0.52669172932330832</v>
      </c>
      <c r="S1637">
        <f t="shared" si="76"/>
        <v>1</v>
      </c>
      <c r="T1637">
        <f>IF(AND(S1637&gt;1,COUNTIF($A$2:A1637,A1637)=1),1,0)</f>
        <v>0</v>
      </c>
      <c r="U1637">
        <f>COUNTIF(Customers!$A$2:$A$301,C1637)</f>
        <v>1</v>
      </c>
      <c r="V1637">
        <f t="shared" si="77"/>
        <v>0</v>
      </c>
    </row>
    <row r="1638" spans="1:22" ht="14.25" customHeight="1" x14ac:dyDescent="0.35">
      <c r="A1638" s="10" t="s">
        <v>2097</v>
      </c>
      <c r="B1638" s="11">
        <v>45378</v>
      </c>
      <c r="C1638" s="10" t="s">
        <v>114</v>
      </c>
      <c r="D1638" s="10" t="s">
        <v>259</v>
      </c>
      <c r="E1638" s="10" t="s">
        <v>112</v>
      </c>
      <c r="F1638" s="12">
        <v>3</v>
      </c>
      <c r="G1638" s="12">
        <v>2030</v>
      </c>
      <c r="H1638" s="12">
        <v>13.3</v>
      </c>
      <c r="I1638" s="12">
        <v>5280.03</v>
      </c>
      <c r="J1638" s="10" t="s">
        <v>104</v>
      </c>
      <c r="K1638" s="10" t="s">
        <v>52</v>
      </c>
      <c r="L1638" t="str">
        <f>IFERROR(VLOOKUP(D1638,Products!A:F,3,0),"")</f>
        <v>Home</v>
      </c>
      <c r="M1638" t="str">
        <f>IFERROR(VLOOKUP(E1638,Sales_Reps!A:E,3,0),"")</f>
        <v>North</v>
      </c>
      <c r="N1638" t="str">
        <f>IFERROR(VLOOKUP(C1638,Customers!A:F,5,0),"")</f>
        <v>Retail</v>
      </c>
      <c r="O1638">
        <f>IFERROR(VLOOKUP(C1638,Customers!A:F,3,0),"")</f>
        <v>63</v>
      </c>
      <c r="P1638">
        <f>IFERROR(VLOOKUP(D1638,Products!A:F,4,0),"")</f>
        <v>1143</v>
      </c>
      <c r="Q1638" t="b">
        <f>IFERROR(VLOOKUP(D1638,Products!A:F,6,0),"")</f>
        <v>1</v>
      </c>
      <c r="R1638">
        <f t="shared" si="75"/>
        <v>0.43694581280788175</v>
      </c>
      <c r="S1638">
        <f t="shared" si="76"/>
        <v>1</v>
      </c>
      <c r="T1638">
        <f>IF(AND(S1638&gt;1,COUNTIF($A$2:A1638,A1638)=1),1,0)</f>
        <v>0</v>
      </c>
      <c r="U1638">
        <f>COUNTIF(Customers!$A$2:$A$301,C1638)</f>
        <v>1</v>
      </c>
      <c r="V1638">
        <f t="shared" si="77"/>
        <v>0</v>
      </c>
    </row>
    <row r="1639" spans="1:22" ht="14.25" customHeight="1" x14ac:dyDescent="0.35">
      <c r="A1639" s="10" t="s">
        <v>2098</v>
      </c>
      <c r="B1639" s="11">
        <v>45393</v>
      </c>
      <c r="C1639" s="10" t="s">
        <v>292</v>
      </c>
      <c r="D1639" s="10" t="s">
        <v>66</v>
      </c>
      <c r="E1639" s="10" t="s">
        <v>179</v>
      </c>
      <c r="F1639" s="12">
        <v>4</v>
      </c>
      <c r="G1639" s="12">
        <v>3660</v>
      </c>
      <c r="H1639" s="12">
        <v>2.2000000000000002</v>
      </c>
      <c r="I1639" s="12">
        <v>14317.92</v>
      </c>
      <c r="J1639" s="10" t="s">
        <v>51</v>
      </c>
      <c r="K1639" s="10" t="s">
        <v>58</v>
      </c>
      <c r="L1639" t="str">
        <f>IFERROR(VLOOKUP(D1639,Products!A:F,3,0),"")</f>
        <v>Grocery</v>
      </c>
      <c r="M1639" t="str">
        <f>IFERROR(VLOOKUP(E1639,Sales_Reps!A:E,3,0),"")</f>
        <v>North</v>
      </c>
      <c r="N1639" t="str">
        <f>IFERROR(VLOOKUP(C1639,Customers!A:F,5,0),"")</f>
        <v>Retail</v>
      </c>
      <c r="O1639">
        <f>IFERROR(VLOOKUP(C1639,Customers!A:F,3,0),"")</f>
        <v>28</v>
      </c>
      <c r="P1639">
        <f>IFERROR(VLOOKUP(D1639,Products!A:F,4,0),"")</f>
        <v>2214</v>
      </c>
      <c r="Q1639" t="b">
        <f>IFERROR(VLOOKUP(D1639,Products!A:F,6,0),"")</f>
        <v>0</v>
      </c>
      <c r="R1639">
        <f t="shared" si="75"/>
        <v>0.39508196721311473</v>
      </c>
      <c r="S1639">
        <f t="shared" si="76"/>
        <v>1</v>
      </c>
      <c r="T1639">
        <f>IF(AND(S1639&gt;1,COUNTIF($A$2:A1639,A1639)=1),1,0)</f>
        <v>0</v>
      </c>
      <c r="U1639">
        <f>COUNTIF(Customers!$A$2:$A$301,C1639)</f>
        <v>1</v>
      </c>
      <c r="V1639">
        <f t="shared" si="77"/>
        <v>0</v>
      </c>
    </row>
    <row r="1640" spans="1:22" ht="14.25" customHeight="1" x14ac:dyDescent="0.35">
      <c r="A1640" s="10" t="s">
        <v>2099</v>
      </c>
      <c r="B1640" s="11">
        <v>45364</v>
      </c>
      <c r="C1640" s="10" t="s">
        <v>178</v>
      </c>
      <c r="D1640" s="10" t="s">
        <v>243</v>
      </c>
      <c r="E1640" s="10" t="s">
        <v>67</v>
      </c>
      <c r="F1640" s="12">
        <v>2</v>
      </c>
      <c r="G1640" s="12">
        <v>2660</v>
      </c>
      <c r="H1640" s="12">
        <v>7.2</v>
      </c>
      <c r="I1640" s="12">
        <v>4936.96</v>
      </c>
      <c r="J1640" s="10" t="s">
        <v>104</v>
      </c>
      <c r="K1640" s="10" t="s">
        <v>81</v>
      </c>
      <c r="L1640" t="str">
        <f>IFERROR(VLOOKUP(D1640,Products!A:F,3,0),"")</f>
        <v>Electronics</v>
      </c>
      <c r="M1640" t="str">
        <f>IFERROR(VLOOKUP(E1640,Sales_Reps!A:E,3,0),"")</f>
        <v>North</v>
      </c>
      <c r="N1640" t="str">
        <f>IFERROR(VLOOKUP(C1640,Customers!A:F,5,0),"")</f>
        <v>Retail</v>
      </c>
      <c r="O1640">
        <f>IFERROR(VLOOKUP(C1640,Customers!A:F,3,0),"")</f>
        <v>42</v>
      </c>
      <c r="P1640">
        <f>IFERROR(VLOOKUP(D1640,Products!A:F,4,0),"")</f>
        <v>1259</v>
      </c>
      <c r="Q1640" t="b">
        <f>IFERROR(VLOOKUP(D1640,Products!A:F,6,0),"")</f>
        <v>0</v>
      </c>
      <c r="R1640">
        <f t="shared" si="75"/>
        <v>0.52669172932330832</v>
      </c>
      <c r="S1640">
        <f t="shared" si="76"/>
        <v>1</v>
      </c>
      <c r="T1640">
        <f>IF(AND(S1640&gt;1,COUNTIF($A$2:A1640,A1640)=1),1,0)</f>
        <v>0</v>
      </c>
      <c r="U1640">
        <f>COUNTIF(Customers!$A$2:$A$301,C1640)</f>
        <v>1</v>
      </c>
      <c r="V1640">
        <f t="shared" si="77"/>
        <v>0</v>
      </c>
    </row>
    <row r="1641" spans="1:22" ht="14.25" customHeight="1" x14ac:dyDescent="0.35">
      <c r="A1641" s="10" t="s">
        <v>2100</v>
      </c>
      <c r="B1641" s="11">
        <v>45624</v>
      </c>
      <c r="C1641" s="10" t="s">
        <v>501</v>
      </c>
      <c r="D1641" s="10" t="s">
        <v>148</v>
      </c>
      <c r="E1641" s="10" t="s">
        <v>216</v>
      </c>
      <c r="F1641" s="12">
        <v>2</v>
      </c>
      <c r="G1641" s="12">
        <v>4880</v>
      </c>
      <c r="H1641" s="12">
        <v>23.8</v>
      </c>
      <c r="I1641" s="12">
        <v>7437.12</v>
      </c>
      <c r="J1641" s="10" t="s">
        <v>51</v>
      </c>
      <c r="K1641" s="10" t="s">
        <v>97</v>
      </c>
      <c r="L1641" t="str">
        <f>IFERROR(VLOOKUP(D1641,Products!A:F,3,0),"")</f>
        <v>Beauty</v>
      </c>
      <c r="M1641" t="str">
        <f>IFERROR(VLOOKUP(E1641,Sales_Reps!A:E,3,0),"")</f>
        <v>South</v>
      </c>
      <c r="N1641" t="str">
        <f>IFERROR(VLOOKUP(C1641,Customers!A:F,5,0),"")</f>
        <v>SMB</v>
      </c>
      <c r="O1641">
        <f>IFERROR(VLOOKUP(C1641,Customers!A:F,3,0),"")</f>
        <v>48</v>
      </c>
      <c r="P1641">
        <f>IFERROR(VLOOKUP(D1641,Products!A:F,4,0),"")</f>
        <v>2768</v>
      </c>
      <c r="Q1641" t="b">
        <f>IFERROR(VLOOKUP(D1641,Products!A:F,6,0),"")</f>
        <v>1</v>
      </c>
      <c r="R1641">
        <f t="shared" si="75"/>
        <v>0.43278688524590164</v>
      </c>
      <c r="S1641">
        <f t="shared" si="76"/>
        <v>1</v>
      </c>
      <c r="T1641">
        <f>IF(AND(S1641&gt;1,COUNTIF($A$2:A1641,A1641)=1),1,0)</f>
        <v>0</v>
      </c>
      <c r="U1641">
        <f>COUNTIF(Customers!$A$2:$A$301,C1641)</f>
        <v>1</v>
      </c>
      <c r="V1641">
        <f t="shared" si="77"/>
        <v>0</v>
      </c>
    </row>
    <row r="1642" spans="1:22" ht="14.25" customHeight="1" x14ac:dyDescent="0.35">
      <c r="A1642" s="10" t="s">
        <v>2101</v>
      </c>
      <c r="B1642" s="11">
        <v>45411</v>
      </c>
      <c r="C1642" s="10" t="s">
        <v>780</v>
      </c>
      <c r="D1642" s="10" t="s">
        <v>416</v>
      </c>
      <c r="E1642" s="10" t="s">
        <v>237</v>
      </c>
      <c r="F1642" s="12">
        <v>1</v>
      </c>
      <c r="G1642" s="12">
        <v>3450</v>
      </c>
      <c r="H1642" s="12">
        <v>1.7</v>
      </c>
      <c r="I1642" s="12">
        <v>3391.35</v>
      </c>
      <c r="J1642" s="10" t="s">
        <v>51</v>
      </c>
      <c r="K1642" s="10" t="s">
        <v>52</v>
      </c>
      <c r="L1642" t="str">
        <f>IFERROR(VLOOKUP(D1642,Products!A:F,3,0),"")</f>
        <v>Apparel</v>
      </c>
      <c r="M1642" t="str">
        <f>IFERROR(VLOOKUP(E1642,Sales_Reps!A:E,3,0),"")</f>
        <v>South</v>
      </c>
      <c r="N1642" t="str">
        <f>IFERROR(VLOOKUP(C1642,Customers!A:F,5,0),"")</f>
        <v>Retail</v>
      </c>
      <c r="O1642">
        <f>IFERROR(VLOOKUP(C1642,Customers!A:F,3,0),"")</f>
        <v>36</v>
      </c>
      <c r="P1642">
        <f>IFERROR(VLOOKUP(D1642,Products!A:F,4,0),"")</f>
        <v>1748</v>
      </c>
      <c r="Q1642" t="b">
        <f>IFERROR(VLOOKUP(D1642,Products!A:F,6,0),"")</f>
        <v>1</v>
      </c>
      <c r="R1642">
        <f t="shared" si="75"/>
        <v>0.49333333333333335</v>
      </c>
      <c r="S1642">
        <f t="shared" si="76"/>
        <v>1</v>
      </c>
      <c r="T1642">
        <f>IF(AND(S1642&gt;1,COUNTIF($A$2:A1642,A1642)=1),1,0)</f>
        <v>0</v>
      </c>
      <c r="U1642">
        <f>COUNTIF(Customers!$A$2:$A$301,C1642)</f>
        <v>1</v>
      </c>
      <c r="V1642">
        <f t="shared" si="77"/>
        <v>0</v>
      </c>
    </row>
    <row r="1643" spans="1:22" ht="14.25" customHeight="1" x14ac:dyDescent="0.35">
      <c r="A1643" s="10" t="s">
        <v>2102</v>
      </c>
      <c r="B1643" s="11">
        <v>45550</v>
      </c>
      <c r="C1643" s="10" t="s">
        <v>354</v>
      </c>
      <c r="D1643" s="10" t="s">
        <v>240</v>
      </c>
      <c r="E1643" s="10" t="s">
        <v>118</v>
      </c>
      <c r="F1643" s="12">
        <v>4</v>
      </c>
      <c r="G1643" s="12">
        <v>3020</v>
      </c>
      <c r="H1643" s="12">
        <v>17.8</v>
      </c>
      <c r="I1643" s="12">
        <v>9929.76</v>
      </c>
      <c r="J1643" s="10" t="s">
        <v>51</v>
      </c>
      <c r="K1643" s="10" t="s">
        <v>52</v>
      </c>
      <c r="L1643" t="str">
        <f>IFERROR(VLOOKUP(D1643,Products!A:F,3,0),"")</f>
        <v>Beauty</v>
      </c>
      <c r="M1643" t="str">
        <f>IFERROR(VLOOKUP(E1643,Sales_Reps!A:E,3,0),"")</f>
        <v>East</v>
      </c>
      <c r="N1643" t="str">
        <f>IFERROR(VLOOKUP(C1643,Customers!A:F,5,0),"")</f>
        <v>SMB</v>
      </c>
      <c r="O1643">
        <f>IFERROR(VLOOKUP(C1643,Customers!A:F,3,0),"")</f>
        <v>54</v>
      </c>
      <c r="P1643">
        <f>IFERROR(VLOOKUP(D1643,Products!A:F,4,0),"")</f>
        <v>1626</v>
      </c>
      <c r="Q1643" t="b">
        <f>IFERROR(VLOOKUP(D1643,Products!A:F,6,0),"")</f>
        <v>1</v>
      </c>
      <c r="R1643">
        <f t="shared" si="75"/>
        <v>0.46158940397350995</v>
      </c>
      <c r="S1643">
        <f t="shared" si="76"/>
        <v>1</v>
      </c>
      <c r="T1643">
        <f>IF(AND(S1643&gt;1,COUNTIF($A$2:A1643,A1643)=1),1,0)</f>
        <v>0</v>
      </c>
      <c r="U1643">
        <f>COUNTIF(Customers!$A$2:$A$301,C1643)</f>
        <v>1</v>
      </c>
      <c r="V1643">
        <f t="shared" si="77"/>
        <v>0</v>
      </c>
    </row>
    <row r="1644" spans="1:22" ht="14.25" customHeight="1" x14ac:dyDescent="0.35">
      <c r="A1644" s="10" t="s">
        <v>2103</v>
      </c>
      <c r="B1644" s="11">
        <v>45512</v>
      </c>
      <c r="C1644" s="10" t="s">
        <v>932</v>
      </c>
      <c r="D1644" s="10" t="s">
        <v>479</v>
      </c>
      <c r="E1644" s="10" t="s">
        <v>122</v>
      </c>
      <c r="F1644" s="12">
        <v>6</v>
      </c>
      <c r="G1644" s="12">
        <v>6940</v>
      </c>
      <c r="H1644" s="12">
        <v>8.9</v>
      </c>
      <c r="I1644" s="12">
        <v>37934.04</v>
      </c>
      <c r="J1644" s="10" t="s">
        <v>51</v>
      </c>
      <c r="K1644" s="10" t="s">
        <v>63</v>
      </c>
      <c r="L1644" t="str">
        <f>IFERROR(VLOOKUP(D1644,Products!A:F,3,0),"")</f>
        <v>Sports</v>
      </c>
      <c r="M1644" t="str">
        <f>IFERROR(VLOOKUP(E1644,Sales_Reps!A:E,3,0),"")</f>
        <v>East</v>
      </c>
      <c r="N1644" t="str">
        <f>IFERROR(VLOOKUP(C1644,Customers!A:F,5,0),"")</f>
        <v>Retail</v>
      </c>
      <c r="O1644">
        <f>IFERROR(VLOOKUP(C1644,Customers!A:F,3,0),"")</f>
        <v>47</v>
      </c>
      <c r="P1644">
        <f>IFERROR(VLOOKUP(D1644,Products!A:F,4,0),"")</f>
        <v>2827</v>
      </c>
      <c r="Q1644" t="b">
        <f>IFERROR(VLOOKUP(D1644,Products!A:F,6,0),"")</f>
        <v>1</v>
      </c>
      <c r="R1644">
        <f t="shared" si="75"/>
        <v>0.5926512968299712</v>
      </c>
      <c r="S1644">
        <f t="shared" si="76"/>
        <v>1</v>
      </c>
      <c r="T1644">
        <f>IF(AND(S1644&gt;1,COUNTIF($A$2:A1644,A1644)=1),1,0)</f>
        <v>0</v>
      </c>
      <c r="U1644">
        <f>COUNTIF(Customers!$A$2:$A$301,C1644)</f>
        <v>1</v>
      </c>
      <c r="V1644">
        <f t="shared" si="77"/>
        <v>0</v>
      </c>
    </row>
    <row r="1645" spans="1:22" ht="14.25" customHeight="1" x14ac:dyDescent="0.35">
      <c r="A1645" s="10" t="s">
        <v>2104</v>
      </c>
      <c r="B1645" s="11">
        <v>45523</v>
      </c>
      <c r="C1645" s="10" t="s">
        <v>386</v>
      </c>
      <c r="D1645" s="10" t="s">
        <v>164</v>
      </c>
      <c r="E1645" s="10" t="s">
        <v>118</v>
      </c>
      <c r="F1645" s="12">
        <v>10</v>
      </c>
      <c r="G1645" s="12">
        <v>2760</v>
      </c>
      <c r="H1645" s="12">
        <v>8.9</v>
      </c>
      <c r="I1645" s="12">
        <v>25143.599999999999</v>
      </c>
      <c r="J1645" s="10" t="s">
        <v>51</v>
      </c>
      <c r="K1645" s="10" t="s">
        <v>58</v>
      </c>
      <c r="L1645" t="str">
        <f>IFERROR(VLOOKUP(D1645,Products!A:F,3,0),"")</f>
        <v>Grocery</v>
      </c>
      <c r="M1645" t="str">
        <f>IFERROR(VLOOKUP(E1645,Sales_Reps!A:E,3,0),"")</f>
        <v>East</v>
      </c>
      <c r="N1645" t="str">
        <f>IFERROR(VLOOKUP(C1645,Customers!A:F,5,0),"")</f>
        <v>SMB</v>
      </c>
      <c r="O1645">
        <f>IFERROR(VLOOKUP(C1645,Customers!A:F,3,0),"")</f>
        <v>64</v>
      </c>
      <c r="P1645">
        <f>IFERROR(VLOOKUP(D1645,Products!A:F,4,0),"")</f>
        <v>1435</v>
      </c>
      <c r="Q1645" t="b">
        <f>IFERROR(VLOOKUP(D1645,Products!A:F,6,0),"")</f>
        <v>1</v>
      </c>
      <c r="R1645">
        <f t="shared" si="75"/>
        <v>0.48007246376811596</v>
      </c>
      <c r="S1645">
        <f t="shared" si="76"/>
        <v>1</v>
      </c>
      <c r="T1645">
        <f>IF(AND(S1645&gt;1,COUNTIF($A$2:A1645,A1645)=1),1,0)</f>
        <v>0</v>
      </c>
      <c r="U1645">
        <f>COUNTIF(Customers!$A$2:$A$301,C1645)</f>
        <v>1</v>
      </c>
      <c r="V1645">
        <f t="shared" si="77"/>
        <v>0</v>
      </c>
    </row>
    <row r="1646" spans="1:22" ht="14.25" customHeight="1" x14ac:dyDescent="0.35">
      <c r="A1646" s="10" t="s">
        <v>2105</v>
      </c>
      <c r="B1646" s="11">
        <v>45310</v>
      </c>
      <c r="C1646" s="10" t="s">
        <v>391</v>
      </c>
      <c r="D1646" s="10" t="s">
        <v>344</v>
      </c>
      <c r="E1646" s="10" t="s">
        <v>156</v>
      </c>
      <c r="F1646" s="12">
        <v>8</v>
      </c>
      <c r="G1646" s="12">
        <v>960</v>
      </c>
      <c r="H1646" s="12">
        <v>20.9</v>
      </c>
      <c r="I1646" s="12">
        <v>6074.88</v>
      </c>
      <c r="J1646" s="10" t="s">
        <v>51</v>
      </c>
      <c r="K1646" s="10" t="s">
        <v>52</v>
      </c>
      <c r="L1646" t="str">
        <f>IFERROR(VLOOKUP(D1646,Products!A:F,3,0),"")</f>
        <v>Beauty</v>
      </c>
      <c r="M1646" t="str">
        <f>IFERROR(VLOOKUP(E1646,Sales_Reps!A:E,3,0),"")</f>
        <v>East</v>
      </c>
      <c r="N1646" t="str">
        <f>IFERROR(VLOOKUP(C1646,Customers!A:F,5,0),"")</f>
        <v>Corporate</v>
      </c>
      <c r="O1646">
        <f>IFERROR(VLOOKUP(C1646,Customers!A:F,3,0),"")</f>
        <v>48</v>
      </c>
      <c r="P1646">
        <f>IFERROR(VLOOKUP(D1646,Products!A:F,4,0),"")</f>
        <v>675</v>
      </c>
      <c r="Q1646" t="b">
        <f>IFERROR(VLOOKUP(D1646,Products!A:F,6,0),"")</f>
        <v>1</v>
      </c>
      <c r="R1646">
        <f t="shared" si="75"/>
        <v>0.296875</v>
      </c>
      <c r="S1646">
        <f t="shared" si="76"/>
        <v>1</v>
      </c>
      <c r="T1646">
        <f>IF(AND(S1646&gt;1,COUNTIF($A$2:A1646,A1646)=1),1,0)</f>
        <v>0</v>
      </c>
      <c r="U1646">
        <f>COUNTIF(Customers!$A$2:$A$301,C1646)</f>
        <v>1</v>
      </c>
      <c r="V1646">
        <f t="shared" si="77"/>
        <v>0</v>
      </c>
    </row>
    <row r="1647" spans="1:22" ht="14.25" customHeight="1" x14ac:dyDescent="0.35">
      <c r="A1647" s="10" t="s">
        <v>2106</v>
      </c>
      <c r="B1647" s="11">
        <v>45498</v>
      </c>
      <c r="C1647" s="10" t="s">
        <v>799</v>
      </c>
      <c r="D1647" s="10" t="s">
        <v>344</v>
      </c>
      <c r="E1647" s="10" t="s">
        <v>289</v>
      </c>
      <c r="F1647" s="12">
        <v>4</v>
      </c>
      <c r="G1647" s="12">
        <v>960</v>
      </c>
      <c r="H1647" s="12">
        <v>29.1</v>
      </c>
      <c r="I1647" s="12">
        <v>2722.56</v>
      </c>
      <c r="J1647" s="10" t="s">
        <v>51</v>
      </c>
      <c r="K1647" s="10" t="s">
        <v>81</v>
      </c>
      <c r="L1647" t="str">
        <f>IFERROR(VLOOKUP(D1647,Products!A:F,3,0),"")</f>
        <v>Beauty</v>
      </c>
      <c r="M1647" t="str">
        <f>IFERROR(VLOOKUP(E1647,Sales_Reps!A:E,3,0),"")</f>
        <v>South</v>
      </c>
      <c r="N1647" t="str">
        <f>IFERROR(VLOOKUP(C1647,Customers!A:F,5,0),"")</f>
        <v>Retail</v>
      </c>
      <c r="O1647">
        <f>IFERROR(VLOOKUP(C1647,Customers!A:F,3,0),"")</f>
        <v>52</v>
      </c>
      <c r="P1647">
        <f>IFERROR(VLOOKUP(D1647,Products!A:F,4,0),"")</f>
        <v>675</v>
      </c>
      <c r="Q1647" t="b">
        <f>IFERROR(VLOOKUP(D1647,Products!A:F,6,0),"")</f>
        <v>1</v>
      </c>
      <c r="R1647">
        <f t="shared" si="75"/>
        <v>0.296875</v>
      </c>
      <c r="S1647">
        <f t="shared" si="76"/>
        <v>1</v>
      </c>
      <c r="T1647">
        <f>IF(AND(S1647&gt;1,COUNTIF($A$2:A1647,A1647)=1),1,0)</f>
        <v>0</v>
      </c>
      <c r="U1647">
        <f>COUNTIF(Customers!$A$2:$A$301,C1647)</f>
        <v>1</v>
      </c>
      <c r="V1647">
        <f t="shared" si="77"/>
        <v>0</v>
      </c>
    </row>
    <row r="1648" spans="1:22" ht="14.25" customHeight="1" x14ac:dyDescent="0.35">
      <c r="A1648" s="10" t="s">
        <v>2107</v>
      </c>
      <c r="B1648" s="11">
        <v>45410</v>
      </c>
      <c r="C1648" s="10" t="s">
        <v>393</v>
      </c>
      <c r="D1648" s="10" t="s">
        <v>91</v>
      </c>
      <c r="E1648" s="10" t="s">
        <v>122</v>
      </c>
      <c r="F1648" s="12">
        <v>1</v>
      </c>
      <c r="G1648" s="12">
        <v>970</v>
      </c>
      <c r="H1648" s="12">
        <v>8.4</v>
      </c>
      <c r="I1648" s="12">
        <v>888.52</v>
      </c>
      <c r="J1648" s="10" t="s">
        <v>104</v>
      </c>
      <c r="K1648" s="10" t="s">
        <v>81</v>
      </c>
      <c r="L1648" t="str">
        <f>IFERROR(VLOOKUP(D1648,Products!A:F,3,0),"")</f>
        <v>Grocery</v>
      </c>
      <c r="M1648" t="str">
        <f>IFERROR(VLOOKUP(E1648,Sales_Reps!A:E,3,0),"")</f>
        <v>East</v>
      </c>
      <c r="N1648" t="str">
        <f>IFERROR(VLOOKUP(C1648,Customers!A:F,5,0),"")</f>
        <v>Retail</v>
      </c>
      <c r="O1648">
        <f>IFERROR(VLOOKUP(C1648,Customers!A:F,3,0),"")</f>
        <v>55</v>
      </c>
      <c r="P1648">
        <f>IFERROR(VLOOKUP(D1648,Products!A:F,4,0),"")</f>
        <v>434</v>
      </c>
      <c r="Q1648" t="b">
        <f>IFERROR(VLOOKUP(D1648,Products!A:F,6,0),"")</f>
        <v>1</v>
      </c>
      <c r="R1648">
        <f t="shared" si="75"/>
        <v>0.5525773195876289</v>
      </c>
      <c r="S1648">
        <f t="shared" si="76"/>
        <v>1</v>
      </c>
      <c r="T1648">
        <f>IF(AND(S1648&gt;1,COUNTIF($A$2:A1648,A1648)=1),1,0)</f>
        <v>0</v>
      </c>
      <c r="U1648">
        <f>COUNTIF(Customers!$A$2:$A$301,C1648)</f>
        <v>1</v>
      </c>
      <c r="V1648">
        <f t="shared" si="77"/>
        <v>888.52</v>
      </c>
    </row>
    <row r="1649" spans="1:22" ht="14.25" customHeight="1" x14ac:dyDescent="0.35">
      <c r="A1649" s="10" t="s">
        <v>2108</v>
      </c>
      <c r="B1649" s="11">
        <v>45400</v>
      </c>
      <c r="C1649" s="10" t="s">
        <v>838</v>
      </c>
      <c r="D1649" s="10" t="s">
        <v>205</v>
      </c>
      <c r="E1649" s="10" t="s">
        <v>118</v>
      </c>
      <c r="F1649" s="12">
        <v>5</v>
      </c>
      <c r="G1649" s="12">
        <v>6080</v>
      </c>
      <c r="H1649" s="12">
        <v>17.600000000000001</v>
      </c>
      <c r="I1649" s="12">
        <v>25049.599999999999</v>
      </c>
      <c r="J1649" s="10" t="s">
        <v>51</v>
      </c>
      <c r="K1649" s="10" t="s">
        <v>76</v>
      </c>
      <c r="L1649" t="str">
        <f>IFERROR(VLOOKUP(D1649,Products!A:F,3,0),"")</f>
        <v>Beauty</v>
      </c>
      <c r="M1649" t="str">
        <f>IFERROR(VLOOKUP(E1649,Sales_Reps!A:E,3,0),"")</f>
        <v>East</v>
      </c>
      <c r="N1649" t="str">
        <f>IFERROR(VLOOKUP(C1649,Customers!A:F,5,0),"")</f>
        <v>Retail</v>
      </c>
      <c r="O1649">
        <f>IFERROR(VLOOKUP(C1649,Customers!A:F,3,0),"")</f>
        <v>57</v>
      </c>
      <c r="P1649">
        <f>IFERROR(VLOOKUP(D1649,Products!A:F,4,0),"")</f>
        <v>2617</v>
      </c>
      <c r="Q1649" t="b">
        <f>IFERROR(VLOOKUP(D1649,Products!A:F,6,0),"")</f>
        <v>1</v>
      </c>
      <c r="R1649">
        <f t="shared" si="75"/>
        <v>0.56957236842105263</v>
      </c>
      <c r="S1649">
        <f t="shared" si="76"/>
        <v>1</v>
      </c>
      <c r="T1649">
        <f>IF(AND(S1649&gt;1,COUNTIF($A$2:A1649,A1649)=1),1,0)</f>
        <v>0</v>
      </c>
      <c r="U1649">
        <f>COUNTIF(Customers!$A$2:$A$301,C1649)</f>
        <v>1</v>
      </c>
      <c r="V1649">
        <f t="shared" si="77"/>
        <v>0</v>
      </c>
    </row>
    <row r="1650" spans="1:22" ht="14.25" customHeight="1" x14ac:dyDescent="0.35">
      <c r="A1650" s="10" t="s">
        <v>2109</v>
      </c>
      <c r="B1650" s="11">
        <v>45525</v>
      </c>
      <c r="C1650" s="10" t="s">
        <v>932</v>
      </c>
      <c r="D1650" s="10" t="s">
        <v>66</v>
      </c>
      <c r="E1650" s="10" t="s">
        <v>216</v>
      </c>
      <c r="F1650" s="12">
        <v>4</v>
      </c>
      <c r="G1650" s="12">
        <v>3660</v>
      </c>
      <c r="H1650" s="12">
        <v>21.8</v>
      </c>
      <c r="I1650" s="12">
        <v>11448.48</v>
      </c>
      <c r="J1650" s="10" t="s">
        <v>57</v>
      </c>
      <c r="K1650" s="10" t="s">
        <v>63</v>
      </c>
      <c r="L1650" t="str">
        <f>IFERROR(VLOOKUP(D1650,Products!A:F,3,0),"")</f>
        <v>Grocery</v>
      </c>
      <c r="M1650" t="str">
        <f>IFERROR(VLOOKUP(E1650,Sales_Reps!A:E,3,0),"")</f>
        <v>South</v>
      </c>
      <c r="N1650" t="str">
        <f>IFERROR(VLOOKUP(C1650,Customers!A:F,5,0),"")</f>
        <v>Retail</v>
      </c>
      <c r="O1650">
        <f>IFERROR(VLOOKUP(C1650,Customers!A:F,3,0),"")</f>
        <v>47</v>
      </c>
      <c r="P1650">
        <f>IFERROR(VLOOKUP(D1650,Products!A:F,4,0),"")</f>
        <v>2214</v>
      </c>
      <c r="Q1650" t="b">
        <f>IFERROR(VLOOKUP(D1650,Products!A:F,6,0),"")</f>
        <v>0</v>
      </c>
      <c r="R1650">
        <f t="shared" si="75"/>
        <v>0.39508196721311473</v>
      </c>
      <c r="S1650">
        <f t="shared" si="76"/>
        <v>1</v>
      </c>
      <c r="T1650">
        <f>IF(AND(S1650&gt;1,COUNTIF($A$2:A1650,A1650)=1),1,0)</f>
        <v>0</v>
      </c>
      <c r="U1650">
        <f>COUNTIF(Customers!$A$2:$A$301,C1650)</f>
        <v>1</v>
      </c>
      <c r="V1650">
        <f t="shared" si="77"/>
        <v>0</v>
      </c>
    </row>
    <row r="1651" spans="1:22" ht="14.25" customHeight="1" x14ac:dyDescent="0.35">
      <c r="A1651" s="10" t="s">
        <v>2110</v>
      </c>
      <c r="B1651" s="11">
        <v>45462</v>
      </c>
      <c r="C1651" s="10" t="s">
        <v>282</v>
      </c>
      <c r="D1651" s="10" t="s">
        <v>190</v>
      </c>
      <c r="E1651" s="10" t="s">
        <v>71</v>
      </c>
      <c r="F1651" s="12">
        <v>6</v>
      </c>
      <c r="G1651" s="12">
        <v>3730</v>
      </c>
      <c r="H1651" s="12">
        <v>13.3</v>
      </c>
      <c r="I1651" s="12">
        <v>19403.46</v>
      </c>
      <c r="J1651" s="10" t="s">
        <v>104</v>
      </c>
      <c r="K1651" s="10" t="s">
        <v>58</v>
      </c>
      <c r="L1651" t="str">
        <f>IFERROR(VLOOKUP(D1651,Products!A:F,3,0),"")</f>
        <v>Home</v>
      </c>
      <c r="M1651" t="str">
        <f>IFERROR(VLOOKUP(E1651,Sales_Reps!A:E,3,0),"")</f>
        <v>North</v>
      </c>
      <c r="N1651" t="str">
        <f>IFERROR(VLOOKUP(C1651,Customers!A:F,5,0),"")</f>
        <v>SMB</v>
      </c>
      <c r="O1651">
        <f>IFERROR(VLOOKUP(C1651,Customers!A:F,3,0),"")</f>
        <v>57</v>
      </c>
      <c r="P1651">
        <f>IFERROR(VLOOKUP(D1651,Products!A:F,4,0),"")</f>
        <v>2135</v>
      </c>
      <c r="Q1651" t="b">
        <f>IFERROR(VLOOKUP(D1651,Products!A:F,6,0),"")</f>
        <v>1</v>
      </c>
      <c r="R1651">
        <f t="shared" si="75"/>
        <v>0.42761394101876676</v>
      </c>
      <c r="S1651">
        <f t="shared" si="76"/>
        <v>1</v>
      </c>
      <c r="T1651">
        <f>IF(AND(S1651&gt;1,COUNTIF($A$2:A1651,A1651)=1),1,0)</f>
        <v>0</v>
      </c>
      <c r="U1651">
        <f>COUNTIF(Customers!$A$2:$A$301,C1651)</f>
        <v>1</v>
      </c>
      <c r="V1651">
        <f t="shared" si="77"/>
        <v>0</v>
      </c>
    </row>
    <row r="1652" spans="1:22" ht="14.25" customHeight="1" x14ac:dyDescent="0.35">
      <c r="A1652" s="10" t="s">
        <v>2111</v>
      </c>
      <c r="B1652" s="11">
        <v>45625</v>
      </c>
      <c r="C1652" s="10" t="s">
        <v>222</v>
      </c>
      <c r="D1652" s="10" t="s">
        <v>212</v>
      </c>
      <c r="E1652" s="10" t="s">
        <v>193</v>
      </c>
      <c r="F1652" s="12">
        <v>8</v>
      </c>
      <c r="G1652" s="12">
        <v>3870</v>
      </c>
      <c r="H1652" s="12">
        <v>21.2</v>
      </c>
      <c r="I1652" s="12">
        <v>24396.48</v>
      </c>
      <c r="J1652" s="10" t="s">
        <v>57</v>
      </c>
      <c r="K1652" s="10" t="s">
        <v>63</v>
      </c>
      <c r="L1652" t="str">
        <f>IFERROR(VLOOKUP(D1652,Products!A:F,3,0),"")</f>
        <v>Electronics</v>
      </c>
      <c r="M1652" t="str">
        <f>IFERROR(VLOOKUP(E1652,Sales_Reps!A:E,3,0),"")</f>
        <v>West</v>
      </c>
      <c r="N1652" t="str">
        <f>IFERROR(VLOOKUP(C1652,Customers!A:F,5,0),"")</f>
        <v>SMB</v>
      </c>
      <c r="O1652">
        <f>IFERROR(VLOOKUP(C1652,Customers!A:F,3,0),"")</f>
        <v>55</v>
      </c>
      <c r="P1652">
        <f>IFERROR(VLOOKUP(D1652,Products!A:F,4,0),"")</f>
        <v>1559</v>
      </c>
      <c r="Q1652" t="b">
        <f>IFERROR(VLOOKUP(D1652,Products!A:F,6,0),"")</f>
        <v>1</v>
      </c>
      <c r="R1652">
        <f t="shared" si="75"/>
        <v>0.59715762273901807</v>
      </c>
      <c r="S1652">
        <f t="shared" si="76"/>
        <v>1</v>
      </c>
      <c r="T1652">
        <f>IF(AND(S1652&gt;1,COUNTIF($A$2:A1652,A1652)=1),1,0)</f>
        <v>0</v>
      </c>
      <c r="U1652">
        <f>COUNTIF(Customers!$A$2:$A$301,C1652)</f>
        <v>1</v>
      </c>
      <c r="V1652">
        <f t="shared" si="77"/>
        <v>0</v>
      </c>
    </row>
    <row r="1653" spans="1:22" ht="14.25" customHeight="1" x14ac:dyDescent="0.35">
      <c r="A1653" s="10" t="s">
        <v>2112</v>
      </c>
      <c r="B1653" s="11">
        <v>45390</v>
      </c>
      <c r="C1653" s="10" t="s">
        <v>380</v>
      </c>
      <c r="D1653" s="10" t="s">
        <v>164</v>
      </c>
      <c r="E1653" s="10" t="s">
        <v>310</v>
      </c>
      <c r="F1653" s="12">
        <v>4</v>
      </c>
      <c r="G1653" s="12">
        <v>2760</v>
      </c>
      <c r="H1653" s="12">
        <v>14</v>
      </c>
      <c r="I1653" s="12">
        <v>9494.4</v>
      </c>
      <c r="J1653" s="10" t="s">
        <v>51</v>
      </c>
      <c r="K1653" s="10" t="s">
        <v>81</v>
      </c>
      <c r="L1653" t="str">
        <f>IFERROR(VLOOKUP(D1653,Products!A:F,3,0),"")</f>
        <v>Grocery</v>
      </c>
      <c r="M1653" t="str">
        <f>IFERROR(VLOOKUP(E1653,Sales_Reps!A:E,3,0),"")</f>
        <v>South</v>
      </c>
      <c r="N1653" t="str">
        <f>IFERROR(VLOOKUP(C1653,Customers!A:F,5,0),"")</f>
        <v>Corporate</v>
      </c>
      <c r="O1653">
        <f>IFERROR(VLOOKUP(C1653,Customers!A:F,3,0),"")</f>
        <v>42</v>
      </c>
      <c r="P1653">
        <f>IFERROR(VLOOKUP(D1653,Products!A:F,4,0),"")</f>
        <v>1435</v>
      </c>
      <c r="Q1653" t="b">
        <f>IFERROR(VLOOKUP(D1653,Products!A:F,6,0),"")</f>
        <v>1</v>
      </c>
      <c r="R1653">
        <f t="shared" si="75"/>
        <v>0.48007246376811596</v>
      </c>
      <c r="S1653">
        <f t="shared" si="76"/>
        <v>1</v>
      </c>
      <c r="T1653">
        <f>IF(AND(S1653&gt;1,COUNTIF($A$2:A1653,A1653)=1),1,0)</f>
        <v>0</v>
      </c>
      <c r="U1653">
        <f>COUNTIF(Customers!$A$2:$A$301,C1653)</f>
        <v>1</v>
      </c>
      <c r="V1653">
        <f t="shared" si="77"/>
        <v>9494.4</v>
      </c>
    </row>
    <row r="1654" spans="1:22" ht="14.25" customHeight="1" x14ac:dyDescent="0.35">
      <c r="A1654" s="10" t="s">
        <v>2113</v>
      </c>
      <c r="B1654" s="11">
        <v>45597</v>
      </c>
      <c r="C1654" s="10" t="s">
        <v>172</v>
      </c>
      <c r="D1654" s="10" t="s">
        <v>331</v>
      </c>
      <c r="E1654" s="10" t="s">
        <v>156</v>
      </c>
      <c r="F1654" s="12">
        <v>5</v>
      </c>
      <c r="G1654" s="12">
        <v>2380</v>
      </c>
      <c r="H1654" s="12">
        <v>16.399999999999999</v>
      </c>
      <c r="I1654" s="12">
        <v>9948.4</v>
      </c>
      <c r="J1654" s="10" t="s">
        <v>51</v>
      </c>
      <c r="K1654" s="10" t="s">
        <v>97</v>
      </c>
      <c r="L1654" t="str">
        <f>IFERROR(VLOOKUP(D1654,Products!A:F,3,0),"")</f>
        <v>Grocery</v>
      </c>
      <c r="M1654" t="str">
        <f>IFERROR(VLOOKUP(E1654,Sales_Reps!A:E,3,0),"")</f>
        <v>East</v>
      </c>
      <c r="N1654" t="str">
        <f>IFERROR(VLOOKUP(C1654,Customers!A:F,5,0),"")</f>
        <v>Retail</v>
      </c>
      <c r="O1654">
        <f>IFERROR(VLOOKUP(C1654,Customers!A:F,3,0),"")</f>
        <v>26</v>
      </c>
      <c r="P1654">
        <f>IFERROR(VLOOKUP(D1654,Products!A:F,4,0),"")</f>
        <v>1182</v>
      </c>
      <c r="Q1654" t="b">
        <f>IFERROR(VLOOKUP(D1654,Products!A:F,6,0),"")</f>
        <v>1</v>
      </c>
      <c r="R1654">
        <f t="shared" si="75"/>
        <v>0.50336134453781511</v>
      </c>
      <c r="S1654">
        <f t="shared" si="76"/>
        <v>1</v>
      </c>
      <c r="T1654">
        <f>IF(AND(S1654&gt;1,COUNTIF($A$2:A1654,A1654)=1),1,0)</f>
        <v>0</v>
      </c>
      <c r="U1654">
        <f>COUNTIF(Customers!$A$2:$A$301,C1654)</f>
        <v>1</v>
      </c>
      <c r="V1654">
        <f t="shared" si="77"/>
        <v>0</v>
      </c>
    </row>
    <row r="1655" spans="1:22" ht="14.25" customHeight="1" x14ac:dyDescent="0.35">
      <c r="A1655" s="10" t="s">
        <v>2114</v>
      </c>
      <c r="B1655" s="11">
        <v>45307</v>
      </c>
      <c r="C1655" s="10" t="s">
        <v>2115</v>
      </c>
      <c r="D1655" s="10" t="s">
        <v>205</v>
      </c>
      <c r="E1655" s="10" t="s">
        <v>152</v>
      </c>
      <c r="F1655" s="12">
        <v>2</v>
      </c>
      <c r="G1655" s="12">
        <v>6080</v>
      </c>
      <c r="H1655" s="12">
        <v>20.100000000000001</v>
      </c>
      <c r="I1655" s="12">
        <v>9715.84</v>
      </c>
      <c r="J1655" s="10" t="s">
        <v>104</v>
      </c>
      <c r="K1655" s="10" t="s">
        <v>76</v>
      </c>
      <c r="L1655" t="str">
        <f>IFERROR(VLOOKUP(D1655,Products!A:F,3,0),"")</f>
        <v>Beauty</v>
      </c>
      <c r="M1655" t="str">
        <f>IFERROR(VLOOKUP(E1655,Sales_Reps!A:E,3,0),"")</f>
        <v>South</v>
      </c>
      <c r="N1655" t="str">
        <f>IFERROR(VLOOKUP(C1655,Customers!A:F,5,0),"")</f>
        <v/>
      </c>
      <c r="O1655" t="str">
        <f>IFERROR(VLOOKUP(C1655,Customers!A:F,3,0),"")</f>
        <v/>
      </c>
      <c r="P1655">
        <f>IFERROR(VLOOKUP(D1655,Products!A:F,4,0),"")</f>
        <v>2617</v>
      </c>
      <c r="Q1655" t="b">
        <f>IFERROR(VLOOKUP(D1655,Products!A:F,6,0),"")</f>
        <v>1</v>
      </c>
      <c r="R1655">
        <f t="shared" si="75"/>
        <v>0.56957236842105263</v>
      </c>
      <c r="S1655">
        <f t="shared" si="76"/>
        <v>1</v>
      </c>
      <c r="T1655">
        <f>IF(AND(S1655&gt;1,COUNTIF($A$2:A1655,A1655)=1),1,0)</f>
        <v>0</v>
      </c>
      <c r="U1655">
        <f>COUNTIF(Customers!$A$2:$A$301,C1655)</f>
        <v>0</v>
      </c>
      <c r="V1655">
        <f t="shared" si="77"/>
        <v>0</v>
      </c>
    </row>
    <row r="1656" spans="1:22" ht="14.25" customHeight="1" x14ac:dyDescent="0.35">
      <c r="A1656" s="10" t="s">
        <v>2116</v>
      </c>
      <c r="B1656" s="11">
        <v>45568</v>
      </c>
      <c r="C1656" s="10" t="s">
        <v>503</v>
      </c>
      <c r="D1656" s="10" t="s">
        <v>256</v>
      </c>
      <c r="E1656" s="10" t="s">
        <v>310</v>
      </c>
      <c r="F1656" s="12">
        <v>2</v>
      </c>
      <c r="G1656" s="12">
        <v>620</v>
      </c>
      <c r="H1656" s="12">
        <v>4.3</v>
      </c>
      <c r="I1656" s="12">
        <v>1186.68</v>
      </c>
      <c r="J1656" s="10" t="s">
        <v>51</v>
      </c>
      <c r="K1656" s="10" t="s">
        <v>97</v>
      </c>
      <c r="L1656" t="str">
        <f>IFERROR(VLOOKUP(D1656,Products!A:F,3,0),"")</f>
        <v>Apparel</v>
      </c>
      <c r="M1656" t="str">
        <f>IFERROR(VLOOKUP(E1656,Sales_Reps!A:E,3,0),"")</f>
        <v>South</v>
      </c>
      <c r="N1656" t="str">
        <f>IFERROR(VLOOKUP(C1656,Customers!A:F,5,0),"")</f>
        <v>Retail</v>
      </c>
      <c r="O1656">
        <f>IFERROR(VLOOKUP(C1656,Customers!A:F,3,0),"")</f>
        <v>38</v>
      </c>
      <c r="P1656">
        <f>IFERROR(VLOOKUP(D1656,Products!A:F,4,0),"")</f>
        <v>396</v>
      </c>
      <c r="Q1656" t="b">
        <f>IFERROR(VLOOKUP(D1656,Products!A:F,6,0),"")</f>
        <v>1</v>
      </c>
      <c r="R1656">
        <f t="shared" si="75"/>
        <v>0.36129032258064514</v>
      </c>
      <c r="S1656">
        <f t="shared" si="76"/>
        <v>1</v>
      </c>
      <c r="T1656">
        <f>IF(AND(S1656&gt;1,COUNTIF($A$2:A1656,A1656)=1),1,0)</f>
        <v>0</v>
      </c>
      <c r="U1656">
        <f>COUNTIF(Customers!$A$2:$A$301,C1656)</f>
        <v>1</v>
      </c>
      <c r="V1656">
        <f t="shared" si="77"/>
        <v>0</v>
      </c>
    </row>
    <row r="1657" spans="1:22" ht="14.25" customHeight="1" x14ac:dyDescent="0.35">
      <c r="A1657" s="10" t="s">
        <v>2117</v>
      </c>
      <c r="B1657" s="11">
        <v>45654</v>
      </c>
      <c r="C1657" s="10" t="s">
        <v>436</v>
      </c>
      <c r="D1657" s="10" t="s">
        <v>212</v>
      </c>
      <c r="E1657" s="10" t="s">
        <v>289</v>
      </c>
      <c r="F1657" s="12">
        <v>7</v>
      </c>
      <c r="G1657" s="12">
        <v>3870</v>
      </c>
      <c r="H1657" s="12">
        <v>5.9</v>
      </c>
      <c r="I1657" s="12">
        <v>25491.69</v>
      </c>
      <c r="J1657" s="10" t="s">
        <v>51</v>
      </c>
      <c r="K1657" s="10" t="s">
        <v>58</v>
      </c>
      <c r="L1657" t="str">
        <f>IFERROR(VLOOKUP(D1657,Products!A:F,3,0),"")</f>
        <v>Electronics</v>
      </c>
      <c r="M1657" t="str">
        <f>IFERROR(VLOOKUP(E1657,Sales_Reps!A:E,3,0),"")</f>
        <v>South</v>
      </c>
      <c r="N1657" t="str">
        <f>IFERROR(VLOOKUP(C1657,Customers!A:F,5,0),"")</f>
        <v>Corporate</v>
      </c>
      <c r="O1657">
        <f>IFERROR(VLOOKUP(C1657,Customers!A:F,3,0),"")</f>
        <v>35</v>
      </c>
      <c r="P1657">
        <f>IFERROR(VLOOKUP(D1657,Products!A:F,4,0),"")</f>
        <v>1559</v>
      </c>
      <c r="Q1657" t="b">
        <f>IFERROR(VLOOKUP(D1657,Products!A:F,6,0),"")</f>
        <v>1</v>
      </c>
      <c r="R1657">
        <f t="shared" si="75"/>
        <v>0.59715762273901807</v>
      </c>
      <c r="S1657">
        <f t="shared" si="76"/>
        <v>1</v>
      </c>
      <c r="T1657">
        <f>IF(AND(S1657&gt;1,COUNTIF($A$2:A1657,A1657)=1),1,0)</f>
        <v>0</v>
      </c>
      <c r="U1657">
        <f>COUNTIF(Customers!$A$2:$A$301,C1657)</f>
        <v>1</v>
      </c>
      <c r="V1657">
        <f t="shared" si="77"/>
        <v>0</v>
      </c>
    </row>
    <row r="1658" spans="1:22" ht="14.25" customHeight="1" x14ac:dyDescent="0.35">
      <c r="A1658" s="10" t="s">
        <v>2118</v>
      </c>
      <c r="B1658" s="11">
        <v>45412</v>
      </c>
      <c r="C1658" s="10" t="s">
        <v>970</v>
      </c>
      <c r="D1658" s="10" t="s">
        <v>151</v>
      </c>
      <c r="E1658" s="10" t="s">
        <v>156</v>
      </c>
      <c r="F1658" s="12">
        <v>8</v>
      </c>
      <c r="G1658" s="12">
        <v>3570</v>
      </c>
      <c r="H1658" s="12">
        <v>24.6</v>
      </c>
      <c r="I1658" s="12">
        <v>21534.240000000002</v>
      </c>
      <c r="J1658" s="10" t="s">
        <v>51</v>
      </c>
      <c r="K1658" s="10" t="s">
        <v>81</v>
      </c>
      <c r="L1658" t="str">
        <f>IFERROR(VLOOKUP(D1658,Products!A:F,3,0),"")</f>
        <v>Electronics</v>
      </c>
      <c r="M1658" t="str">
        <f>IFERROR(VLOOKUP(E1658,Sales_Reps!A:E,3,0),"")</f>
        <v>East</v>
      </c>
      <c r="N1658" t="str">
        <f>IFERROR(VLOOKUP(C1658,Customers!A:F,5,0),"")</f>
        <v>SMB</v>
      </c>
      <c r="O1658">
        <f>IFERROR(VLOOKUP(C1658,Customers!A:F,3,0),"")</f>
        <v>44</v>
      </c>
      <c r="P1658">
        <f>IFERROR(VLOOKUP(D1658,Products!A:F,4,0),"")</f>
        <v>1665</v>
      </c>
      <c r="Q1658" t="b">
        <f>IFERROR(VLOOKUP(D1658,Products!A:F,6,0),"")</f>
        <v>1</v>
      </c>
      <c r="R1658">
        <f t="shared" si="75"/>
        <v>0.53361344537815125</v>
      </c>
      <c r="S1658">
        <f t="shared" si="76"/>
        <v>1</v>
      </c>
      <c r="T1658">
        <f>IF(AND(S1658&gt;1,COUNTIF($A$2:A1658,A1658)=1),1,0)</f>
        <v>0</v>
      </c>
      <c r="U1658">
        <f>COUNTIF(Customers!$A$2:$A$301,C1658)</f>
        <v>1</v>
      </c>
      <c r="V1658">
        <f t="shared" si="77"/>
        <v>0</v>
      </c>
    </row>
    <row r="1659" spans="1:22" ht="14.25" customHeight="1" x14ac:dyDescent="0.35">
      <c r="A1659" s="10" t="s">
        <v>2119</v>
      </c>
      <c r="B1659" s="11">
        <v>45653</v>
      </c>
      <c r="C1659" s="10" t="s">
        <v>211</v>
      </c>
      <c r="D1659" s="10" t="s">
        <v>228</v>
      </c>
      <c r="E1659" s="10" t="s">
        <v>96</v>
      </c>
      <c r="F1659" s="12">
        <v>1</v>
      </c>
      <c r="G1659" s="12">
        <v>4070</v>
      </c>
      <c r="H1659" s="12">
        <v>29.1</v>
      </c>
      <c r="I1659" s="12">
        <v>2885.63</v>
      </c>
      <c r="J1659" s="10" t="s">
        <v>57</v>
      </c>
      <c r="K1659" s="10" t="s">
        <v>81</v>
      </c>
      <c r="L1659" t="str">
        <f>IFERROR(VLOOKUP(D1659,Products!A:F,3,0),"")</f>
        <v>Grocery</v>
      </c>
      <c r="M1659" t="str">
        <f>IFERROR(VLOOKUP(E1659,Sales_Reps!A:E,3,0),"")</f>
        <v>South</v>
      </c>
      <c r="N1659" t="str">
        <f>IFERROR(VLOOKUP(C1659,Customers!A:F,5,0),"")</f>
        <v>Retail</v>
      </c>
      <c r="O1659">
        <f>IFERROR(VLOOKUP(C1659,Customers!A:F,3,0),"")</f>
        <v>34</v>
      </c>
      <c r="P1659">
        <f>IFERROR(VLOOKUP(D1659,Products!A:F,4,0),"")</f>
        <v>2027</v>
      </c>
      <c r="Q1659" t="b">
        <f>IFERROR(VLOOKUP(D1659,Products!A:F,6,0),"")</f>
        <v>1</v>
      </c>
      <c r="R1659">
        <f t="shared" si="75"/>
        <v>0.50196560196560192</v>
      </c>
      <c r="S1659">
        <f t="shared" si="76"/>
        <v>1</v>
      </c>
      <c r="T1659">
        <f>IF(AND(S1659&gt;1,COUNTIF($A$2:A1659,A1659)=1),1,0)</f>
        <v>0</v>
      </c>
      <c r="U1659">
        <f>COUNTIF(Customers!$A$2:$A$301,C1659)</f>
        <v>1</v>
      </c>
      <c r="V1659">
        <f t="shared" si="77"/>
        <v>2885.63</v>
      </c>
    </row>
    <row r="1660" spans="1:22" ht="14.25" customHeight="1" x14ac:dyDescent="0.35">
      <c r="A1660" s="10" t="s">
        <v>2120</v>
      </c>
      <c r="B1660" s="11">
        <v>45568</v>
      </c>
      <c r="C1660" s="10" t="s">
        <v>474</v>
      </c>
      <c r="D1660" s="10" t="s">
        <v>55</v>
      </c>
      <c r="E1660" s="10" t="s">
        <v>202</v>
      </c>
      <c r="F1660" s="12">
        <v>1</v>
      </c>
      <c r="G1660" s="12">
        <v>820</v>
      </c>
      <c r="H1660" s="12">
        <v>17.899999999999999</v>
      </c>
      <c r="I1660" s="12">
        <v>673.22</v>
      </c>
      <c r="J1660" s="10" t="s">
        <v>51</v>
      </c>
      <c r="K1660" s="10" t="s">
        <v>81</v>
      </c>
      <c r="L1660" t="str">
        <f>IFERROR(VLOOKUP(D1660,Products!A:F,3,0),"")</f>
        <v>Apparel</v>
      </c>
      <c r="M1660" t="str">
        <f>IFERROR(VLOOKUP(E1660,Sales_Reps!A:E,3,0),"")</f>
        <v>East</v>
      </c>
      <c r="N1660" t="str">
        <f>IFERROR(VLOOKUP(C1660,Customers!A:F,5,0),"")</f>
        <v>SMB</v>
      </c>
      <c r="O1660">
        <f>IFERROR(VLOOKUP(C1660,Customers!A:F,3,0),"")</f>
        <v>26</v>
      </c>
      <c r="P1660">
        <f>IFERROR(VLOOKUP(D1660,Products!A:F,4,0),"")</f>
        <v>391</v>
      </c>
      <c r="Q1660" t="b">
        <f>IFERROR(VLOOKUP(D1660,Products!A:F,6,0),"")</f>
        <v>1</v>
      </c>
      <c r="R1660">
        <f t="shared" si="75"/>
        <v>0.52317073170731709</v>
      </c>
      <c r="S1660">
        <f t="shared" si="76"/>
        <v>1</v>
      </c>
      <c r="T1660">
        <f>IF(AND(S1660&gt;1,COUNTIF($A$2:A1660,A1660)=1),1,0)</f>
        <v>0</v>
      </c>
      <c r="U1660">
        <f>COUNTIF(Customers!$A$2:$A$301,C1660)</f>
        <v>1</v>
      </c>
      <c r="V1660">
        <f t="shared" si="77"/>
        <v>0</v>
      </c>
    </row>
    <row r="1661" spans="1:22" ht="14.25" customHeight="1" x14ac:dyDescent="0.35">
      <c r="A1661" s="10" t="s">
        <v>2121</v>
      </c>
      <c r="B1661" s="11">
        <v>45643</v>
      </c>
      <c r="C1661" s="10" t="s">
        <v>263</v>
      </c>
      <c r="D1661" s="10" t="s">
        <v>240</v>
      </c>
      <c r="E1661" s="10" t="s">
        <v>193</v>
      </c>
      <c r="F1661" s="12">
        <v>5</v>
      </c>
      <c r="G1661" s="12">
        <v>3020</v>
      </c>
      <c r="H1661" s="12">
        <v>26.2</v>
      </c>
      <c r="I1661" s="12">
        <v>11143.8</v>
      </c>
      <c r="J1661" s="10" t="s">
        <v>51</v>
      </c>
      <c r="K1661" s="10" t="s">
        <v>97</v>
      </c>
      <c r="L1661" t="str">
        <f>IFERROR(VLOOKUP(D1661,Products!A:F,3,0),"")</f>
        <v>Beauty</v>
      </c>
      <c r="M1661" t="str">
        <f>IFERROR(VLOOKUP(E1661,Sales_Reps!A:E,3,0),"")</f>
        <v>West</v>
      </c>
      <c r="N1661" t="str">
        <f>IFERROR(VLOOKUP(C1661,Customers!A:F,5,0),"")</f>
        <v>Retail</v>
      </c>
      <c r="O1661">
        <f>IFERROR(VLOOKUP(C1661,Customers!A:F,3,0),"")</f>
        <v>29</v>
      </c>
      <c r="P1661">
        <f>IFERROR(VLOOKUP(D1661,Products!A:F,4,0),"")</f>
        <v>1626</v>
      </c>
      <c r="Q1661" t="b">
        <f>IFERROR(VLOOKUP(D1661,Products!A:F,6,0),"")</f>
        <v>1</v>
      </c>
      <c r="R1661">
        <f t="shared" si="75"/>
        <v>0.46158940397350995</v>
      </c>
      <c r="S1661">
        <f t="shared" si="76"/>
        <v>1</v>
      </c>
      <c r="T1661">
        <f>IF(AND(S1661&gt;1,COUNTIF($A$2:A1661,A1661)=1),1,0)</f>
        <v>0</v>
      </c>
      <c r="U1661">
        <f>COUNTIF(Customers!$A$2:$A$301,C1661)</f>
        <v>1</v>
      </c>
      <c r="V1661">
        <f t="shared" si="77"/>
        <v>0</v>
      </c>
    </row>
    <row r="1662" spans="1:22" ht="14.25" customHeight="1" x14ac:dyDescent="0.35">
      <c r="A1662" s="10" t="s">
        <v>2122</v>
      </c>
      <c r="B1662" s="11">
        <v>45411</v>
      </c>
      <c r="C1662" s="10" t="s">
        <v>592</v>
      </c>
      <c r="D1662" s="10" t="s">
        <v>623</v>
      </c>
      <c r="E1662" s="10" t="s">
        <v>249</v>
      </c>
      <c r="F1662" s="12">
        <v>10</v>
      </c>
      <c r="G1662" s="12">
        <v>3560</v>
      </c>
      <c r="H1662" s="12">
        <v>15.4</v>
      </c>
      <c r="I1662" s="12">
        <v>30117.599999999999</v>
      </c>
      <c r="J1662" s="10" t="s">
        <v>108</v>
      </c>
      <c r="K1662" s="10" t="s">
        <v>97</v>
      </c>
      <c r="L1662" t="str">
        <f>IFERROR(VLOOKUP(D1662,Products!A:F,3,0),"")</f>
        <v>Apparel</v>
      </c>
      <c r="M1662" t="str">
        <f>IFERROR(VLOOKUP(E1662,Sales_Reps!A:E,3,0),"")</f>
        <v>East</v>
      </c>
      <c r="N1662" t="str">
        <f>IFERROR(VLOOKUP(C1662,Customers!A:F,5,0),"")</f>
        <v>Corporate</v>
      </c>
      <c r="O1662">
        <f>IFERROR(VLOOKUP(C1662,Customers!A:F,3,0),"")</f>
        <v>22</v>
      </c>
      <c r="P1662">
        <f>IFERROR(VLOOKUP(D1662,Products!A:F,4,0),"")</f>
        <v>2629</v>
      </c>
      <c r="Q1662" t="b">
        <f>IFERROR(VLOOKUP(D1662,Products!A:F,6,0),"")</f>
        <v>1</v>
      </c>
      <c r="R1662">
        <f t="shared" si="75"/>
        <v>0.26151685393258428</v>
      </c>
      <c r="S1662">
        <f t="shared" si="76"/>
        <v>1</v>
      </c>
      <c r="T1662">
        <f>IF(AND(S1662&gt;1,COUNTIF($A$2:A1662,A1662)=1),1,0)</f>
        <v>0</v>
      </c>
      <c r="U1662">
        <f>COUNTIF(Customers!$A$2:$A$301,C1662)</f>
        <v>1</v>
      </c>
      <c r="V1662">
        <f t="shared" si="77"/>
        <v>0</v>
      </c>
    </row>
    <row r="1663" spans="1:22" ht="14.25" customHeight="1" x14ac:dyDescent="0.35">
      <c r="A1663" s="10" t="s">
        <v>1422</v>
      </c>
      <c r="B1663" s="11">
        <v>45467</v>
      </c>
      <c r="C1663" s="10" t="s">
        <v>242</v>
      </c>
      <c r="D1663" s="10" t="s">
        <v>143</v>
      </c>
      <c r="E1663" s="10" t="s">
        <v>179</v>
      </c>
      <c r="F1663" s="12">
        <v>3</v>
      </c>
      <c r="G1663" s="12">
        <v>3350</v>
      </c>
      <c r="H1663" s="12">
        <v>8.1</v>
      </c>
      <c r="I1663" s="12">
        <v>9235.9500000000007</v>
      </c>
      <c r="J1663" s="10" t="s">
        <v>51</v>
      </c>
      <c r="K1663" s="10" t="s">
        <v>97</v>
      </c>
      <c r="L1663" t="str">
        <f>IFERROR(VLOOKUP(D1663,Products!A:F,3,0),"")</f>
        <v>Beauty</v>
      </c>
      <c r="M1663" t="str">
        <f>IFERROR(VLOOKUP(E1663,Sales_Reps!A:E,3,0),"")</f>
        <v>North</v>
      </c>
      <c r="N1663" t="str">
        <f>IFERROR(VLOOKUP(C1663,Customers!A:F,5,0),"")</f>
        <v>Corporate</v>
      </c>
      <c r="O1663">
        <f>IFERROR(VLOOKUP(C1663,Customers!A:F,3,0),"")</f>
        <v>29</v>
      </c>
      <c r="P1663">
        <f>IFERROR(VLOOKUP(D1663,Products!A:F,4,0),"")</f>
        <v>1728</v>
      </c>
      <c r="Q1663" t="b">
        <f>IFERROR(VLOOKUP(D1663,Products!A:F,6,0),"")</f>
        <v>1</v>
      </c>
      <c r="R1663">
        <f t="shared" si="75"/>
        <v>0.48417910447761192</v>
      </c>
      <c r="S1663">
        <f t="shared" si="76"/>
        <v>2</v>
      </c>
      <c r="T1663">
        <f>IF(AND(S1663&gt;1,COUNTIF($A$2:A1663,A1663)=1),1,0)</f>
        <v>0</v>
      </c>
      <c r="U1663">
        <f>COUNTIF(Customers!$A$2:$A$301,C1663)</f>
        <v>1</v>
      </c>
      <c r="V1663">
        <f t="shared" si="77"/>
        <v>0</v>
      </c>
    </row>
    <row r="1664" spans="1:22" ht="14.25" customHeight="1" x14ac:dyDescent="0.35">
      <c r="A1664" s="10" t="s">
        <v>2123</v>
      </c>
      <c r="B1664" s="11">
        <v>45542</v>
      </c>
      <c r="C1664" s="10" t="s">
        <v>684</v>
      </c>
      <c r="D1664" s="10" t="s">
        <v>350</v>
      </c>
      <c r="E1664" s="10" t="s">
        <v>75</v>
      </c>
      <c r="F1664" s="12">
        <v>10</v>
      </c>
      <c r="G1664" s="12">
        <v>2290</v>
      </c>
      <c r="H1664" s="12">
        <v>7</v>
      </c>
      <c r="I1664" s="12">
        <v>21297</v>
      </c>
      <c r="J1664" s="10" t="s">
        <v>51</v>
      </c>
      <c r="K1664" s="10" t="s">
        <v>52</v>
      </c>
      <c r="L1664" t="str">
        <f>IFERROR(VLOOKUP(D1664,Products!A:F,3,0),"")</f>
        <v>Beauty</v>
      </c>
      <c r="M1664" t="str">
        <f>IFERROR(VLOOKUP(E1664,Sales_Reps!A:E,3,0),"")</f>
        <v>West</v>
      </c>
      <c r="N1664" t="str">
        <f>IFERROR(VLOOKUP(C1664,Customers!A:F,5,0),"")</f>
        <v>Retail</v>
      </c>
      <c r="O1664">
        <f>IFERROR(VLOOKUP(C1664,Customers!A:F,3,0),"")</f>
        <v>48</v>
      </c>
      <c r="P1664">
        <f>IFERROR(VLOOKUP(D1664,Products!A:F,4,0),"")</f>
        <v>1219</v>
      </c>
      <c r="Q1664" t="b">
        <f>IFERROR(VLOOKUP(D1664,Products!A:F,6,0),"")</f>
        <v>1</v>
      </c>
      <c r="R1664">
        <f t="shared" si="75"/>
        <v>0.46768558951965067</v>
      </c>
      <c r="S1664">
        <f t="shared" si="76"/>
        <v>1</v>
      </c>
      <c r="T1664">
        <f>IF(AND(S1664&gt;1,COUNTIF($A$2:A1664,A1664)=1),1,0)</f>
        <v>0</v>
      </c>
      <c r="U1664">
        <f>COUNTIF(Customers!$A$2:$A$301,C1664)</f>
        <v>1</v>
      </c>
      <c r="V1664">
        <f t="shared" si="77"/>
        <v>0</v>
      </c>
    </row>
    <row r="1665" spans="1:22" ht="14.25" customHeight="1" x14ac:dyDescent="0.35">
      <c r="A1665" s="10" t="s">
        <v>2124</v>
      </c>
      <c r="B1665" s="11">
        <v>45483</v>
      </c>
      <c r="C1665" s="10" t="s">
        <v>375</v>
      </c>
      <c r="D1665" s="10" t="s">
        <v>66</v>
      </c>
      <c r="E1665" s="10" t="s">
        <v>112</v>
      </c>
      <c r="F1665" s="12">
        <v>6</v>
      </c>
      <c r="G1665" s="12">
        <v>3660</v>
      </c>
      <c r="H1665" s="12">
        <v>29.9</v>
      </c>
      <c r="I1665" s="12">
        <v>15393.96</v>
      </c>
      <c r="J1665" s="10" t="s">
        <v>51</v>
      </c>
      <c r="K1665" s="10" t="s">
        <v>76</v>
      </c>
      <c r="L1665" t="str">
        <f>IFERROR(VLOOKUP(D1665,Products!A:F,3,0),"")</f>
        <v>Grocery</v>
      </c>
      <c r="M1665" t="str">
        <f>IFERROR(VLOOKUP(E1665,Sales_Reps!A:E,3,0),"")</f>
        <v>North</v>
      </c>
      <c r="N1665" t="str">
        <f>IFERROR(VLOOKUP(C1665,Customers!A:F,5,0),"")</f>
        <v>Retail</v>
      </c>
      <c r="O1665">
        <f>IFERROR(VLOOKUP(C1665,Customers!A:F,3,0),"")</f>
        <v>61</v>
      </c>
      <c r="P1665">
        <f>IFERROR(VLOOKUP(D1665,Products!A:F,4,0),"")</f>
        <v>2214</v>
      </c>
      <c r="Q1665" t="b">
        <f>IFERROR(VLOOKUP(D1665,Products!A:F,6,0),"")</f>
        <v>0</v>
      </c>
      <c r="R1665">
        <f t="shared" si="75"/>
        <v>0.39508196721311473</v>
      </c>
      <c r="S1665">
        <f t="shared" si="76"/>
        <v>1</v>
      </c>
      <c r="T1665">
        <f>IF(AND(S1665&gt;1,COUNTIF($A$2:A1665,A1665)=1),1,0)</f>
        <v>0</v>
      </c>
      <c r="U1665">
        <f>COUNTIF(Customers!$A$2:$A$301,C1665)</f>
        <v>1</v>
      </c>
      <c r="V1665">
        <f t="shared" si="77"/>
        <v>0</v>
      </c>
    </row>
    <row r="1666" spans="1:22" ht="14.25" customHeight="1" x14ac:dyDescent="0.35">
      <c r="A1666" s="10" t="s">
        <v>2125</v>
      </c>
      <c r="B1666" s="11">
        <v>45426</v>
      </c>
      <c r="C1666" s="10" t="s">
        <v>488</v>
      </c>
      <c r="D1666" s="10" t="s">
        <v>99</v>
      </c>
      <c r="E1666" s="10" t="s">
        <v>216</v>
      </c>
      <c r="F1666" s="12">
        <v>8</v>
      </c>
      <c r="G1666" s="12">
        <v>2640</v>
      </c>
      <c r="H1666" s="12">
        <v>4.2</v>
      </c>
      <c r="I1666" s="12">
        <v>20232.96</v>
      </c>
      <c r="J1666" s="10" t="s">
        <v>108</v>
      </c>
      <c r="K1666" s="10" t="s">
        <v>76</v>
      </c>
      <c r="L1666" t="str">
        <f>IFERROR(VLOOKUP(D1666,Products!A:F,3,0),"")</f>
        <v>Electronics</v>
      </c>
      <c r="M1666" t="str">
        <f>IFERROR(VLOOKUP(E1666,Sales_Reps!A:E,3,0),"")</f>
        <v>South</v>
      </c>
      <c r="N1666" t="str">
        <f>IFERROR(VLOOKUP(C1666,Customers!A:F,5,0),"")</f>
        <v>Corporate</v>
      </c>
      <c r="O1666">
        <f>IFERROR(VLOOKUP(C1666,Customers!A:F,3,0),"")</f>
        <v>55</v>
      </c>
      <c r="P1666">
        <f>IFERROR(VLOOKUP(D1666,Products!A:F,4,0),"")</f>
        <v>1149</v>
      </c>
      <c r="Q1666" t="b">
        <f>IFERROR(VLOOKUP(D1666,Products!A:F,6,0),"")</f>
        <v>1</v>
      </c>
      <c r="R1666">
        <f t="shared" ref="R1666:R1729" si="78">IFERROR((G1666-P1666)/G1666,"")</f>
        <v>0.56477272727272732</v>
      </c>
      <c r="S1666">
        <f t="shared" ref="S1666:S1729" si="79">COUNTIF($A$2:$A$2001,A1666)</f>
        <v>1</v>
      </c>
      <c r="T1666">
        <f>IF(AND(S1666&gt;1,COUNTIF($A$2:A1666,A1666)=1),1,0)</f>
        <v>0</v>
      </c>
      <c r="U1666">
        <f>COUNTIF(Customers!$A$2:$A$301,C1666)</f>
        <v>1</v>
      </c>
      <c r="V1666">
        <f t="shared" ref="V1666:V1729" si="80">IF(AND(K1666="Bengaluru",L1666="Grocery"),I1666,0)</f>
        <v>0</v>
      </c>
    </row>
    <row r="1667" spans="1:22" ht="14.25" customHeight="1" x14ac:dyDescent="0.35">
      <c r="A1667" s="10" t="s">
        <v>2126</v>
      </c>
      <c r="B1667" s="11">
        <v>45386</v>
      </c>
      <c r="C1667" s="10" t="s">
        <v>114</v>
      </c>
      <c r="D1667" s="10" t="s">
        <v>74</v>
      </c>
      <c r="E1667" s="10" t="s">
        <v>67</v>
      </c>
      <c r="F1667" s="12">
        <v>5</v>
      </c>
      <c r="G1667" s="12">
        <v>370</v>
      </c>
      <c r="H1667" s="12">
        <v>6</v>
      </c>
      <c r="I1667" s="12">
        <v>1739</v>
      </c>
      <c r="J1667" s="10" t="s">
        <v>51</v>
      </c>
      <c r="K1667" s="10" t="s">
        <v>52</v>
      </c>
      <c r="L1667" t="str">
        <f>IFERROR(VLOOKUP(D1667,Products!A:F,3,0),"")</f>
        <v>Home</v>
      </c>
      <c r="M1667" t="str">
        <f>IFERROR(VLOOKUP(E1667,Sales_Reps!A:E,3,0),"")</f>
        <v>North</v>
      </c>
      <c r="N1667" t="str">
        <f>IFERROR(VLOOKUP(C1667,Customers!A:F,5,0),"")</f>
        <v>Retail</v>
      </c>
      <c r="O1667">
        <f>IFERROR(VLOOKUP(C1667,Customers!A:F,3,0),"")</f>
        <v>63</v>
      </c>
      <c r="P1667">
        <f>IFERROR(VLOOKUP(D1667,Products!A:F,4,0),"")</f>
        <v>288</v>
      </c>
      <c r="Q1667" t="b">
        <f>IFERROR(VLOOKUP(D1667,Products!A:F,6,0),"")</f>
        <v>1</v>
      </c>
      <c r="R1667">
        <f t="shared" si="78"/>
        <v>0.22162162162162163</v>
      </c>
      <c r="S1667">
        <f t="shared" si="79"/>
        <v>1</v>
      </c>
      <c r="T1667">
        <f>IF(AND(S1667&gt;1,COUNTIF($A$2:A1667,A1667)=1),1,0)</f>
        <v>0</v>
      </c>
      <c r="U1667">
        <f>COUNTIF(Customers!$A$2:$A$301,C1667)</f>
        <v>1</v>
      </c>
      <c r="V1667">
        <f t="shared" si="80"/>
        <v>0</v>
      </c>
    </row>
    <row r="1668" spans="1:22" ht="14.25" customHeight="1" x14ac:dyDescent="0.35">
      <c r="A1668" s="10" t="s">
        <v>2127</v>
      </c>
      <c r="B1668" s="11">
        <v>45377</v>
      </c>
      <c r="C1668" s="10" t="s">
        <v>1029</v>
      </c>
      <c r="D1668" s="10" t="s">
        <v>95</v>
      </c>
      <c r="E1668" s="10" t="s">
        <v>50</v>
      </c>
      <c r="F1668" s="12">
        <v>9</v>
      </c>
      <c r="G1668" s="12">
        <v>2270</v>
      </c>
      <c r="H1668" s="12">
        <v>4.7</v>
      </c>
      <c r="I1668" s="12">
        <v>19469.79</v>
      </c>
      <c r="J1668" s="10" t="s">
        <v>51</v>
      </c>
      <c r="K1668" s="10" t="s">
        <v>58</v>
      </c>
      <c r="L1668" t="str">
        <f>IFERROR(VLOOKUP(D1668,Products!A:F,3,0),"")</f>
        <v>Grocery</v>
      </c>
      <c r="M1668" t="str">
        <f>IFERROR(VLOOKUP(E1668,Sales_Reps!A:E,3,0),"")</f>
        <v>North</v>
      </c>
      <c r="N1668" t="str">
        <f>IFERROR(VLOOKUP(C1668,Customers!A:F,5,0),"")</f>
        <v>Retail</v>
      </c>
      <c r="O1668">
        <f>IFERROR(VLOOKUP(C1668,Customers!A:F,3,0),"")</f>
        <v>49</v>
      </c>
      <c r="P1668">
        <f>IFERROR(VLOOKUP(D1668,Products!A:F,4,0),"")</f>
        <v>1203</v>
      </c>
      <c r="Q1668" t="b">
        <f>IFERROR(VLOOKUP(D1668,Products!A:F,6,0),"")</f>
        <v>1</v>
      </c>
      <c r="R1668">
        <f t="shared" si="78"/>
        <v>0.47004405286343615</v>
      </c>
      <c r="S1668">
        <f t="shared" si="79"/>
        <v>1</v>
      </c>
      <c r="T1668">
        <f>IF(AND(S1668&gt;1,COUNTIF($A$2:A1668,A1668)=1),1,0)</f>
        <v>0</v>
      </c>
      <c r="U1668">
        <f>COUNTIF(Customers!$A$2:$A$301,C1668)</f>
        <v>1</v>
      </c>
      <c r="V1668">
        <f t="shared" si="80"/>
        <v>0</v>
      </c>
    </row>
    <row r="1669" spans="1:22" ht="14.25" customHeight="1" x14ac:dyDescent="0.35">
      <c r="A1669" s="10" t="s">
        <v>2128</v>
      </c>
      <c r="B1669" s="11">
        <v>45414</v>
      </c>
      <c r="C1669" s="10" t="s">
        <v>801</v>
      </c>
      <c r="D1669" s="10" t="s">
        <v>167</v>
      </c>
      <c r="E1669" s="10" t="s">
        <v>237</v>
      </c>
      <c r="F1669" s="12">
        <v>5</v>
      </c>
      <c r="G1669" s="12">
        <v>660</v>
      </c>
      <c r="H1669" s="12">
        <v>21</v>
      </c>
      <c r="I1669" s="12">
        <v>2607</v>
      </c>
      <c r="J1669" s="10" t="s">
        <v>51</v>
      </c>
      <c r="K1669" s="10" t="s">
        <v>81</v>
      </c>
      <c r="L1669" t="str">
        <f>IFERROR(VLOOKUP(D1669,Products!A:F,3,0),"")</f>
        <v>Home</v>
      </c>
      <c r="M1669" t="str">
        <f>IFERROR(VLOOKUP(E1669,Sales_Reps!A:E,3,0),"")</f>
        <v>South</v>
      </c>
      <c r="N1669" t="str">
        <f>IFERROR(VLOOKUP(C1669,Customers!A:F,5,0),"")</f>
        <v>Retail</v>
      </c>
      <c r="O1669">
        <f>IFERROR(VLOOKUP(C1669,Customers!A:F,3,0),"")</f>
        <v>37</v>
      </c>
      <c r="P1669">
        <f>IFERROR(VLOOKUP(D1669,Products!A:F,4,0),"")</f>
        <v>329</v>
      </c>
      <c r="Q1669" t="b">
        <f>IFERROR(VLOOKUP(D1669,Products!A:F,6,0),"")</f>
        <v>1</v>
      </c>
      <c r="R1669">
        <f t="shared" si="78"/>
        <v>0.50151515151515147</v>
      </c>
      <c r="S1669">
        <f t="shared" si="79"/>
        <v>1</v>
      </c>
      <c r="T1669">
        <f>IF(AND(S1669&gt;1,COUNTIF($A$2:A1669,A1669)=1),1,0)</f>
        <v>0</v>
      </c>
      <c r="U1669">
        <f>COUNTIF(Customers!$A$2:$A$301,C1669)</f>
        <v>1</v>
      </c>
      <c r="V1669">
        <f t="shared" si="80"/>
        <v>0</v>
      </c>
    </row>
    <row r="1670" spans="1:22" ht="14.25" customHeight="1" x14ac:dyDescent="0.35">
      <c r="A1670" s="10" t="s">
        <v>2129</v>
      </c>
      <c r="B1670" s="11">
        <v>45407</v>
      </c>
      <c r="C1670" s="10" t="s">
        <v>2130</v>
      </c>
      <c r="D1670" s="10" t="s">
        <v>79</v>
      </c>
      <c r="E1670" s="10" t="s">
        <v>112</v>
      </c>
      <c r="F1670" s="12">
        <v>2</v>
      </c>
      <c r="G1670" s="12">
        <v>960</v>
      </c>
      <c r="H1670" s="12">
        <v>7.3</v>
      </c>
      <c r="I1670" s="12">
        <v>1779.84</v>
      </c>
      <c r="J1670" s="10" t="s">
        <v>51</v>
      </c>
      <c r="K1670" s="10" t="s">
        <v>81</v>
      </c>
      <c r="L1670" t="str">
        <f>IFERROR(VLOOKUP(D1670,Products!A:F,3,0),"")</f>
        <v>Sports</v>
      </c>
      <c r="M1670" t="str">
        <f>IFERROR(VLOOKUP(E1670,Sales_Reps!A:E,3,0),"")</f>
        <v>North</v>
      </c>
      <c r="N1670" t="str">
        <f>IFERROR(VLOOKUP(C1670,Customers!A:F,5,0),"")</f>
        <v/>
      </c>
      <c r="O1670" t="str">
        <f>IFERROR(VLOOKUP(C1670,Customers!A:F,3,0),"")</f>
        <v/>
      </c>
      <c r="P1670">
        <f>IFERROR(VLOOKUP(D1670,Products!A:F,4,0),"")</f>
        <v>705</v>
      </c>
      <c r="Q1670" t="b">
        <f>IFERROR(VLOOKUP(D1670,Products!A:F,6,0),"")</f>
        <v>1</v>
      </c>
      <c r="R1670">
        <f t="shared" si="78"/>
        <v>0.265625</v>
      </c>
      <c r="S1670">
        <f t="shared" si="79"/>
        <v>1</v>
      </c>
      <c r="T1670">
        <f>IF(AND(S1670&gt;1,COUNTIF($A$2:A1670,A1670)=1),1,0)</f>
        <v>0</v>
      </c>
      <c r="U1670">
        <f>COUNTIF(Customers!$A$2:$A$301,C1670)</f>
        <v>0</v>
      </c>
      <c r="V1670">
        <f t="shared" si="80"/>
        <v>0</v>
      </c>
    </row>
    <row r="1671" spans="1:22" ht="14.25" customHeight="1" x14ac:dyDescent="0.35">
      <c r="A1671" s="10" t="s">
        <v>2131</v>
      </c>
      <c r="B1671" s="11">
        <v>45509</v>
      </c>
      <c r="C1671" s="10" t="s">
        <v>130</v>
      </c>
      <c r="D1671" s="10" t="s">
        <v>155</v>
      </c>
      <c r="E1671" s="10" t="s">
        <v>168</v>
      </c>
      <c r="F1671" s="12">
        <v>3</v>
      </c>
      <c r="G1671" s="12">
        <v>5100</v>
      </c>
      <c r="H1671" s="12">
        <v>21</v>
      </c>
      <c r="I1671" s="12">
        <v>12087</v>
      </c>
      <c r="J1671" s="10" t="s">
        <v>51</v>
      </c>
      <c r="K1671" s="10" t="s">
        <v>97</v>
      </c>
      <c r="L1671" t="str">
        <f>IFERROR(VLOOKUP(D1671,Products!A:F,3,0),"")</f>
        <v>Beauty</v>
      </c>
      <c r="M1671" t="str">
        <f>IFERROR(VLOOKUP(E1671,Sales_Reps!A:E,3,0),"")</f>
        <v>South</v>
      </c>
      <c r="N1671" t="str">
        <f>IFERROR(VLOOKUP(C1671,Customers!A:F,5,0),"")</f>
        <v>Retail</v>
      </c>
      <c r="O1671">
        <f>IFERROR(VLOOKUP(C1671,Customers!A:F,3,0),"")</f>
        <v>32</v>
      </c>
      <c r="P1671">
        <f>IFERROR(VLOOKUP(D1671,Products!A:F,4,0),"")</f>
        <v>2237</v>
      </c>
      <c r="Q1671" t="b">
        <f>IFERROR(VLOOKUP(D1671,Products!A:F,6,0),"")</f>
        <v>1</v>
      </c>
      <c r="R1671">
        <f t="shared" si="78"/>
        <v>0.56137254901960787</v>
      </c>
      <c r="S1671">
        <f t="shared" si="79"/>
        <v>1</v>
      </c>
      <c r="T1671">
        <f>IF(AND(S1671&gt;1,COUNTIF($A$2:A1671,A1671)=1),1,0)</f>
        <v>0</v>
      </c>
      <c r="U1671">
        <f>COUNTIF(Customers!$A$2:$A$301,C1671)</f>
        <v>1</v>
      </c>
      <c r="V1671">
        <f t="shared" si="80"/>
        <v>0</v>
      </c>
    </row>
    <row r="1672" spans="1:22" ht="14.25" customHeight="1" x14ac:dyDescent="0.35">
      <c r="A1672" s="10" t="s">
        <v>2132</v>
      </c>
      <c r="B1672" s="11">
        <v>45566</v>
      </c>
      <c r="C1672" s="10" t="s">
        <v>245</v>
      </c>
      <c r="D1672" s="10" t="s">
        <v>70</v>
      </c>
      <c r="E1672" s="10" t="s">
        <v>103</v>
      </c>
      <c r="F1672" s="12">
        <v>3</v>
      </c>
      <c r="G1672" s="12">
        <v>3160</v>
      </c>
      <c r="H1672" s="12">
        <v>13.5</v>
      </c>
      <c r="I1672" s="12">
        <v>8200.2000000000007</v>
      </c>
      <c r="J1672" s="10" t="s">
        <v>51</v>
      </c>
      <c r="K1672" s="10" t="s">
        <v>52</v>
      </c>
      <c r="L1672" t="str">
        <f>IFERROR(VLOOKUP(D1672,Products!A:F,3,0),"")</f>
        <v>Apparel</v>
      </c>
      <c r="M1672" t="str">
        <f>IFERROR(VLOOKUP(E1672,Sales_Reps!A:E,3,0),"")</f>
        <v>North</v>
      </c>
      <c r="N1672" t="str">
        <f>IFERROR(VLOOKUP(C1672,Customers!A:F,5,0),"")</f>
        <v>Retail</v>
      </c>
      <c r="O1672">
        <f>IFERROR(VLOOKUP(C1672,Customers!A:F,3,0),"")</f>
        <v>25</v>
      </c>
      <c r="P1672">
        <f>IFERROR(VLOOKUP(D1672,Products!A:F,4,0),"")</f>
        <v>1886</v>
      </c>
      <c r="Q1672" t="b">
        <f>IFERROR(VLOOKUP(D1672,Products!A:F,6,0),"")</f>
        <v>1</v>
      </c>
      <c r="R1672">
        <f t="shared" si="78"/>
        <v>0.4031645569620253</v>
      </c>
      <c r="S1672">
        <f t="shared" si="79"/>
        <v>1</v>
      </c>
      <c r="T1672">
        <f>IF(AND(S1672&gt;1,COUNTIF($A$2:A1672,A1672)=1),1,0)</f>
        <v>0</v>
      </c>
      <c r="U1672">
        <f>COUNTIF(Customers!$A$2:$A$301,C1672)</f>
        <v>1</v>
      </c>
      <c r="V1672">
        <f t="shared" si="80"/>
        <v>0</v>
      </c>
    </row>
    <row r="1673" spans="1:22" ht="14.25" customHeight="1" x14ac:dyDescent="0.35">
      <c r="A1673" s="10" t="s">
        <v>2133</v>
      </c>
      <c r="B1673" s="11">
        <v>45524</v>
      </c>
      <c r="C1673" s="10" t="s">
        <v>2134</v>
      </c>
      <c r="D1673" s="10" t="s">
        <v>223</v>
      </c>
      <c r="E1673" s="10" t="s">
        <v>56</v>
      </c>
      <c r="F1673" s="12">
        <v>9</v>
      </c>
      <c r="G1673" s="12">
        <v>1540</v>
      </c>
      <c r="H1673" s="12">
        <v>18.2</v>
      </c>
      <c r="I1673" s="12">
        <v>11337.48</v>
      </c>
      <c r="J1673" s="10" t="s">
        <v>104</v>
      </c>
      <c r="K1673" s="10" t="s">
        <v>81</v>
      </c>
      <c r="L1673" t="str">
        <f>IFERROR(VLOOKUP(D1673,Products!A:F,3,0),"")</f>
        <v>Beauty</v>
      </c>
      <c r="M1673" t="str">
        <f>IFERROR(VLOOKUP(E1673,Sales_Reps!A:E,3,0),"")</f>
        <v>North</v>
      </c>
      <c r="N1673" t="str">
        <f>IFERROR(VLOOKUP(C1673,Customers!A:F,5,0),"")</f>
        <v/>
      </c>
      <c r="O1673" t="str">
        <f>IFERROR(VLOOKUP(C1673,Customers!A:F,3,0),"")</f>
        <v/>
      </c>
      <c r="P1673">
        <f>IFERROR(VLOOKUP(D1673,Products!A:F,4,0),"")</f>
        <v>647</v>
      </c>
      <c r="Q1673" t="b">
        <f>IFERROR(VLOOKUP(D1673,Products!A:F,6,0),"")</f>
        <v>0</v>
      </c>
      <c r="R1673">
        <f t="shared" si="78"/>
        <v>0.57987012987012987</v>
      </c>
      <c r="S1673">
        <f t="shared" si="79"/>
        <v>1</v>
      </c>
      <c r="T1673">
        <f>IF(AND(S1673&gt;1,COUNTIF($A$2:A1673,A1673)=1),1,0)</f>
        <v>0</v>
      </c>
      <c r="U1673">
        <f>COUNTIF(Customers!$A$2:$A$301,C1673)</f>
        <v>0</v>
      </c>
      <c r="V1673">
        <f t="shared" si="80"/>
        <v>0</v>
      </c>
    </row>
    <row r="1674" spans="1:22" ht="14.25" customHeight="1" x14ac:dyDescent="0.35">
      <c r="A1674" s="10" t="s">
        <v>2135</v>
      </c>
      <c r="B1674" s="11">
        <v>45431</v>
      </c>
      <c r="C1674" s="10" t="s">
        <v>117</v>
      </c>
      <c r="D1674" s="10" t="s">
        <v>121</v>
      </c>
      <c r="E1674" s="10" t="s">
        <v>80</v>
      </c>
      <c r="F1674" s="12">
        <v>4</v>
      </c>
      <c r="G1674" s="12">
        <v>3450</v>
      </c>
      <c r="H1674" s="12">
        <v>26.4</v>
      </c>
      <c r="I1674" s="12">
        <v>10156.799999999999</v>
      </c>
      <c r="J1674" s="10" t="s">
        <v>57</v>
      </c>
      <c r="K1674" s="10" t="s">
        <v>81</v>
      </c>
      <c r="L1674" t="str">
        <f>IFERROR(VLOOKUP(D1674,Products!A:F,3,0),"")</f>
        <v>Beauty</v>
      </c>
      <c r="M1674" t="str">
        <f>IFERROR(VLOOKUP(E1674,Sales_Reps!A:E,3,0),"")</f>
        <v>West</v>
      </c>
      <c r="N1674" t="str">
        <f>IFERROR(VLOOKUP(C1674,Customers!A:F,5,0),"")</f>
        <v>SMB</v>
      </c>
      <c r="O1674">
        <f>IFERROR(VLOOKUP(C1674,Customers!A:F,3,0),"")</f>
        <v>46</v>
      </c>
      <c r="P1674">
        <f>IFERROR(VLOOKUP(D1674,Products!A:F,4,0),"")</f>
        <v>2420</v>
      </c>
      <c r="Q1674" t="b">
        <f>IFERROR(VLOOKUP(D1674,Products!A:F,6,0),"")</f>
        <v>1</v>
      </c>
      <c r="R1674">
        <f t="shared" si="78"/>
        <v>0.29855072463768118</v>
      </c>
      <c r="S1674">
        <f t="shared" si="79"/>
        <v>1</v>
      </c>
      <c r="T1674">
        <f>IF(AND(S1674&gt;1,COUNTIF($A$2:A1674,A1674)=1),1,0)</f>
        <v>0</v>
      </c>
      <c r="U1674">
        <f>COUNTIF(Customers!$A$2:$A$301,C1674)</f>
        <v>1</v>
      </c>
      <c r="V1674">
        <f t="shared" si="80"/>
        <v>0</v>
      </c>
    </row>
    <row r="1675" spans="1:22" ht="14.25" customHeight="1" x14ac:dyDescent="0.35">
      <c r="A1675" s="10" t="s">
        <v>2136</v>
      </c>
      <c r="B1675" s="11">
        <v>45598</v>
      </c>
      <c r="C1675" s="10" t="s">
        <v>375</v>
      </c>
      <c r="D1675" s="10" t="s">
        <v>331</v>
      </c>
      <c r="E1675" s="10" t="s">
        <v>165</v>
      </c>
      <c r="F1675" s="12">
        <v>4</v>
      </c>
      <c r="G1675" s="12">
        <v>2380</v>
      </c>
      <c r="H1675" s="12">
        <v>6.9</v>
      </c>
      <c r="I1675" s="12">
        <v>8863.1200000000008</v>
      </c>
      <c r="J1675" s="10" t="s">
        <v>51</v>
      </c>
      <c r="K1675" s="10" t="s">
        <v>76</v>
      </c>
      <c r="L1675" t="str">
        <f>IFERROR(VLOOKUP(D1675,Products!A:F,3,0),"")</f>
        <v>Grocery</v>
      </c>
      <c r="M1675" t="str">
        <f>IFERROR(VLOOKUP(E1675,Sales_Reps!A:E,3,0),"")</f>
        <v>West</v>
      </c>
      <c r="N1675" t="str">
        <f>IFERROR(VLOOKUP(C1675,Customers!A:F,5,0),"")</f>
        <v>Retail</v>
      </c>
      <c r="O1675">
        <f>IFERROR(VLOOKUP(C1675,Customers!A:F,3,0),"")</f>
        <v>61</v>
      </c>
      <c r="P1675">
        <f>IFERROR(VLOOKUP(D1675,Products!A:F,4,0),"")</f>
        <v>1182</v>
      </c>
      <c r="Q1675" t="b">
        <f>IFERROR(VLOOKUP(D1675,Products!A:F,6,0),"")</f>
        <v>1</v>
      </c>
      <c r="R1675">
        <f t="shared" si="78"/>
        <v>0.50336134453781511</v>
      </c>
      <c r="S1675">
        <f t="shared" si="79"/>
        <v>1</v>
      </c>
      <c r="T1675">
        <f>IF(AND(S1675&gt;1,COUNTIF($A$2:A1675,A1675)=1),1,0)</f>
        <v>0</v>
      </c>
      <c r="U1675">
        <f>COUNTIF(Customers!$A$2:$A$301,C1675)</f>
        <v>1</v>
      </c>
      <c r="V1675">
        <f t="shared" si="80"/>
        <v>0</v>
      </c>
    </row>
    <row r="1676" spans="1:22" ht="14.25" customHeight="1" x14ac:dyDescent="0.35">
      <c r="A1676" s="10" t="s">
        <v>2137</v>
      </c>
      <c r="B1676" s="11">
        <v>45419</v>
      </c>
      <c r="C1676" s="10" t="s">
        <v>245</v>
      </c>
      <c r="D1676" s="10" t="s">
        <v>190</v>
      </c>
      <c r="E1676" s="10" t="s">
        <v>112</v>
      </c>
      <c r="F1676" s="12">
        <v>2</v>
      </c>
      <c r="G1676" s="12">
        <v>3730</v>
      </c>
      <c r="H1676" s="12">
        <v>22.9</v>
      </c>
      <c r="I1676" s="12">
        <v>5751.66</v>
      </c>
      <c r="J1676" s="10" t="s">
        <v>51</v>
      </c>
      <c r="K1676" s="10" t="s">
        <v>52</v>
      </c>
      <c r="L1676" t="str">
        <f>IFERROR(VLOOKUP(D1676,Products!A:F,3,0),"")</f>
        <v>Home</v>
      </c>
      <c r="M1676" t="str">
        <f>IFERROR(VLOOKUP(E1676,Sales_Reps!A:E,3,0),"")</f>
        <v>North</v>
      </c>
      <c r="N1676" t="str">
        <f>IFERROR(VLOOKUP(C1676,Customers!A:F,5,0),"")</f>
        <v>Retail</v>
      </c>
      <c r="O1676">
        <f>IFERROR(VLOOKUP(C1676,Customers!A:F,3,0),"")</f>
        <v>25</v>
      </c>
      <c r="P1676">
        <f>IFERROR(VLOOKUP(D1676,Products!A:F,4,0),"")</f>
        <v>2135</v>
      </c>
      <c r="Q1676" t="b">
        <f>IFERROR(VLOOKUP(D1676,Products!A:F,6,0),"")</f>
        <v>1</v>
      </c>
      <c r="R1676">
        <f t="shared" si="78"/>
        <v>0.42761394101876676</v>
      </c>
      <c r="S1676">
        <f t="shared" si="79"/>
        <v>1</v>
      </c>
      <c r="T1676">
        <f>IF(AND(S1676&gt;1,COUNTIF($A$2:A1676,A1676)=1),1,0)</f>
        <v>0</v>
      </c>
      <c r="U1676">
        <f>COUNTIF(Customers!$A$2:$A$301,C1676)</f>
        <v>1</v>
      </c>
      <c r="V1676">
        <f t="shared" si="80"/>
        <v>0</v>
      </c>
    </row>
    <row r="1677" spans="1:22" ht="14.25" customHeight="1" x14ac:dyDescent="0.35">
      <c r="A1677" s="10" t="s">
        <v>2138</v>
      </c>
      <c r="B1677" s="11">
        <v>45549</v>
      </c>
      <c r="C1677" s="10" t="s">
        <v>337</v>
      </c>
      <c r="D1677" s="10" t="s">
        <v>107</v>
      </c>
      <c r="E1677" s="10" t="s">
        <v>261</v>
      </c>
      <c r="F1677" s="12">
        <v>7</v>
      </c>
      <c r="G1677" s="12">
        <v>3250</v>
      </c>
      <c r="H1677" s="12">
        <v>6</v>
      </c>
      <c r="I1677" s="12">
        <v>21385</v>
      </c>
      <c r="J1677" s="10" t="s">
        <v>51</v>
      </c>
      <c r="K1677" s="10" t="s">
        <v>52</v>
      </c>
      <c r="L1677" t="str">
        <f>IFERROR(VLOOKUP(D1677,Products!A:F,3,0),"")</f>
        <v>Home</v>
      </c>
      <c r="M1677" t="str">
        <f>IFERROR(VLOOKUP(E1677,Sales_Reps!A:E,3,0),"")</f>
        <v>North</v>
      </c>
      <c r="N1677" t="str">
        <f>IFERROR(VLOOKUP(C1677,Customers!A:F,5,0),"")</f>
        <v>Retail</v>
      </c>
      <c r="O1677">
        <f>IFERROR(VLOOKUP(C1677,Customers!A:F,3,0),"")</f>
        <v>43</v>
      </c>
      <c r="P1677">
        <f>IFERROR(VLOOKUP(D1677,Products!A:F,4,0),"")</f>
        <v>1556</v>
      </c>
      <c r="Q1677" t="b">
        <f>IFERROR(VLOOKUP(D1677,Products!A:F,6,0),"")</f>
        <v>1</v>
      </c>
      <c r="R1677">
        <f t="shared" si="78"/>
        <v>0.52123076923076928</v>
      </c>
      <c r="S1677">
        <f t="shared" si="79"/>
        <v>1</v>
      </c>
      <c r="T1677">
        <f>IF(AND(S1677&gt;1,COUNTIF($A$2:A1677,A1677)=1),1,0)</f>
        <v>0</v>
      </c>
      <c r="U1677">
        <f>COUNTIF(Customers!$A$2:$A$301,C1677)</f>
        <v>1</v>
      </c>
      <c r="V1677">
        <f t="shared" si="80"/>
        <v>0</v>
      </c>
    </row>
    <row r="1678" spans="1:22" ht="14.25" customHeight="1" x14ac:dyDescent="0.35">
      <c r="A1678" s="10" t="s">
        <v>2139</v>
      </c>
      <c r="B1678" s="11">
        <v>45519</v>
      </c>
      <c r="C1678" s="10" t="s">
        <v>734</v>
      </c>
      <c r="D1678" s="10" t="s">
        <v>61</v>
      </c>
      <c r="E1678" s="10" t="s">
        <v>156</v>
      </c>
      <c r="F1678" s="12">
        <v>9</v>
      </c>
      <c r="G1678" s="12">
        <v>470</v>
      </c>
      <c r="H1678" s="12">
        <v>11.6</v>
      </c>
      <c r="I1678" s="12">
        <v>3739.32</v>
      </c>
      <c r="J1678" s="10" t="s">
        <v>51</v>
      </c>
      <c r="K1678" s="10" t="s">
        <v>52</v>
      </c>
      <c r="L1678" t="str">
        <f>IFERROR(VLOOKUP(D1678,Products!A:F,3,0),"")</f>
        <v>Sports</v>
      </c>
      <c r="M1678" t="str">
        <f>IFERROR(VLOOKUP(E1678,Sales_Reps!A:E,3,0),"")</f>
        <v>East</v>
      </c>
      <c r="N1678" t="str">
        <f>IFERROR(VLOOKUP(C1678,Customers!A:F,5,0),"")</f>
        <v>Retail</v>
      </c>
      <c r="O1678">
        <f>IFERROR(VLOOKUP(C1678,Customers!A:F,3,0),"")</f>
        <v>35</v>
      </c>
      <c r="P1678">
        <f>IFERROR(VLOOKUP(D1678,Products!A:F,4,0),"")</f>
        <v>302</v>
      </c>
      <c r="Q1678" t="b">
        <f>IFERROR(VLOOKUP(D1678,Products!A:F,6,0),"")</f>
        <v>0</v>
      </c>
      <c r="R1678">
        <f t="shared" si="78"/>
        <v>0.35744680851063831</v>
      </c>
      <c r="S1678">
        <f t="shared" si="79"/>
        <v>1</v>
      </c>
      <c r="T1678">
        <f>IF(AND(S1678&gt;1,COUNTIF($A$2:A1678,A1678)=1),1,0)</f>
        <v>0</v>
      </c>
      <c r="U1678">
        <f>COUNTIF(Customers!$A$2:$A$301,C1678)</f>
        <v>1</v>
      </c>
      <c r="V1678">
        <f t="shared" si="80"/>
        <v>0</v>
      </c>
    </row>
    <row r="1679" spans="1:22" ht="14.25" customHeight="1" x14ac:dyDescent="0.35">
      <c r="A1679" s="10" t="s">
        <v>2140</v>
      </c>
      <c r="B1679" s="11">
        <v>45574</v>
      </c>
      <c r="C1679" s="10" t="s">
        <v>721</v>
      </c>
      <c r="D1679" s="10" t="s">
        <v>350</v>
      </c>
      <c r="E1679" s="10" t="s">
        <v>165</v>
      </c>
      <c r="F1679" s="12">
        <v>5</v>
      </c>
      <c r="G1679" s="12">
        <v>2290</v>
      </c>
      <c r="H1679" s="12">
        <v>27.6</v>
      </c>
      <c r="I1679" s="12">
        <v>8289.7999999999993</v>
      </c>
      <c r="J1679" s="10" t="s">
        <v>51</v>
      </c>
      <c r="K1679" s="10" t="s">
        <v>81</v>
      </c>
      <c r="L1679" t="str">
        <f>IFERROR(VLOOKUP(D1679,Products!A:F,3,0),"")</f>
        <v>Beauty</v>
      </c>
      <c r="M1679" t="str">
        <f>IFERROR(VLOOKUP(E1679,Sales_Reps!A:E,3,0),"")</f>
        <v>West</v>
      </c>
      <c r="N1679" t="str">
        <f>IFERROR(VLOOKUP(C1679,Customers!A:F,5,0),"")</f>
        <v>Corporate</v>
      </c>
      <c r="O1679">
        <f>IFERROR(VLOOKUP(C1679,Customers!A:F,3,0),"")</f>
        <v>43</v>
      </c>
      <c r="P1679">
        <f>IFERROR(VLOOKUP(D1679,Products!A:F,4,0),"")</f>
        <v>1219</v>
      </c>
      <c r="Q1679" t="b">
        <f>IFERROR(VLOOKUP(D1679,Products!A:F,6,0),"")</f>
        <v>1</v>
      </c>
      <c r="R1679">
        <f t="shared" si="78"/>
        <v>0.46768558951965067</v>
      </c>
      <c r="S1679">
        <f t="shared" si="79"/>
        <v>1</v>
      </c>
      <c r="T1679">
        <f>IF(AND(S1679&gt;1,COUNTIF($A$2:A1679,A1679)=1),1,0)</f>
        <v>0</v>
      </c>
      <c r="U1679">
        <f>COUNTIF(Customers!$A$2:$A$301,C1679)</f>
        <v>1</v>
      </c>
      <c r="V1679">
        <f t="shared" si="80"/>
        <v>0</v>
      </c>
    </row>
    <row r="1680" spans="1:22" ht="14.25" customHeight="1" x14ac:dyDescent="0.35">
      <c r="A1680" s="10" t="s">
        <v>2141</v>
      </c>
      <c r="B1680" s="11">
        <v>45462</v>
      </c>
      <c r="C1680" s="10" t="s">
        <v>633</v>
      </c>
      <c r="D1680" s="10" t="s">
        <v>84</v>
      </c>
      <c r="E1680" s="10" t="s">
        <v>193</v>
      </c>
      <c r="F1680" s="12">
        <v>6</v>
      </c>
      <c r="G1680" s="12">
        <v>1430</v>
      </c>
      <c r="H1680" s="12">
        <v>18.399999999999999</v>
      </c>
      <c r="I1680" s="12">
        <v>7001.28</v>
      </c>
      <c r="J1680" s="10" t="s">
        <v>57</v>
      </c>
      <c r="K1680" s="10" t="s">
        <v>97</v>
      </c>
      <c r="L1680" t="str">
        <f>IFERROR(VLOOKUP(D1680,Products!A:F,3,0),"")</f>
        <v>Electronics</v>
      </c>
      <c r="M1680" t="str">
        <f>IFERROR(VLOOKUP(E1680,Sales_Reps!A:E,3,0),"")</f>
        <v>West</v>
      </c>
      <c r="N1680" t="str">
        <f>IFERROR(VLOOKUP(C1680,Customers!A:F,5,0),"")</f>
        <v>Retail</v>
      </c>
      <c r="O1680">
        <f>IFERROR(VLOOKUP(C1680,Customers!A:F,3,0),"")</f>
        <v>31</v>
      </c>
      <c r="P1680">
        <f>IFERROR(VLOOKUP(D1680,Products!A:F,4,0),"")</f>
        <v>861</v>
      </c>
      <c r="Q1680" t="b">
        <f>IFERROR(VLOOKUP(D1680,Products!A:F,6,0),"")</f>
        <v>1</v>
      </c>
      <c r="R1680">
        <f t="shared" si="78"/>
        <v>0.39790209790209791</v>
      </c>
      <c r="S1680">
        <f t="shared" si="79"/>
        <v>1</v>
      </c>
      <c r="T1680">
        <f>IF(AND(S1680&gt;1,COUNTIF($A$2:A1680,A1680)=1),1,0)</f>
        <v>0</v>
      </c>
      <c r="U1680">
        <f>COUNTIF(Customers!$A$2:$A$301,C1680)</f>
        <v>1</v>
      </c>
      <c r="V1680">
        <f t="shared" si="80"/>
        <v>0</v>
      </c>
    </row>
    <row r="1681" spans="1:22" ht="14.25" customHeight="1" x14ac:dyDescent="0.35">
      <c r="A1681" s="10" t="s">
        <v>2142</v>
      </c>
      <c r="B1681" s="11">
        <v>45336</v>
      </c>
      <c r="C1681" s="10" t="s">
        <v>1225</v>
      </c>
      <c r="D1681" s="10" t="s">
        <v>159</v>
      </c>
      <c r="E1681" s="10" t="s">
        <v>261</v>
      </c>
      <c r="F1681" s="12">
        <v>7</v>
      </c>
      <c r="G1681" s="12">
        <v>2860</v>
      </c>
      <c r="H1681" s="12">
        <v>19.5</v>
      </c>
      <c r="I1681" s="12">
        <v>16116.1</v>
      </c>
      <c r="J1681" s="10" t="s">
        <v>51</v>
      </c>
      <c r="K1681" s="10" t="s">
        <v>81</v>
      </c>
      <c r="L1681" t="str">
        <f>IFERROR(VLOOKUP(D1681,Products!A:F,3,0),"")</f>
        <v>Sports</v>
      </c>
      <c r="M1681" t="str">
        <f>IFERROR(VLOOKUP(E1681,Sales_Reps!A:E,3,0),"")</f>
        <v>North</v>
      </c>
      <c r="N1681" t="str">
        <f>IFERROR(VLOOKUP(C1681,Customers!A:F,5,0),"")</f>
        <v>Retail</v>
      </c>
      <c r="O1681">
        <f>IFERROR(VLOOKUP(C1681,Customers!A:F,3,0),"")</f>
        <v>54</v>
      </c>
      <c r="P1681">
        <f>IFERROR(VLOOKUP(D1681,Products!A:F,4,0),"")</f>
        <v>2028</v>
      </c>
      <c r="Q1681" t="b">
        <f>IFERROR(VLOOKUP(D1681,Products!A:F,6,0),"")</f>
        <v>1</v>
      </c>
      <c r="R1681">
        <f t="shared" si="78"/>
        <v>0.29090909090909089</v>
      </c>
      <c r="S1681">
        <f t="shared" si="79"/>
        <v>1</v>
      </c>
      <c r="T1681">
        <f>IF(AND(S1681&gt;1,COUNTIF($A$2:A1681,A1681)=1),1,0)</f>
        <v>0</v>
      </c>
      <c r="U1681">
        <f>COUNTIF(Customers!$A$2:$A$301,C1681)</f>
        <v>1</v>
      </c>
      <c r="V1681">
        <f t="shared" si="80"/>
        <v>0</v>
      </c>
    </row>
    <row r="1682" spans="1:22" ht="14.25" customHeight="1" x14ac:dyDescent="0.35">
      <c r="A1682" s="10" t="s">
        <v>2143</v>
      </c>
      <c r="B1682" s="11">
        <v>45439</v>
      </c>
      <c r="C1682" s="10" t="s">
        <v>521</v>
      </c>
      <c r="D1682" s="10" t="s">
        <v>121</v>
      </c>
      <c r="E1682" s="10" t="s">
        <v>156</v>
      </c>
      <c r="F1682" s="12">
        <v>8</v>
      </c>
      <c r="G1682" s="12">
        <v>3450</v>
      </c>
      <c r="H1682" s="12">
        <v>25.5</v>
      </c>
      <c r="I1682" s="12">
        <v>20562</v>
      </c>
      <c r="J1682" s="10" t="s">
        <v>57</v>
      </c>
      <c r="K1682" s="10" t="s">
        <v>76</v>
      </c>
      <c r="L1682" t="str">
        <f>IFERROR(VLOOKUP(D1682,Products!A:F,3,0),"")</f>
        <v>Beauty</v>
      </c>
      <c r="M1682" t="str">
        <f>IFERROR(VLOOKUP(E1682,Sales_Reps!A:E,3,0),"")</f>
        <v>East</v>
      </c>
      <c r="N1682" t="str">
        <f>IFERROR(VLOOKUP(C1682,Customers!A:F,5,0),"")</f>
        <v>Retail</v>
      </c>
      <c r="O1682">
        <f>IFERROR(VLOOKUP(C1682,Customers!A:F,3,0),"")</f>
        <v>65</v>
      </c>
      <c r="P1682">
        <f>IFERROR(VLOOKUP(D1682,Products!A:F,4,0),"")</f>
        <v>2420</v>
      </c>
      <c r="Q1682" t="b">
        <f>IFERROR(VLOOKUP(D1682,Products!A:F,6,0),"")</f>
        <v>1</v>
      </c>
      <c r="R1682">
        <f t="shared" si="78"/>
        <v>0.29855072463768118</v>
      </c>
      <c r="S1682">
        <f t="shared" si="79"/>
        <v>1</v>
      </c>
      <c r="T1682">
        <f>IF(AND(S1682&gt;1,COUNTIF($A$2:A1682,A1682)=1),1,0)</f>
        <v>0</v>
      </c>
      <c r="U1682">
        <f>COUNTIF(Customers!$A$2:$A$301,C1682)</f>
        <v>1</v>
      </c>
      <c r="V1682">
        <f t="shared" si="80"/>
        <v>0</v>
      </c>
    </row>
    <row r="1683" spans="1:22" ht="14.25" customHeight="1" x14ac:dyDescent="0.35">
      <c r="A1683" s="10" t="s">
        <v>2144</v>
      </c>
      <c r="B1683" s="11">
        <v>45578</v>
      </c>
      <c r="C1683" s="10" t="s">
        <v>523</v>
      </c>
      <c r="D1683" s="10" t="s">
        <v>324</v>
      </c>
      <c r="E1683" s="10" t="s">
        <v>85</v>
      </c>
      <c r="F1683" s="12">
        <v>7</v>
      </c>
      <c r="G1683" s="12">
        <v>5410</v>
      </c>
      <c r="H1683" s="12">
        <v>15.2</v>
      </c>
      <c r="I1683" s="12">
        <v>32113.759999999998</v>
      </c>
      <c r="J1683" s="10" t="s">
        <v>104</v>
      </c>
      <c r="K1683" s="10" t="s">
        <v>52</v>
      </c>
      <c r="L1683" t="str">
        <f>IFERROR(VLOOKUP(D1683,Products!A:F,3,0),"")</f>
        <v>Sports</v>
      </c>
      <c r="M1683" t="str">
        <f>IFERROR(VLOOKUP(E1683,Sales_Reps!A:E,3,0),"")</f>
        <v>East</v>
      </c>
      <c r="N1683" t="str">
        <f>IFERROR(VLOOKUP(C1683,Customers!A:F,5,0),"")</f>
        <v>Retail</v>
      </c>
      <c r="O1683">
        <f>IFERROR(VLOOKUP(C1683,Customers!A:F,3,0),"")</f>
        <v>62</v>
      </c>
      <c r="P1683">
        <f>IFERROR(VLOOKUP(D1683,Products!A:F,4,0),"")</f>
        <v>2265</v>
      </c>
      <c r="Q1683" t="b">
        <f>IFERROR(VLOOKUP(D1683,Products!A:F,6,0),"")</f>
        <v>1</v>
      </c>
      <c r="R1683">
        <f t="shared" si="78"/>
        <v>0.58133086876155271</v>
      </c>
      <c r="S1683">
        <f t="shared" si="79"/>
        <v>1</v>
      </c>
      <c r="T1683">
        <f>IF(AND(S1683&gt;1,COUNTIF($A$2:A1683,A1683)=1),1,0)</f>
        <v>0</v>
      </c>
      <c r="U1683">
        <f>COUNTIF(Customers!$A$2:$A$301,C1683)</f>
        <v>1</v>
      </c>
      <c r="V1683">
        <f t="shared" si="80"/>
        <v>0</v>
      </c>
    </row>
    <row r="1684" spans="1:22" ht="14.25" customHeight="1" x14ac:dyDescent="0.35">
      <c r="A1684" s="10" t="s">
        <v>2145</v>
      </c>
      <c r="B1684" s="11">
        <v>45588</v>
      </c>
      <c r="C1684" s="10" t="s">
        <v>523</v>
      </c>
      <c r="D1684" s="10" t="s">
        <v>128</v>
      </c>
      <c r="E1684" s="10" t="s">
        <v>75</v>
      </c>
      <c r="F1684" s="12">
        <v>3</v>
      </c>
      <c r="G1684" s="12">
        <v>1080</v>
      </c>
      <c r="H1684" s="12">
        <v>26</v>
      </c>
      <c r="I1684" s="12">
        <v>2397.6</v>
      </c>
      <c r="J1684" s="10" t="s">
        <v>51</v>
      </c>
      <c r="K1684" s="10" t="s">
        <v>52</v>
      </c>
      <c r="L1684" t="str">
        <f>IFERROR(VLOOKUP(D1684,Products!A:F,3,0),"")</f>
        <v>Home</v>
      </c>
      <c r="M1684" t="str">
        <f>IFERROR(VLOOKUP(E1684,Sales_Reps!A:E,3,0),"")</f>
        <v>West</v>
      </c>
      <c r="N1684" t="str">
        <f>IFERROR(VLOOKUP(C1684,Customers!A:F,5,0),"")</f>
        <v>Retail</v>
      </c>
      <c r="O1684">
        <f>IFERROR(VLOOKUP(C1684,Customers!A:F,3,0),"")</f>
        <v>62</v>
      </c>
      <c r="P1684">
        <f>IFERROR(VLOOKUP(D1684,Products!A:F,4,0),"")</f>
        <v>519</v>
      </c>
      <c r="Q1684" t="b">
        <f>IFERROR(VLOOKUP(D1684,Products!A:F,6,0),"")</f>
        <v>1</v>
      </c>
      <c r="R1684">
        <f t="shared" si="78"/>
        <v>0.51944444444444449</v>
      </c>
      <c r="S1684">
        <f t="shared" si="79"/>
        <v>1</v>
      </c>
      <c r="T1684">
        <f>IF(AND(S1684&gt;1,COUNTIF($A$2:A1684,A1684)=1),1,0)</f>
        <v>0</v>
      </c>
      <c r="U1684">
        <f>COUNTIF(Customers!$A$2:$A$301,C1684)</f>
        <v>1</v>
      </c>
      <c r="V1684">
        <f t="shared" si="80"/>
        <v>0</v>
      </c>
    </row>
    <row r="1685" spans="1:22" ht="14.25" customHeight="1" x14ac:dyDescent="0.35">
      <c r="A1685" s="10" t="s">
        <v>2146</v>
      </c>
      <c r="B1685" s="11">
        <v>45354</v>
      </c>
      <c r="C1685" s="10" t="s">
        <v>276</v>
      </c>
      <c r="D1685" s="10" t="s">
        <v>159</v>
      </c>
      <c r="E1685" s="10" t="s">
        <v>85</v>
      </c>
      <c r="F1685" s="12">
        <v>8</v>
      </c>
      <c r="G1685" s="12">
        <v>2860</v>
      </c>
      <c r="H1685" s="12">
        <v>14.8</v>
      </c>
      <c r="I1685" s="12">
        <v>19493.759999999998</v>
      </c>
      <c r="J1685" s="10" t="s">
        <v>51</v>
      </c>
      <c r="K1685" s="10" t="s">
        <v>97</v>
      </c>
      <c r="L1685" t="str">
        <f>IFERROR(VLOOKUP(D1685,Products!A:F,3,0),"")</f>
        <v>Sports</v>
      </c>
      <c r="M1685" t="str">
        <f>IFERROR(VLOOKUP(E1685,Sales_Reps!A:E,3,0),"")</f>
        <v>East</v>
      </c>
      <c r="N1685" t="str">
        <f>IFERROR(VLOOKUP(C1685,Customers!A:F,5,0),"")</f>
        <v>Retail</v>
      </c>
      <c r="O1685">
        <f>IFERROR(VLOOKUP(C1685,Customers!A:F,3,0),"")</f>
        <v>46</v>
      </c>
      <c r="P1685">
        <f>IFERROR(VLOOKUP(D1685,Products!A:F,4,0),"")</f>
        <v>2028</v>
      </c>
      <c r="Q1685" t="b">
        <f>IFERROR(VLOOKUP(D1685,Products!A:F,6,0),"")</f>
        <v>1</v>
      </c>
      <c r="R1685">
        <f t="shared" si="78"/>
        <v>0.29090909090909089</v>
      </c>
      <c r="S1685">
        <f t="shared" si="79"/>
        <v>1</v>
      </c>
      <c r="T1685">
        <f>IF(AND(S1685&gt;1,COUNTIF($A$2:A1685,A1685)=1),1,0)</f>
        <v>0</v>
      </c>
      <c r="U1685">
        <f>COUNTIF(Customers!$A$2:$A$301,C1685)</f>
        <v>1</v>
      </c>
      <c r="V1685">
        <f t="shared" si="80"/>
        <v>0</v>
      </c>
    </row>
    <row r="1686" spans="1:22" ht="14.25" customHeight="1" x14ac:dyDescent="0.35">
      <c r="A1686" s="10" t="s">
        <v>2147</v>
      </c>
      <c r="B1686" s="11">
        <v>45332</v>
      </c>
      <c r="C1686" s="10" t="s">
        <v>2148</v>
      </c>
      <c r="D1686" s="10" t="s">
        <v>240</v>
      </c>
      <c r="E1686" s="10" t="s">
        <v>216</v>
      </c>
      <c r="F1686" s="12">
        <v>4</v>
      </c>
      <c r="G1686" s="12">
        <v>3020</v>
      </c>
      <c r="H1686" s="12">
        <v>8.1</v>
      </c>
      <c r="I1686" s="12">
        <v>11101.52</v>
      </c>
      <c r="J1686" s="10" t="s">
        <v>51</v>
      </c>
      <c r="K1686" s="10" t="s">
        <v>97</v>
      </c>
      <c r="L1686" t="str">
        <f>IFERROR(VLOOKUP(D1686,Products!A:F,3,0),"")</f>
        <v>Beauty</v>
      </c>
      <c r="M1686" t="str">
        <f>IFERROR(VLOOKUP(E1686,Sales_Reps!A:E,3,0),"")</f>
        <v>South</v>
      </c>
      <c r="N1686" t="str">
        <f>IFERROR(VLOOKUP(C1686,Customers!A:F,5,0),"")</f>
        <v/>
      </c>
      <c r="O1686" t="str">
        <f>IFERROR(VLOOKUP(C1686,Customers!A:F,3,0),"")</f>
        <v/>
      </c>
      <c r="P1686">
        <f>IFERROR(VLOOKUP(D1686,Products!A:F,4,0),"")</f>
        <v>1626</v>
      </c>
      <c r="Q1686" t="b">
        <f>IFERROR(VLOOKUP(D1686,Products!A:F,6,0),"")</f>
        <v>1</v>
      </c>
      <c r="R1686">
        <f t="shared" si="78"/>
        <v>0.46158940397350995</v>
      </c>
      <c r="S1686">
        <f t="shared" si="79"/>
        <v>1</v>
      </c>
      <c r="T1686">
        <f>IF(AND(S1686&gt;1,COUNTIF($A$2:A1686,A1686)=1),1,0)</f>
        <v>0</v>
      </c>
      <c r="U1686">
        <f>COUNTIF(Customers!$A$2:$A$301,C1686)</f>
        <v>0</v>
      </c>
      <c r="V1686">
        <f t="shared" si="80"/>
        <v>0</v>
      </c>
    </row>
    <row r="1687" spans="1:22" ht="14.25" customHeight="1" x14ac:dyDescent="0.35">
      <c r="A1687" s="10" t="s">
        <v>2149</v>
      </c>
      <c r="B1687" s="11">
        <v>45649</v>
      </c>
      <c r="C1687" s="10" t="s">
        <v>192</v>
      </c>
      <c r="D1687" s="10" t="s">
        <v>79</v>
      </c>
      <c r="E1687" s="10" t="s">
        <v>75</v>
      </c>
      <c r="F1687" s="12">
        <v>4</v>
      </c>
      <c r="G1687" s="12">
        <v>960</v>
      </c>
      <c r="H1687" s="12">
        <v>6.4</v>
      </c>
      <c r="I1687" s="12">
        <v>3594.24</v>
      </c>
      <c r="J1687" s="10" t="s">
        <v>104</v>
      </c>
      <c r="K1687" s="10" t="s">
        <v>76</v>
      </c>
      <c r="L1687" t="str">
        <f>IFERROR(VLOOKUP(D1687,Products!A:F,3,0),"")</f>
        <v>Sports</v>
      </c>
      <c r="M1687" t="str">
        <f>IFERROR(VLOOKUP(E1687,Sales_Reps!A:E,3,0),"")</f>
        <v>West</v>
      </c>
      <c r="N1687" t="str">
        <f>IFERROR(VLOOKUP(C1687,Customers!A:F,5,0),"")</f>
        <v>SMB</v>
      </c>
      <c r="O1687">
        <f>IFERROR(VLOOKUP(C1687,Customers!A:F,3,0),"")</f>
        <v>54</v>
      </c>
      <c r="P1687">
        <f>IFERROR(VLOOKUP(D1687,Products!A:F,4,0),"")</f>
        <v>705</v>
      </c>
      <c r="Q1687" t="b">
        <f>IFERROR(VLOOKUP(D1687,Products!A:F,6,0),"")</f>
        <v>1</v>
      </c>
      <c r="R1687">
        <f t="shared" si="78"/>
        <v>0.265625</v>
      </c>
      <c r="S1687">
        <f t="shared" si="79"/>
        <v>1</v>
      </c>
      <c r="T1687">
        <f>IF(AND(S1687&gt;1,COUNTIF($A$2:A1687,A1687)=1),1,0)</f>
        <v>0</v>
      </c>
      <c r="U1687">
        <f>COUNTIF(Customers!$A$2:$A$301,C1687)</f>
        <v>1</v>
      </c>
      <c r="V1687">
        <f t="shared" si="80"/>
        <v>0</v>
      </c>
    </row>
    <row r="1688" spans="1:22" ht="14.25" customHeight="1" x14ac:dyDescent="0.35">
      <c r="A1688" s="10" t="s">
        <v>2150</v>
      </c>
      <c r="B1688" s="11">
        <v>45596</v>
      </c>
      <c r="C1688" s="10" t="s">
        <v>515</v>
      </c>
      <c r="D1688" s="10" t="s">
        <v>212</v>
      </c>
      <c r="E1688" s="10" t="s">
        <v>193</v>
      </c>
      <c r="F1688" s="12">
        <v>4</v>
      </c>
      <c r="G1688" s="12">
        <v>3870</v>
      </c>
      <c r="H1688" s="12">
        <v>15.9</v>
      </c>
      <c r="I1688" s="12">
        <v>13018.68</v>
      </c>
      <c r="J1688" s="10" t="s">
        <v>51</v>
      </c>
      <c r="K1688" s="10" t="s">
        <v>76</v>
      </c>
      <c r="L1688" t="str">
        <f>IFERROR(VLOOKUP(D1688,Products!A:F,3,0),"")</f>
        <v>Electronics</v>
      </c>
      <c r="M1688" t="str">
        <f>IFERROR(VLOOKUP(E1688,Sales_Reps!A:E,3,0),"")</f>
        <v>West</v>
      </c>
      <c r="N1688" t="str">
        <f>IFERROR(VLOOKUP(C1688,Customers!A:F,5,0),"")</f>
        <v>Corporate</v>
      </c>
      <c r="O1688">
        <f>IFERROR(VLOOKUP(C1688,Customers!A:F,3,0),"")</f>
        <v>60</v>
      </c>
      <c r="P1688">
        <f>IFERROR(VLOOKUP(D1688,Products!A:F,4,0),"")</f>
        <v>1559</v>
      </c>
      <c r="Q1688" t="b">
        <f>IFERROR(VLOOKUP(D1688,Products!A:F,6,0),"")</f>
        <v>1</v>
      </c>
      <c r="R1688">
        <f t="shared" si="78"/>
        <v>0.59715762273901807</v>
      </c>
      <c r="S1688">
        <f t="shared" si="79"/>
        <v>1</v>
      </c>
      <c r="T1688">
        <f>IF(AND(S1688&gt;1,COUNTIF($A$2:A1688,A1688)=1),1,0)</f>
        <v>0</v>
      </c>
      <c r="U1688">
        <f>COUNTIF(Customers!$A$2:$A$301,C1688)</f>
        <v>1</v>
      </c>
      <c r="V1688">
        <f t="shared" si="80"/>
        <v>0</v>
      </c>
    </row>
    <row r="1689" spans="1:22" ht="14.25" customHeight="1" x14ac:dyDescent="0.35">
      <c r="A1689" s="10" t="s">
        <v>2151</v>
      </c>
      <c r="B1689" s="11">
        <v>45378</v>
      </c>
      <c r="C1689" s="10" t="s">
        <v>1136</v>
      </c>
      <c r="D1689" s="10" t="s">
        <v>70</v>
      </c>
      <c r="E1689" s="10" t="s">
        <v>156</v>
      </c>
      <c r="F1689" s="12">
        <v>5</v>
      </c>
      <c r="G1689" s="12">
        <v>3160</v>
      </c>
      <c r="H1689" s="12">
        <v>29.8</v>
      </c>
      <c r="I1689" s="12">
        <v>11091.6</v>
      </c>
      <c r="J1689" s="10" t="s">
        <v>51</v>
      </c>
      <c r="K1689" s="10" t="s">
        <v>52</v>
      </c>
      <c r="L1689" t="str">
        <f>IFERROR(VLOOKUP(D1689,Products!A:F,3,0),"")</f>
        <v>Apparel</v>
      </c>
      <c r="M1689" t="str">
        <f>IFERROR(VLOOKUP(E1689,Sales_Reps!A:E,3,0),"")</f>
        <v>East</v>
      </c>
      <c r="N1689" t="str">
        <f>IFERROR(VLOOKUP(C1689,Customers!A:F,5,0),"")</f>
        <v>Retail</v>
      </c>
      <c r="O1689">
        <f>IFERROR(VLOOKUP(C1689,Customers!A:F,3,0),"")</f>
        <v>39</v>
      </c>
      <c r="P1689">
        <f>IFERROR(VLOOKUP(D1689,Products!A:F,4,0),"")</f>
        <v>1886</v>
      </c>
      <c r="Q1689" t="b">
        <f>IFERROR(VLOOKUP(D1689,Products!A:F,6,0),"")</f>
        <v>1</v>
      </c>
      <c r="R1689">
        <f t="shared" si="78"/>
        <v>0.4031645569620253</v>
      </c>
      <c r="S1689">
        <f t="shared" si="79"/>
        <v>1</v>
      </c>
      <c r="T1689">
        <f>IF(AND(S1689&gt;1,COUNTIF($A$2:A1689,A1689)=1),1,0)</f>
        <v>0</v>
      </c>
      <c r="U1689">
        <f>COUNTIF(Customers!$A$2:$A$301,C1689)</f>
        <v>1</v>
      </c>
      <c r="V1689">
        <f t="shared" si="80"/>
        <v>0</v>
      </c>
    </row>
    <row r="1690" spans="1:22" ht="14.25" customHeight="1" x14ac:dyDescent="0.35">
      <c r="A1690" s="10" t="s">
        <v>2152</v>
      </c>
      <c r="B1690" s="11">
        <v>45403</v>
      </c>
      <c r="C1690" s="10" t="s">
        <v>404</v>
      </c>
      <c r="D1690" s="10" t="s">
        <v>121</v>
      </c>
      <c r="E1690" s="10" t="s">
        <v>307</v>
      </c>
      <c r="F1690" s="12">
        <v>5</v>
      </c>
      <c r="G1690" s="12">
        <v>3450</v>
      </c>
      <c r="H1690" s="12">
        <v>29.4</v>
      </c>
      <c r="I1690" s="12">
        <v>12178.5</v>
      </c>
      <c r="J1690" s="10" t="s">
        <v>51</v>
      </c>
      <c r="K1690" s="10" t="s">
        <v>52</v>
      </c>
      <c r="L1690" t="str">
        <f>IFERROR(VLOOKUP(D1690,Products!A:F,3,0),"")</f>
        <v>Beauty</v>
      </c>
      <c r="M1690" t="str">
        <f>IFERROR(VLOOKUP(E1690,Sales_Reps!A:E,3,0),"")</f>
        <v>West</v>
      </c>
      <c r="N1690" t="str">
        <f>IFERROR(VLOOKUP(C1690,Customers!A:F,5,0),"")</f>
        <v>SMB</v>
      </c>
      <c r="O1690">
        <f>IFERROR(VLOOKUP(C1690,Customers!A:F,3,0),"")</f>
        <v>30</v>
      </c>
      <c r="P1690">
        <f>IFERROR(VLOOKUP(D1690,Products!A:F,4,0),"")</f>
        <v>2420</v>
      </c>
      <c r="Q1690" t="b">
        <f>IFERROR(VLOOKUP(D1690,Products!A:F,6,0),"")</f>
        <v>1</v>
      </c>
      <c r="R1690">
        <f t="shared" si="78"/>
        <v>0.29855072463768118</v>
      </c>
      <c r="S1690">
        <f t="shared" si="79"/>
        <v>1</v>
      </c>
      <c r="T1690">
        <f>IF(AND(S1690&gt;1,COUNTIF($A$2:A1690,A1690)=1),1,0)</f>
        <v>0</v>
      </c>
      <c r="U1690">
        <f>COUNTIF(Customers!$A$2:$A$301,C1690)</f>
        <v>1</v>
      </c>
      <c r="V1690">
        <f t="shared" si="80"/>
        <v>0</v>
      </c>
    </row>
    <row r="1691" spans="1:22" ht="14.25" customHeight="1" x14ac:dyDescent="0.35">
      <c r="A1691" s="10" t="s">
        <v>2153</v>
      </c>
      <c r="B1691" s="11">
        <v>45535</v>
      </c>
      <c r="C1691" s="10" t="s">
        <v>814</v>
      </c>
      <c r="D1691" s="10" t="s">
        <v>344</v>
      </c>
      <c r="E1691" s="10" t="s">
        <v>267</v>
      </c>
      <c r="F1691" s="12">
        <v>10</v>
      </c>
      <c r="G1691" s="12">
        <v>960</v>
      </c>
      <c r="H1691" s="12">
        <v>27</v>
      </c>
      <c r="I1691" s="12">
        <v>7008</v>
      </c>
      <c r="J1691" s="10" t="s">
        <v>104</v>
      </c>
      <c r="K1691" s="10" t="s">
        <v>58</v>
      </c>
      <c r="L1691" t="str">
        <f>IFERROR(VLOOKUP(D1691,Products!A:F,3,0),"")</f>
        <v>Beauty</v>
      </c>
      <c r="M1691" t="str">
        <f>IFERROR(VLOOKUP(E1691,Sales_Reps!A:E,3,0),"")</f>
        <v>East</v>
      </c>
      <c r="N1691" t="str">
        <f>IFERROR(VLOOKUP(C1691,Customers!A:F,5,0),"")</f>
        <v>SMB</v>
      </c>
      <c r="O1691">
        <f>IFERROR(VLOOKUP(C1691,Customers!A:F,3,0),"")</f>
        <v>26</v>
      </c>
      <c r="P1691">
        <f>IFERROR(VLOOKUP(D1691,Products!A:F,4,0),"")</f>
        <v>675</v>
      </c>
      <c r="Q1691" t="b">
        <f>IFERROR(VLOOKUP(D1691,Products!A:F,6,0),"")</f>
        <v>1</v>
      </c>
      <c r="R1691">
        <f t="shared" si="78"/>
        <v>0.296875</v>
      </c>
      <c r="S1691">
        <f t="shared" si="79"/>
        <v>1</v>
      </c>
      <c r="T1691">
        <f>IF(AND(S1691&gt;1,COUNTIF($A$2:A1691,A1691)=1),1,0)</f>
        <v>0</v>
      </c>
      <c r="U1691">
        <f>COUNTIF(Customers!$A$2:$A$301,C1691)</f>
        <v>1</v>
      </c>
      <c r="V1691">
        <f t="shared" si="80"/>
        <v>0</v>
      </c>
    </row>
    <row r="1692" spans="1:22" ht="14.25" customHeight="1" x14ac:dyDescent="0.35">
      <c r="A1692" s="10" t="s">
        <v>2154</v>
      </c>
      <c r="B1692" s="11">
        <v>45429</v>
      </c>
      <c r="C1692" s="10" t="s">
        <v>743</v>
      </c>
      <c r="D1692" s="10" t="s">
        <v>479</v>
      </c>
      <c r="E1692" s="10" t="s">
        <v>267</v>
      </c>
      <c r="F1692" s="12">
        <v>10</v>
      </c>
      <c r="G1692" s="12">
        <v>6940</v>
      </c>
      <c r="H1692" s="12">
        <v>20.100000000000001</v>
      </c>
      <c r="I1692" s="12">
        <v>55450.6</v>
      </c>
      <c r="J1692" s="10" t="s">
        <v>51</v>
      </c>
      <c r="K1692" s="10" t="s">
        <v>81</v>
      </c>
      <c r="L1692" t="str">
        <f>IFERROR(VLOOKUP(D1692,Products!A:F,3,0),"")</f>
        <v>Sports</v>
      </c>
      <c r="M1692" t="str">
        <f>IFERROR(VLOOKUP(E1692,Sales_Reps!A:E,3,0),"")</f>
        <v>East</v>
      </c>
      <c r="N1692" t="str">
        <f>IFERROR(VLOOKUP(C1692,Customers!A:F,5,0),"")</f>
        <v>Retail</v>
      </c>
      <c r="O1692">
        <f>IFERROR(VLOOKUP(C1692,Customers!A:F,3,0),"")</f>
        <v>27</v>
      </c>
      <c r="P1692">
        <f>IFERROR(VLOOKUP(D1692,Products!A:F,4,0),"")</f>
        <v>2827</v>
      </c>
      <c r="Q1692" t="b">
        <f>IFERROR(VLOOKUP(D1692,Products!A:F,6,0),"")</f>
        <v>1</v>
      </c>
      <c r="R1692">
        <f t="shared" si="78"/>
        <v>0.5926512968299712</v>
      </c>
      <c r="S1692">
        <f t="shared" si="79"/>
        <v>1</v>
      </c>
      <c r="T1692">
        <f>IF(AND(S1692&gt;1,COUNTIF($A$2:A1692,A1692)=1),1,0)</f>
        <v>0</v>
      </c>
      <c r="U1692">
        <f>COUNTIF(Customers!$A$2:$A$301,C1692)</f>
        <v>1</v>
      </c>
      <c r="V1692">
        <f t="shared" si="80"/>
        <v>0</v>
      </c>
    </row>
    <row r="1693" spans="1:22" ht="14.25" customHeight="1" x14ac:dyDescent="0.35">
      <c r="A1693" s="10" t="s">
        <v>2155</v>
      </c>
      <c r="B1693" s="11">
        <v>45436</v>
      </c>
      <c r="C1693" s="10" t="s">
        <v>563</v>
      </c>
      <c r="D1693" s="10" t="s">
        <v>115</v>
      </c>
      <c r="E1693" s="10" t="s">
        <v>168</v>
      </c>
      <c r="F1693" s="12">
        <v>9</v>
      </c>
      <c r="G1693" s="12">
        <v>2400</v>
      </c>
      <c r="H1693" s="12">
        <v>7.8</v>
      </c>
      <c r="I1693" s="12">
        <v>19915.2</v>
      </c>
      <c r="J1693" s="10" t="s">
        <v>51</v>
      </c>
      <c r="K1693" s="10" t="s">
        <v>81</v>
      </c>
      <c r="L1693" t="str">
        <f>IFERROR(VLOOKUP(D1693,Products!A:F,3,0),"")</f>
        <v>Sports</v>
      </c>
      <c r="M1693" t="str">
        <f>IFERROR(VLOOKUP(E1693,Sales_Reps!A:E,3,0),"")</f>
        <v>South</v>
      </c>
      <c r="N1693" t="str">
        <f>IFERROR(VLOOKUP(C1693,Customers!A:F,5,0),"")</f>
        <v>Corporate</v>
      </c>
      <c r="O1693">
        <f>IFERROR(VLOOKUP(C1693,Customers!A:F,3,0),"")</f>
        <v>26</v>
      </c>
      <c r="P1693">
        <f>IFERROR(VLOOKUP(D1693,Products!A:F,4,0),"")</f>
        <v>974</v>
      </c>
      <c r="Q1693" t="b">
        <f>IFERROR(VLOOKUP(D1693,Products!A:F,6,0),"")</f>
        <v>1</v>
      </c>
      <c r="R1693">
        <f t="shared" si="78"/>
        <v>0.59416666666666662</v>
      </c>
      <c r="S1693">
        <f t="shared" si="79"/>
        <v>1</v>
      </c>
      <c r="T1693">
        <f>IF(AND(S1693&gt;1,COUNTIF($A$2:A1693,A1693)=1),1,0)</f>
        <v>0</v>
      </c>
      <c r="U1693">
        <f>COUNTIF(Customers!$A$2:$A$301,C1693)</f>
        <v>1</v>
      </c>
      <c r="V1693">
        <f t="shared" si="80"/>
        <v>0</v>
      </c>
    </row>
    <row r="1694" spans="1:22" ht="14.25" customHeight="1" x14ac:dyDescent="0.35">
      <c r="A1694" s="10" t="s">
        <v>2156</v>
      </c>
      <c r="B1694" s="11">
        <v>45397</v>
      </c>
      <c r="C1694" s="10" t="s">
        <v>1261</v>
      </c>
      <c r="D1694" s="10" t="s">
        <v>324</v>
      </c>
      <c r="E1694" s="10" t="s">
        <v>202</v>
      </c>
      <c r="F1694" s="12">
        <v>1</v>
      </c>
      <c r="G1694" s="12">
        <v>5410</v>
      </c>
      <c r="H1694" s="12">
        <v>22.8</v>
      </c>
      <c r="I1694" s="12">
        <v>4176.5200000000004</v>
      </c>
      <c r="J1694" s="10" t="s">
        <v>51</v>
      </c>
      <c r="K1694" s="10" t="s">
        <v>76</v>
      </c>
      <c r="L1694" t="str">
        <f>IFERROR(VLOOKUP(D1694,Products!A:F,3,0),"")</f>
        <v>Sports</v>
      </c>
      <c r="M1694" t="str">
        <f>IFERROR(VLOOKUP(E1694,Sales_Reps!A:E,3,0),"")</f>
        <v>East</v>
      </c>
      <c r="N1694" t="str">
        <f>IFERROR(VLOOKUP(C1694,Customers!A:F,5,0),"")</f>
        <v>Retail</v>
      </c>
      <c r="O1694">
        <f>IFERROR(VLOOKUP(C1694,Customers!A:F,3,0),"")</f>
        <v>38</v>
      </c>
      <c r="P1694">
        <f>IFERROR(VLOOKUP(D1694,Products!A:F,4,0),"")</f>
        <v>2265</v>
      </c>
      <c r="Q1694" t="b">
        <f>IFERROR(VLOOKUP(D1694,Products!A:F,6,0),"")</f>
        <v>1</v>
      </c>
      <c r="R1694">
        <f t="shared" si="78"/>
        <v>0.58133086876155271</v>
      </c>
      <c r="S1694">
        <f t="shared" si="79"/>
        <v>1</v>
      </c>
      <c r="T1694">
        <f>IF(AND(S1694&gt;1,COUNTIF($A$2:A1694,A1694)=1),1,0)</f>
        <v>0</v>
      </c>
      <c r="U1694">
        <f>COUNTIF(Customers!$A$2:$A$301,C1694)</f>
        <v>1</v>
      </c>
      <c r="V1694">
        <f t="shared" si="80"/>
        <v>0</v>
      </c>
    </row>
    <row r="1695" spans="1:22" ht="14.25" customHeight="1" x14ac:dyDescent="0.35">
      <c r="A1695" s="10" t="s">
        <v>2157</v>
      </c>
      <c r="B1695" s="11">
        <v>45629</v>
      </c>
      <c r="C1695" s="10" t="s">
        <v>1225</v>
      </c>
      <c r="D1695" s="10" t="s">
        <v>231</v>
      </c>
      <c r="E1695" s="10" t="s">
        <v>103</v>
      </c>
      <c r="F1695" s="12">
        <v>7</v>
      </c>
      <c r="G1695" s="12">
        <v>1220</v>
      </c>
      <c r="H1695" s="12">
        <v>18.8</v>
      </c>
      <c r="I1695" s="12">
        <v>6934.48</v>
      </c>
      <c r="J1695" s="10" t="s">
        <v>57</v>
      </c>
      <c r="K1695" s="10" t="s">
        <v>81</v>
      </c>
      <c r="L1695" t="str">
        <f>IFERROR(VLOOKUP(D1695,Products!A:F,3,0),"")</f>
        <v>Electronics</v>
      </c>
      <c r="M1695" t="str">
        <f>IFERROR(VLOOKUP(E1695,Sales_Reps!A:E,3,0),"")</f>
        <v>North</v>
      </c>
      <c r="N1695" t="str">
        <f>IFERROR(VLOOKUP(C1695,Customers!A:F,5,0),"")</f>
        <v>Retail</v>
      </c>
      <c r="O1695">
        <f>IFERROR(VLOOKUP(C1695,Customers!A:F,3,0),"")</f>
        <v>54</v>
      </c>
      <c r="P1695">
        <f>IFERROR(VLOOKUP(D1695,Products!A:F,4,0),"")</f>
        <v>517</v>
      </c>
      <c r="Q1695" t="b">
        <f>IFERROR(VLOOKUP(D1695,Products!A:F,6,0),"")</f>
        <v>1</v>
      </c>
      <c r="R1695">
        <f t="shared" si="78"/>
        <v>0.57622950819672136</v>
      </c>
      <c r="S1695">
        <f t="shared" si="79"/>
        <v>1</v>
      </c>
      <c r="T1695">
        <f>IF(AND(S1695&gt;1,COUNTIF($A$2:A1695,A1695)=1),1,0)</f>
        <v>0</v>
      </c>
      <c r="U1695">
        <f>COUNTIF(Customers!$A$2:$A$301,C1695)</f>
        <v>1</v>
      </c>
      <c r="V1695">
        <f t="shared" si="80"/>
        <v>0</v>
      </c>
    </row>
    <row r="1696" spans="1:22" ht="14.25" customHeight="1" x14ac:dyDescent="0.35">
      <c r="A1696" s="10" t="s">
        <v>2158</v>
      </c>
      <c r="B1696" s="11">
        <v>45595</v>
      </c>
      <c r="C1696" s="10" t="s">
        <v>145</v>
      </c>
      <c r="D1696" s="10" t="s">
        <v>466</v>
      </c>
      <c r="E1696" s="10" t="s">
        <v>85</v>
      </c>
      <c r="F1696" s="12">
        <v>1</v>
      </c>
      <c r="G1696" s="12">
        <v>1090</v>
      </c>
      <c r="H1696" s="12">
        <v>23.5</v>
      </c>
      <c r="I1696" s="12">
        <v>833.85</v>
      </c>
      <c r="J1696" s="10" t="s">
        <v>51</v>
      </c>
      <c r="K1696" s="10" t="s">
        <v>63</v>
      </c>
      <c r="L1696" t="str">
        <f>IFERROR(VLOOKUP(D1696,Products!A:F,3,0),"")</f>
        <v>Home</v>
      </c>
      <c r="M1696" t="str">
        <f>IFERROR(VLOOKUP(E1696,Sales_Reps!A:E,3,0),"")</f>
        <v>East</v>
      </c>
      <c r="N1696" t="str">
        <f>IFERROR(VLOOKUP(C1696,Customers!A:F,5,0),"")</f>
        <v>Retail</v>
      </c>
      <c r="O1696">
        <f>IFERROR(VLOOKUP(C1696,Customers!A:F,3,0),"")</f>
        <v>31</v>
      </c>
      <c r="P1696">
        <f>IFERROR(VLOOKUP(D1696,Products!A:F,4,0),"")</f>
        <v>464</v>
      </c>
      <c r="Q1696" t="b">
        <f>IFERROR(VLOOKUP(D1696,Products!A:F,6,0),"")</f>
        <v>1</v>
      </c>
      <c r="R1696">
        <f t="shared" si="78"/>
        <v>0.57431192660550456</v>
      </c>
      <c r="S1696">
        <f t="shared" si="79"/>
        <v>1</v>
      </c>
      <c r="T1696">
        <f>IF(AND(S1696&gt;1,COUNTIF($A$2:A1696,A1696)=1),1,0)</f>
        <v>0</v>
      </c>
      <c r="U1696">
        <f>COUNTIF(Customers!$A$2:$A$301,C1696)</f>
        <v>1</v>
      </c>
      <c r="V1696">
        <f t="shared" si="80"/>
        <v>0</v>
      </c>
    </row>
    <row r="1697" spans="1:22" ht="14.25" customHeight="1" x14ac:dyDescent="0.35">
      <c r="A1697" s="10" t="s">
        <v>2159</v>
      </c>
      <c r="B1697" s="11">
        <v>45531</v>
      </c>
      <c r="C1697" s="10" t="s">
        <v>885</v>
      </c>
      <c r="D1697" s="10" t="s">
        <v>164</v>
      </c>
      <c r="E1697" s="10" t="s">
        <v>118</v>
      </c>
      <c r="F1697" s="12">
        <v>2</v>
      </c>
      <c r="G1697" s="12">
        <v>2760</v>
      </c>
      <c r="H1697" s="12">
        <v>2.2999999999999998</v>
      </c>
      <c r="I1697" s="12">
        <v>5393.04</v>
      </c>
      <c r="J1697" s="10" t="s">
        <v>51</v>
      </c>
      <c r="K1697" s="10" t="s">
        <v>81</v>
      </c>
      <c r="L1697" t="str">
        <f>IFERROR(VLOOKUP(D1697,Products!A:F,3,0),"")</f>
        <v>Grocery</v>
      </c>
      <c r="M1697" t="str">
        <f>IFERROR(VLOOKUP(E1697,Sales_Reps!A:E,3,0),"")</f>
        <v>East</v>
      </c>
      <c r="N1697" t="str">
        <f>IFERROR(VLOOKUP(C1697,Customers!A:F,5,0),"")</f>
        <v>Retail</v>
      </c>
      <c r="O1697">
        <f>IFERROR(VLOOKUP(C1697,Customers!A:F,3,0),"")</f>
        <v>28</v>
      </c>
      <c r="P1697">
        <f>IFERROR(VLOOKUP(D1697,Products!A:F,4,0),"")</f>
        <v>1435</v>
      </c>
      <c r="Q1697" t="b">
        <f>IFERROR(VLOOKUP(D1697,Products!A:F,6,0),"")</f>
        <v>1</v>
      </c>
      <c r="R1697">
        <f t="shared" si="78"/>
        <v>0.48007246376811596</v>
      </c>
      <c r="S1697">
        <f t="shared" si="79"/>
        <v>1</v>
      </c>
      <c r="T1697">
        <f>IF(AND(S1697&gt;1,COUNTIF($A$2:A1697,A1697)=1),1,0)</f>
        <v>0</v>
      </c>
      <c r="U1697">
        <f>COUNTIF(Customers!$A$2:$A$301,C1697)</f>
        <v>1</v>
      </c>
      <c r="V1697">
        <f t="shared" si="80"/>
        <v>5393.04</v>
      </c>
    </row>
    <row r="1698" spans="1:22" ht="14.25" customHeight="1" x14ac:dyDescent="0.35">
      <c r="A1698" s="10" t="s">
        <v>2160</v>
      </c>
      <c r="B1698" s="11">
        <v>45626</v>
      </c>
      <c r="C1698" s="10" t="s">
        <v>525</v>
      </c>
      <c r="D1698" s="10" t="s">
        <v>151</v>
      </c>
      <c r="E1698" s="10" t="s">
        <v>165</v>
      </c>
      <c r="F1698" s="12">
        <v>3</v>
      </c>
      <c r="G1698" s="12">
        <v>3570</v>
      </c>
      <c r="H1698" s="12">
        <v>18.399999999999999</v>
      </c>
      <c r="I1698" s="12">
        <v>8739.36</v>
      </c>
      <c r="J1698" s="10" t="s">
        <v>108</v>
      </c>
      <c r="K1698" s="10" t="s">
        <v>97</v>
      </c>
      <c r="L1698" t="str">
        <f>IFERROR(VLOOKUP(D1698,Products!A:F,3,0),"")</f>
        <v>Electronics</v>
      </c>
      <c r="M1698" t="str">
        <f>IFERROR(VLOOKUP(E1698,Sales_Reps!A:E,3,0),"")</f>
        <v>West</v>
      </c>
      <c r="N1698" t="str">
        <f>IFERROR(VLOOKUP(C1698,Customers!A:F,5,0),"")</f>
        <v>SMB</v>
      </c>
      <c r="O1698">
        <f>IFERROR(VLOOKUP(C1698,Customers!A:F,3,0),"")</f>
        <v>43</v>
      </c>
      <c r="P1698">
        <f>IFERROR(VLOOKUP(D1698,Products!A:F,4,0),"")</f>
        <v>1665</v>
      </c>
      <c r="Q1698" t="b">
        <f>IFERROR(VLOOKUP(D1698,Products!A:F,6,0),"")</f>
        <v>1</v>
      </c>
      <c r="R1698">
        <f t="shared" si="78"/>
        <v>0.53361344537815125</v>
      </c>
      <c r="S1698">
        <f t="shared" si="79"/>
        <v>1</v>
      </c>
      <c r="T1698">
        <f>IF(AND(S1698&gt;1,COUNTIF($A$2:A1698,A1698)=1),1,0)</f>
        <v>0</v>
      </c>
      <c r="U1698">
        <f>COUNTIF(Customers!$A$2:$A$301,C1698)</f>
        <v>1</v>
      </c>
      <c r="V1698">
        <f t="shared" si="80"/>
        <v>0</v>
      </c>
    </row>
    <row r="1699" spans="1:22" ht="14.25" customHeight="1" x14ac:dyDescent="0.35">
      <c r="A1699" s="10" t="s">
        <v>2161</v>
      </c>
      <c r="B1699" s="11">
        <v>45502</v>
      </c>
      <c r="C1699" s="10" t="s">
        <v>653</v>
      </c>
      <c r="D1699" s="10" t="s">
        <v>231</v>
      </c>
      <c r="E1699" s="10" t="s">
        <v>103</v>
      </c>
      <c r="F1699" s="12">
        <v>7</v>
      </c>
      <c r="G1699" s="12">
        <v>1220</v>
      </c>
      <c r="H1699" s="12">
        <v>25.8</v>
      </c>
      <c r="I1699" s="12">
        <v>6336.68</v>
      </c>
      <c r="J1699" s="10" t="s">
        <v>108</v>
      </c>
      <c r="K1699" s="10" t="s">
        <v>97</v>
      </c>
      <c r="L1699" t="str">
        <f>IFERROR(VLOOKUP(D1699,Products!A:F,3,0),"")</f>
        <v>Electronics</v>
      </c>
      <c r="M1699" t="str">
        <f>IFERROR(VLOOKUP(E1699,Sales_Reps!A:E,3,0),"")</f>
        <v>North</v>
      </c>
      <c r="N1699" t="str">
        <f>IFERROR(VLOOKUP(C1699,Customers!A:F,5,0),"")</f>
        <v>Retail</v>
      </c>
      <c r="O1699">
        <f>IFERROR(VLOOKUP(C1699,Customers!A:F,3,0),"")</f>
        <v>28</v>
      </c>
      <c r="P1699">
        <f>IFERROR(VLOOKUP(D1699,Products!A:F,4,0),"")</f>
        <v>517</v>
      </c>
      <c r="Q1699" t="b">
        <f>IFERROR(VLOOKUP(D1699,Products!A:F,6,0),"")</f>
        <v>1</v>
      </c>
      <c r="R1699">
        <f t="shared" si="78"/>
        <v>0.57622950819672136</v>
      </c>
      <c r="S1699">
        <f t="shared" si="79"/>
        <v>1</v>
      </c>
      <c r="T1699">
        <f>IF(AND(S1699&gt;1,COUNTIF($A$2:A1699,A1699)=1),1,0)</f>
        <v>0</v>
      </c>
      <c r="U1699">
        <f>COUNTIF(Customers!$A$2:$A$301,C1699)</f>
        <v>1</v>
      </c>
      <c r="V1699">
        <f t="shared" si="80"/>
        <v>0</v>
      </c>
    </row>
    <row r="1700" spans="1:22" ht="14.25" customHeight="1" x14ac:dyDescent="0.35">
      <c r="A1700" s="10" t="s">
        <v>2162</v>
      </c>
      <c r="B1700" s="11">
        <v>45501</v>
      </c>
      <c r="C1700" s="10" t="s">
        <v>1136</v>
      </c>
      <c r="D1700" s="10" t="s">
        <v>125</v>
      </c>
      <c r="E1700" s="10" t="s">
        <v>193</v>
      </c>
      <c r="F1700" s="12">
        <v>6</v>
      </c>
      <c r="G1700" s="12">
        <v>3450</v>
      </c>
      <c r="H1700" s="12">
        <v>13.1</v>
      </c>
      <c r="I1700" s="12">
        <v>17988.3</v>
      </c>
      <c r="J1700" s="10" t="s">
        <v>51</v>
      </c>
      <c r="K1700" s="10" t="s">
        <v>52</v>
      </c>
      <c r="L1700" t="str">
        <f>IFERROR(VLOOKUP(D1700,Products!A:F,3,0),"")</f>
        <v>Sports</v>
      </c>
      <c r="M1700" t="str">
        <f>IFERROR(VLOOKUP(E1700,Sales_Reps!A:E,3,0),"")</f>
        <v>West</v>
      </c>
      <c r="N1700" t="str">
        <f>IFERROR(VLOOKUP(C1700,Customers!A:F,5,0),"")</f>
        <v>Retail</v>
      </c>
      <c r="O1700">
        <f>IFERROR(VLOOKUP(C1700,Customers!A:F,3,0),"")</f>
        <v>39</v>
      </c>
      <c r="P1700">
        <f>IFERROR(VLOOKUP(D1700,Products!A:F,4,0),"")</f>
        <v>2467</v>
      </c>
      <c r="Q1700" t="b">
        <f>IFERROR(VLOOKUP(D1700,Products!A:F,6,0),"")</f>
        <v>1</v>
      </c>
      <c r="R1700">
        <f t="shared" si="78"/>
        <v>0.28492753623188405</v>
      </c>
      <c r="S1700">
        <f t="shared" si="79"/>
        <v>1</v>
      </c>
      <c r="T1700">
        <f>IF(AND(S1700&gt;1,COUNTIF($A$2:A1700,A1700)=1),1,0)</f>
        <v>0</v>
      </c>
      <c r="U1700">
        <f>COUNTIF(Customers!$A$2:$A$301,C1700)</f>
        <v>1</v>
      </c>
      <c r="V1700">
        <f t="shared" si="80"/>
        <v>0</v>
      </c>
    </row>
    <row r="1701" spans="1:22" ht="14.25" customHeight="1" x14ac:dyDescent="0.35">
      <c r="A1701" s="10" t="s">
        <v>2163</v>
      </c>
      <c r="B1701" s="11">
        <v>45435</v>
      </c>
      <c r="C1701" s="10" t="s">
        <v>73</v>
      </c>
      <c r="D1701" s="10" t="s">
        <v>302</v>
      </c>
      <c r="E1701" s="10" t="s">
        <v>103</v>
      </c>
      <c r="F1701" s="12">
        <v>10</v>
      </c>
      <c r="G1701" s="12">
        <v>2210</v>
      </c>
      <c r="H1701" s="12">
        <v>16.600000000000001</v>
      </c>
      <c r="I1701" s="12">
        <v>18431.400000000001</v>
      </c>
      <c r="J1701" s="10" t="s">
        <v>51</v>
      </c>
      <c r="K1701" s="10" t="s">
        <v>76</v>
      </c>
      <c r="L1701" t="str">
        <f>IFERROR(VLOOKUP(D1701,Products!A:F,3,0),"")</f>
        <v>Grocery</v>
      </c>
      <c r="M1701" t="str">
        <f>IFERROR(VLOOKUP(E1701,Sales_Reps!A:E,3,0),"")</f>
        <v>North</v>
      </c>
      <c r="N1701" t="str">
        <f>IFERROR(VLOOKUP(C1701,Customers!A:F,5,0),"")</f>
        <v>Retail</v>
      </c>
      <c r="O1701">
        <f>IFERROR(VLOOKUP(C1701,Customers!A:F,3,0),"")</f>
        <v>36</v>
      </c>
      <c r="P1701">
        <f>IFERROR(VLOOKUP(D1701,Products!A:F,4,0),"")</f>
        <v>1010</v>
      </c>
      <c r="Q1701" t="b">
        <f>IFERROR(VLOOKUP(D1701,Products!A:F,6,0),"")</f>
        <v>1</v>
      </c>
      <c r="R1701">
        <f t="shared" si="78"/>
        <v>0.54298642533936647</v>
      </c>
      <c r="S1701">
        <f t="shared" si="79"/>
        <v>1</v>
      </c>
      <c r="T1701">
        <f>IF(AND(S1701&gt;1,COUNTIF($A$2:A1701,A1701)=1),1,0)</f>
        <v>0</v>
      </c>
      <c r="U1701">
        <f>COUNTIF(Customers!$A$2:$A$301,C1701)</f>
        <v>1</v>
      </c>
      <c r="V1701">
        <f t="shared" si="80"/>
        <v>0</v>
      </c>
    </row>
    <row r="1702" spans="1:22" ht="14.25" customHeight="1" x14ac:dyDescent="0.35">
      <c r="A1702" s="10" t="s">
        <v>2164</v>
      </c>
      <c r="B1702" s="11">
        <v>45295</v>
      </c>
      <c r="C1702" s="10" t="s">
        <v>380</v>
      </c>
      <c r="D1702" s="10" t="s">
        <v>131</v>
      </c>
      <c r="E1702" s="10" t="s">
        <v>307</v>
      </c>
      <c r="F1702" s="12">
        <v>10</v>
      </c>
      <c r="G1702" s="12">
        <v>2480</v>
      </c>
      <c r="H1702" s="12">
        <v>17.5</v>
      </c>
      <c r="I1702" s="12">
        <v>20460</v>
      </c>
      <c r="J1702" s="10" t="s">
        <v>51</v>
      </c>
      <c r="K1702" s="10" t="s">
        <v>81</v>
      </c>
      <c r="L1702" t="str">
        <f>IFERROR(VLOOKUP(D1702,Products!A:F,3,0),"")</f>
        <v>Apparel</v>
      </c>
      <c r="M1702" t="str">
        <f>IFERROR(VLOOKUP(E1702,Sales_Reps!A:E,3,0),"")</f>
        <v>West</v>
      </c>
      <c r="N1702" t="str">
        <f>IFERROR(VLOOKUP(C1702,Customers!A:F,5,0),"")</f>
        <v>Corporate</v>
      </c>
      <c r="O1702">
        <f>IFERROR(VLOOKUP(C1702,Customers!A:F,3,0),"")</f>
        <v>42</v>
      </c>
      <c r="P1702">
        <f>IFERROR(VLOOKUP(D1702,Products!A:F,4,0),"")</f>
        <v>1173</v>
      </c>
      <c r="Q1702" t="b">
        <f>IFERROR(VLOOKUP(D1702,Products!A:F,6,0),"")</f>
        <v>1</v>
      </c>
      <c r="R1702">
        <f t="shared" si="78"/>
        <v>0.52701612903225803</v>
      </c>
      <c r="S1702">
        <f t="shared" si="79"/>
        <v>1</v>
      </c>
      <c r="T1702">
        <f>IF(AND(S1702&gt;1,COUNTIF($A$2:A1702,A1702)=1),1,0)</f>
        <v>0</v>
      </c>
      <c r="U1702">
        <f>COUNTIF(Customers!$A$2:$A$301,C1702)</f>
        <v>1</v>
      </c>
      <c r="V1702">
        <f t="shared" si="80"/>
        <v>0</v>
      </c>
    </row>
    <row r="1703" spans="1:22" ht="14.25" customHeight="1" x14ac:dyDescent="0.35">
      <c r="A1703" s="10" t="s">
        <v>2165</v>
      </c>
      <c r="B1703" s="11">
        <v>45566</v>
      </c>
      <c r="C1703" s="10" t="s">
        <v>1136</v>
      </c>
      <c r="D1703" s="10" t="s">
        <v>107</v>
      </c>
      <c r="E1703" s="10" t="s">
        <v>85</v>
      </c>
      <c r="F1703" s="12">
        <v>9</v>
      </c>
      <c r="G1703" s="12">
        <v>3250</v>
      </c>
      <c r="H1703" s="12">
        <v>25.9</v>
      </c>
      <c r="I1703" s="12">
        <v>21674.25</v>
      </c>
      <c r="J1703" s="10" t="s">
        <v>51</v>
      </c>
      <c r="K1703" s="10" t="s">
        <v>52</v>
      </c>
      <c r="L1703" t="str">
        <f>IFERROR(VLOOKUP(D1703,Products!A:F,3,0),"")</f>
        <v>Home</v>
      </c>
      <c r="M1703" t="str">
        <f>IFERROR(VLOOKUP(E1703,Sales_Reps!A:E,3,0),"")</f>
        <v>East</v>
      </c>
      <c r="N1703" t="str">
        <f>IFERROR(VLOOKUP(C1703,Customers!A:F,5,0),"")</f>
        <v>Retail</v>
      </c>
      <c r="O1703">
        <f>IFERROR(VLOOKUP(C1703,Customers!A:F,3,0),"")</f>
        <v>39</v>
      </c>
      <c r="P1703">
        <f>IFERROR(VLOOKUP(D1703,Products!A:F,4,0),"")</f>
        <v>1556</v>
      </c>
      <c r="Q1703" t="b">
        <f>IFERROR(VLOOKUP(D1703,Products!A:F,6,0),"")</f>
        <v>1</v>
      </c>
      <c r="R1703">
        <f t="shared" si="78"/>
        <v>0.52123076923076928</v>
      </c>
      <c r="S1703">
        <f t="shared" si="79"/>
        <v>1</v>
      </c>
      <c r="T1703">
        <f>IF(AND(S1703&gt;1,COUNTIF($A$2:A1703,A1703)=1),1,0)</f>
        <v>0</v>
      </c>
      <c r="U1703">
        <f>COUNTIF(Customers!$A$2:$A$301,C1703)</f>
        <v>1</v>
      </c>
      <c r="V1703">
        <f t="shared" si="80"/>
        <v>0</v>
      </c>
    </row>
    <row r="1704" spans="1:22" ht="14.25" customHeight="1" x14ac:dyDescent="0.35">
      <c r="A1704" s="10" t="s">
        <v>2166</v>
      </c>
      <c r="B1704" s="11">
        <v>45474</v>
      </c>
      <c r="C1704" s="10" t="s">
        <v>801</v>
      </c>
      <c r="D1704" s="10" t="s">
        <v>115</v>
      </c>
      <c r="E1704" s="10" t="s">
        <v>71</v>
      </c>
      <c r="F1704" s="12">
        <v>3</v>
      </c>
      <c r="G1704" s="12">
        <v>2400</v>
      </c>
      <c r="H1704" s="12">
        <v>17.5</v>
      </c>
      <c r="I1704" s="12">
        <v>5940</v>
      </c>
      <c r="J1704" s="10" t="s">
        <v>51</v>
      </c>
      <c r="K1704" s="10" t="s">
        <v>81</v>
      </c>
      <c r="L1704" t="str">
        <f>IFERROR(VLOOKUP(D1704,Products!A:F,3,0),"")</f>
        <v>Sports</v>
      </c>
      <c r="M1704" t="str">
        <f>IFERROR(VLOOKUP(E1704,Sales_Reps!A:E,3,0),"")</f>
        <v>North</v>
      </c>
      <c r="N1704" t="str">
        <f>IFERROR(VLOOKUP(C1704,Customers!A:F,5,0),"")</f>
        <v>Retail</v>
      </c>
      <c r="O1704">
        <f>IFERROR(VLOOKUP(C1704,Customers!A:F,3,0),"")</f>
        <v>37</v>
      </c>
      <c r="P1704">
        <f>IFERROR(VLOOKUP(D1704,Products!A:F,4,0),"")</f>
        <v>974</v>
      </c>
      <c r="Q1704" t="b">
        <f>IFERROR(VLOOKUP(D1704,Products!A:F,6,0),"")</f>
        <v>1</v>
      </c>
      <c r="R1704">
        <f t="shared" si="78"/>
        <v>0.59416666666666662</v>
      </c>
      <c r="S1704">
        <f t="shared" si="79"/>
        <v>1</v>
      </c>
      <c r="T1704">
        <f>IF(AND(S1704&gt;1,COUNTIF($A$2:A1704,A1704)=1),1,0)</f>
        <v>0</v>
      </c>
      <c r="U1704">
        <f>COUNTIF(Customers!$A$2:$A$301,C1704)</f>
        <v>1</v>
      </c>
      <c r="V1704">
        <f t="shared" si="80"/>
        <v>0</v>
      </c>
    </row>
    <row r="1705" spans="1:22" ht="14.25" customHeight="1" x14ac:dyDescent="0.35">
      <c r="A1705" s="10" t="s">
        <v>2167</v>
      </c>
      <c r="B1705" s="11">
        <v>45372</v>
      </c>
      <c r="C1705" s="10" t="s">
        <v>255</v>
      </c>
      <c r="D1705" s="10" t="s">
        <v>324</v>
      </c>
      <c r="E1705" s="10" t="s">
        <v>67</v>
      </c>
      <c r="F1705" s="12">
        <v>8</v>
      </c>
      <c r="G1705" s="12">
        <v>5410</v>
      </c>
      <c r="H1705" s="12">
        <v>8.3000000000000007</v>
      </c>
      <c r="I1705" s="12">
        <v>39687.760000000002</v>
      </c>
      <c r="J1705" s="10" t="s">
        <v>51</v>
      </c>
      <c r="K1705" s="10" t="s">
        <v>63</v>
      </c>
      <c r="L1705" t="str">
        <f>IFERROR(VLOOKUP(D1705,Products!A:F,3,0),"")</f>
        <v>Sports</v>
      </c>
      <c r="M1705" t="str">
        <f>IFERROR(VLOOKUP(E1705,Sales_Reps!A:E,3,0),"")</f>
        <v>North</v>
      </c>
      <c r="N1705" t="str">
        <f>IFERROR(VLOOKUP(C1705,Customers!A:F,5,0),"")</f>
        <v>Retail</v>
      </c>
      <c r="O1705">
        <f>IFERROR(VLOOKUP(C1705,Customers!A:F,3,0),"")</f>
        <v>35</v>
      </c>
      <c r="P1705">
        <f>IFERROR(VLOOKUP(D1705,Products!A:F,4,0),"")</f>
        <v>2265</v>
      </c>
      <c r="Q1705" t="b">
        <f>IFERROR(VLOOKUP(D1705,Products!A:F,6,0),"")</f>
        <v>1</v>
      </c>
      <c r="R1705">
        <f t="shared" si="78"/>
        <v>0.58133086876155271</v>
      </c>
      <c r="S1705">
        <f t="shared" si="79"/>
        <v>1</v>
      </c>
      <c r="T1705">
        <f>IF(AND(S1705&gt;1,COUNTIF($A$2:A1705,A1705)=1),1,0)</f>
        <v>0</v>
      </c>
      <c r="U1705">
        <f>COUNTIF(Customers!$A$2:$A$301,C1705)</f>
        <v>1</v>
      </c>
      <c r="V1705">
        <f t="shared" si="80"/>
        <v>0</v>
      </c>
    </row>
    <row r="1706" spans="1:22" ht="14.25" customHeight="1" x14ac:dyDescent="0.35">
      <c r="A1706" s="10" t="s">
        <v>2168</v>
      </c>
      <c r="B1706" s="11">
        <v>45622</v>
      </c>
      <c r="C1706" s="10" t="s">
        <v>799</v>
      </c>
      <c r="D1706" s="10" t="s">
        <v>102</v>
      </c>
      <c r="E1706" s="10" t="s">
        <v>267</v>
      </c>
      <c r="F1706" s="12">
        <v>1</v>
      </c>
      <c r="G1706" s="12">
        <v>2600</v>
      </c>
      <c r="H1706" s="12">
        <v>5.9</v>
      </c>
      <c r="I1706" s="12">
        <v>2446.6</v>
      </c>
      <c r="J1706" s="10" t="s">
        <v>51</v>
      </c>
      <c r="K1706" s="10" t="s">
        <v>81</v>
      </c>
      <c r="L1706" t="str">
        <f>IFERROR(VLOOKUP(D1706,Products!A:F,3,0),"")</f>
        <v>Electronics</v>
      </c>
      <c r="M1706" t="str">
        <f>IFERROR(VLOOKUP(E1706,Sales_Reps!A:E,3,0),"")</f>
        <v>East</v>
      </c>
      <c r="N1706" t="str">
        <f>IFERROR(VLOOKUP(C1706,Customers!A:F,5,0),"")</f>
        <v>Retail</v>
      </c>
      <c r="O1706">
        <f>IFERROR(VLOOKUP(C1706,Customers!A:F,3,0),"")</f>
        <v>52</v>
      </c>
      <c r="P1706">
        <f>IFERROR(VLOOKUP(D1706,Products!A:F,4,0),"")</f>
        <v>1052</v>
      </c>
      <c r="Q1706" t="b">
        <f>IFERROR(VLOOKUP(D1706,Products!A:F,6,0),"")</f>
        <v>1</v>
      </c>
      <c r="R1706">
        <f t="shared" si="78"/>
        <v>0.5953846153846154</v>
      </c>
      <c r="S1706">
        <f t="shared" si="79"/>
        <v>1</v>
      </c>
      <c r="T1706">
        <f>IF(AND(S1706&gt;1,COUNTIF($A$2:A1706,A1706)=1),1,0)</f>
        <v>0</v>
      </c>
      <c r="U1706">
        <f>COUNTIF(Customers!$A$2:$A$301,C1706)</f>
        <v>1</v>
      </c>
      <c r="V1706">
        <f t="shared" si="80"/>
        <v>0</v>
      </c>
    </row>
    <row r="1707" spans="1:22" ht="14.25" customHeight="1" x14ac:dyDescent="0.35">
      <c r="A1707" s="10" t="s">
        <v>2169</v>
      </c>
      <c r="B1707" s="11">
        <v>45603</v>
      </c>
      <c r="C1707" s="10" t="s">
        <v>330</v>
      </c>
      <c r="D1707" s="10" t="s">
        <v>315</v>
      </c>
      <c r="E1707" s="10" t="s">
        <v>112</v>
      </c>
      <c r="F1707" s="12">
        <v>10</v>
      </c>
      <c r="G1707" s="12">
        <v>4060</v>
      </c>
      <c r="H1707" s="12">
        <v>2.2999999999999998</v>
      </c>
      <c r="I1707" s="12">
        <v>39666.199999999997</v>
      </c>
      <c r="J1707" s="10" t="s">
        <v>51</v>
      </c>
      <c r="K1707" s="10" t="s">
        <v>76</v>
      </c>
      <c r="L1707" t="str">
        <f>IFERROR(VLOOKUP(D1707,Products!A:F,3,0),"")</f>
        <v>Grocery</v>
      </c>
      <c r="M1707" t="str">
        <f>IFERROR(VLOOKUP(E1707,Sales_Reps!A:E,3,0),"")</f>
        <v>North</v>
      </c>
      <c r="N1707" t="str">
        <f>IFERROR(VLOOKUP(C1707,Customers!A:F,5,0),"")</f>
        <v>Retail</v>
      </c>
      <c r="O1707">
        <f>IFERROR(VLOOKUP(C1707,Customers!A:F,3,0),"")</f>
        <v>25</v>
      </c>
      <c r="P1707">
        <f>IFERROR(VLOOKUP(D1707,Products!A:F,4,0),"")</f>
        <v>2911</v>
      </c>
      <c r="Q1707" t="b">
        <f>IFERROR(VLOOKUP(D1707,Products!A:F,6,0),"")</f>
        <v>1</v>
      </c>
      <c r="R1707">
        <f t="shared" si="78"/>
        <v>0.28300492610837441</v>
      </c>
      <c r="S1707">
        <f t="shared" si="79"/>
        <v>1</v>
      </c>
      <c r="T1707">
        <f>IF(AND(S1707&gt;1,COUNTIF($A$2:A1707,A1707)=1),1,0)</f>
        <v>0</v>
      </c>
      <c r="U1707">
        <f>COUNTIF(Customers!$A$2:$A$301,C1707)</f>
        <v>1</v>
      </c>
      <c r="V1707">
        <f t="shared" si="80"/>
        <v>0</v>
      </c>
    </row>
    <row r="1708" spans="1:22" ht="14.25" customHeight="1" x14ac:dyDescent="0.35">
      <c r="A1708" s="10" t="s">
        <v>2170</v>
      </c>
      <c r="B1708" s="11">
        <v>45352</v>
      </c>
      <c r="C1708" s="10" t="s">
        <v>693</v>
      </c>
      <c r="D1708" s="10" t="s">
        <v>328</v>
      </c>
      <c r="E1708" s="10" t="s">
        <v>156</v>
      </c>
      <c r="F1708" s="12">
        <v>9</v>
      </c>
      <c r="G1708" s="12">
        <v>5330</v>
      </c>
      <c r="H1708" s="12">
        <v>23.5</v>
      </c>
      <c r="I1708" s="12">
        <v>36697.050000000003</v>
      </c>
      <c r="J1708" s="10" t="s">
        <v>51</v>
      </c>
      <c r="K1708" s="10" t="s">
        <v>76</v>
      </c>
      <c r="L1708" t="str">
        <f>IFERROR(VLOOKUP(D1708,Products!A:F,3,0),"")</f>
        <v>Electronics</v>
      </c>
      <c r="M1708" t="str">
        <f>IFERROR(VLOOKUP(E1708,Sales_Reps!A:E,3,0),"")</f>
        <v>East</v>
      </c>
      <c r="N1708" t="str">
        <f>IFERROR(VLOOKUP(C1708,Customers!A:F,5,0),"")</f>
        <v>Retail</v>
      </c>
      <c r="O1708">
        <f>IFERROR(VLOOKUP(C1708,Customers!A:F,3,0),"")</f>
        <v>56</v>
      </c>
      <c r="P1708">
        <f>IFERROR(VLOOKUP(D1708,Products!A:F,4,0),"")</f>
        <v>2405</v>
      </c>
      <c r="Q1708" t="b">
        <f>IFERROR(VLOOKUP(D1708,Products!A:F,6,0),"")</f>
        <v>1</v>
      </c>
      <c r="R1708">
        <f t="shared" si="78"/>
        <v>0.54878048780487809</v>
      </c>
      <c r="S1708">
        <f t="shared" si="79"/>
        <v>1</v>
      </c>
      <c r="T1708">
        <f>IF(AND(S1708&gt;1,COUNTIF($A$2:A1708,A1708)=1),1,0)</f>
        <v>0</v>
      </c>
      <c r="U1708">
        <f>COUNTIF(Customers!$A$2:$A$301,C1708)</f>
        <v>1</v>
      </c>
      <c r="V1708">
        <f t="shared" si="80"/>
        <v>0</v>
      </c>
    </row>
    <row r="1709" spans="1:22" ht="14.25" customHeight="1" x14ac:dyDescent="0.35">
      <c r="A1709" s="10" t="s">
        <v>2171</v>
      </c>
      <c r="B1709" s="11">
        <v>45600</v>
      </c>
      <c r="C1709" s="10" t="s">
        <v>263</v>
      </c>
      <c r="D1709" s="10" t="s">
        <v>143</v>
      </c>
      <c r="E1709" s="10" t="s">
        <v>75</v>
      </c>
      <c r="F1709" s="12">
        <v>7</v>
      </c>
      <c r="G1709" s="12">
        <v>3350</v>
      </c>
      <c r="H1709" s="12">
        <v>13.4</v>
      </c>
      <c r="I1709" s="12">
        <v>20307.7</v>
      </c>
      <c r="J1709" s="10" t="s">
        <v>57</v>
      </c>
      <c r="K1709" s="10" t="s">
        <v>97</v>
      </c>
      <c r="L1709" t="str">
        <f>IFERROR(VLOOKUP(D1709,Products!A:F,3,0),"")</f>
        <v>Beauty</v>
      </c>
      <c r="M1709" t="str">
        <f>IFERROR(VLOOKUP(E1709,Sales_Reps!A:E,3,0),"")</f>
        <v>West</v>
      </c>
      <c r="N1709" t="str">
        <f>IFERROR(VLOOKUP(C1709,Customers!A:F,5,0),"")</f>
        <v>Retail</v>
      </c>
      <c r="O1709">
        <f>IFERROR(VLOOKUP(C1709,Customers!A:F,3,0),"")</f>
        <v>29</v>
      </c>
      <c r="P1709">
        <f>IFERROR(VLOOKUP(D1709,Products!A:F,4,0),"")</f>
        <v>1728</v>
      </c>
      <c r="Q1709" t="b">
        <f>IFERROR(VLOOKUP(D1709,Products!A:F,6,0),"")</f>
        <v>1</v>
      </c>
      <c r="R1709">
        <f t="shared" si="78"/>
        <v>0.48417910447761192</v>
      </c>
      <c r="S1709">
        <f t="shared" si="79"/>
        <v>1</v>
      </c>
      <c r="T1709">
        <f>IF(AND(S1709&gt;1,COUNTIF($A$2:A1709,A1709)=1),1,0)</f>
        <v>0</v>
      </c>
      <c r="U1709">
        <f>COUNTIF(Customers!$A$2:$A$301,C1709)</f>
        <v>1</v>
      </c>
      <c r="V1709">
        <f t="shared" si="80"/>
        <v>0</v>
      </c>
    </row>
    <row r="1710" spans="1:22" ht="14.25" customHeight="1" x14ac:dyDescent="0.35">
      <c r="A1710" s="10" t="s">
        <v>2172</v>
      </c>
      <c r="B1710" s="11">
        <v>45631</v>
      </c>
      <c r="C1710" s="10" t="s">
        <v>529</v>
      </c>
      <c r="D1710" s="10" t="s">
        <v>319</v>
      </c>
      <c r="E1710" s="10" t="s">
        <v>62</v>
      </c>
      <c r="F1710" s="12">
        <v>4</v>
      </c>
      <c r="G1710" s="12">
        <v>2510</v>
      </c>
      <c r="H1710" s="12">
        <v>26.6</v>
      </c>
      <c r="I1710" s="12">
        <v>7369.36</v>
      </c>
      <c r="J1710" s="10" t="s">
        <v>51</v>
      </c>
      <c r="K1710" s="10" t="s">
        <v>76</v>
      </c>
      <c r="L1710" t="str">
        <f>IFERROR(VLOOKUP(D1710,Products!A:F,3,0),"")</f>
        <v>Apparel</v>
      </c>
      <c r="M1710" t="str">
        <f>IFERROR(VLOOKUP(E1710,Sales_Reps!A:E,3,0),"")</f>
        <v>South</v>
      </c>
      <c r="N1710" t="str">
        <f>IFERROR(VLOOKUP(C1710,Customers!A:F,5,0),"")</f>
        <v>SMB</v>
      </c>
      <c r="O1710">
        <f>IFERROR(VLOOKUP(C1710,Customers!A:F,3,0),"")</f>
        <v>61</v>
      </c>
      <c r="P1710">
        <f>IFERROR(VLOOKUP(D1710,Products!A:F,4,0),"")</f>
        <v>1075</v>
      </c>
      <c r="Q1710" t="b">
        <f>IFERROR(VLOOKUP(D1710,Products!A:F,6,0),"")</f>
        <v>0</v>
      </c>
      <c r="R1710">
        <f t="shared" si="78"/>
        <v>0.57171314741035861</v>
      </c>
      <c r="S1710">
        <f t="shared" si="79"/>
        <v>1</v>
      </c>
      <c r="T1710">
        <f>IF(AND(S1710&gt;1,COUNTIF($A$2:A1710,A1710)=1),1,0)</f>
        <v>0</v>
      </c>
      <c r="U1710">
        <f>COUNTIF(Customers!$A$2:$A$301,C1710)</f>
        <v>1</v>
      </c>
      <c r="V1710">
        <f t="shared" si="80"/>
        <v>0</v>
      </c>
    </row>
    <row r="1711" spans="1:22" ht="14.25" customHeight="1" x14ac:dyDescent="0.35">
      <c r="A1711" s="10" t="s">
        <v>2173</v>
      </c>
      <c r="B1711" s="11">
        <v>45456</v>
      </c>
      <c r="C1711" s="10" t="s">
        <v>158</v>
      </c>
      <c r="D1711" s="10" t="s">
        <v>240</v>
      </c>
      <c r="E1711" s="10" t="s">
        <v>122</v>
      </c>
      <c r="F1711" s="12">
        <v>1</v>
      </c>
      <c r="G1711" s="12">
        <v>3020</v>
      </c>
      <c r="H1711" s="12">
        <v>15.2</v>
      </c>
      <c r="I1711" s="12">
        <v>2560.96</v>
      </c>
      <c r="J1711" s="10" t="s">
        <v>104</v>
      </c>
      <c r="K1711" s="10" t="s">
        <v>52</v>
      </c>
      <c r="L1711" t="str">
        <f>IFERROR(VLOOKUP(D1711,Products!A:F,3,0),"")</f>
        <v>Beauty</v>
      </c>
      <c r="M1711" t="str">
        <f>IFERROR(VLOOKUP(E1711,Sales_Reps!A:E,3,0),"")</f>
        <v>East</v>
      </c>
      <c r="N1711" t="str">
        <f>IFERROR(VLOOKUP(C1711,Customers!A:F,5,0),"")</f>
        <v>SMB</v>
      </c>
      <c r="O1711">
        <f>IFERROR(VLOOKUP(C1711,Customers!A:F,3,0),"")</f>
        <v>44</v>
      </c>
      <c r="P1711">
        <f>IFERROR(VLOOKUP(D1711,Products!A:F,4,0),"")</f>
        <v>1626</v>
      </c>
      <c r="Q1711" t="b">
        <f>IFERROR(VLOOKUP(D1711,Products!A:F,6,0),"")</f>
        <v>1</v>
      </c>
      <c r="R1711">
        <f t="shared" si="78"/>
        <v>0.46158940397350995</v>
      </c>
      <c r="S1711">
        <f t="shared" si="79"/>
        <v>1</v>
      </c>
      <c r="T1711">
        <f>IF(AND(S1711&gt;1,COUNTIF($A$2:A1711,A1711)=1),1,0)</f>
        <v>0</v>
      </c>
      <c r="U1711">
        <f>COUNTIF(Customers!$A$2:$A$301,C1711)</f>
        <v>1</v>
      </c>
      <c r="V1711">
        <f t="shared" si="80"/>
        <v>0</v>
      </c>
    </row>
    <row r="1712" spans="1:22" ht="14.25" customHeight="1" x14ac:dyDescent="0.35">
      <c r="A1712" s="10" t="s">
        <v>2174</v>
      </c>
      <c r="B1712" s="11">
        <v>45539</v>
      </c>
      <c r="C1712" s="10" t="s">
        <v>934</v>
      </c>
      <c r="D1712" s="10" t="s">
        <v>55</v>
      </c>
      <c r="E1712" s="10" t="s">
        <v>193</v>
      </c>
      <c r="F1712" s="12">
        <v>1</v>
      </c>
      <c r="G1712" s="12">
        <v>820</v>
      </c>
      <c r="H1712" s="12">
        <v>6.3</v>
      </c>
      <c r="I1712" s="12">
        <v>768.34</v>
      </c>
      <c r="J1712" s="10" t="s">
        <v>51</v>
      </c>
      <c r="K1712" s="10" t="s">
        <v>76</v>
      </c>
      <c r="L1712" t="str">
        <f>IFERROR(VLOOKUP(D1712,Products!A:F,3,0),"")</f>
        <v>Apparel</v>
      </c>
      <c r="M1712" t="str">
        <f>IFERROR(VLOOKUP(E1712,Sales_Reps!A:E,3,0),"")</f>
        <v>West</v>
      </c>
      <c r="N1712" t="str">
        <f>IFERROR(VLOOKUP(C1712,Customers!A:F,5,0),"")</f>
        <v>Retail</v>
      </c>
      <c r="O1712">
        <f>IFERROR(VLOOKUP(C1712,Customers!A:F,3,0),"")</f>
        <v>40</v>
      </c>
      <c r="P1712">
        <f>IFERROR(VLOOKUP(D1712,Products!A:F,4,0),"")</f>
        <v>391</v>
      </c>
      <c r="Q1712" t="b">
        <f>IFERROR(VLOOKUP(D1712,Products!A:F,6,0),"")</f>
        <v>1</v>
      </c>
      <c r="R1712">
        <f t="shared" si="78"/>
        <v>0.52317073170731709</v>
      </c>
      <c r="S1712">
        <f t="shared" si="79"/>
        <v>1</v>
      </c>
      <c r="T1712">
        <f>IF(AND(S1712&gt;1,COUNTIF($A$2:A1712,A1712)=1),1,0)</f>
        <v>0</v>
      </c>
      <c r="U1712">
        <f>COUNTIF(Customers!$A$2:$A$301,C1712)</f>
        <v>1</v>
      </c>
      <c r="V1712">
        <f t="shared" si="80"/>
        <v>0</v>
      </c>
    </row>
    <row r="1713" spans="1:22" ht="14.25" customHeight="1" x14ac:dyDescent="0.35">
      <c r="A1713" s="10" t="s">
        <v>2175</v>
      </c>
      <c r="B1713" s="11">
        <v>45488</v>
      </c>
      <c r="C1713" s="10" t="s">
        <v>932</v>
      </c>
      <c r="D1713" s="10" t="s">
        <v>70</v>
      </c>
      <c r="E1713" s="10" t="s">
        <v>307</v>
      </c>
      <c r="F1713" s="12">
        <v>4</v>
      </c>
      <c r="G1713" s="12">
        <v>3160</v>
      </c>
      <c r="H1713" s="12">
        <v>3.6</v>
      </c>
      <c r="I1713" s="12">
        <v>12184.96</v>
      </c>
      <c r="J1713" s="10" t="s">
        <v>57</v>
      </c>
      <c r="K1713" s="10" t="s">
        <v>63</v>
      </c>
      <c r="L1713" t="str">
        <f>IFERROR(VLOOKUP(D1713,Products!A:F,3,0),"")</f>
        <v>Apparel</v>
      </c>
      <c r="M1713" t="str">
        <f>IFERROR(VLOOKUP(E1713,Sales_Reps!A:E,3,0),"")</f>
        <v>West</v>
      </c>
      <c r="N1713" t="str">
        <f>IFERROR(VLOOKUP(C1713,Customers!A:F,5,0),"")</f>
        <v>Retail</v>
      </c>
      <c r="O1713">
        <f>IFERROR(VLOOKUP(C1713,Customers!A:F,3,0),"")</f>
        <v>47</v>
      </c>
      <c r="P1713">
        <f>IFERROR(VLOOKUP(D1713,Products!A:F,4,0),"")</f>
        <v>1886</v>
      </c>
      <c r="Q1713" t="b">
        <f>IFERROR(VLOOKUP(D1713,Products!A:F,6,0),"")</f>
        <v>1</v>
      </c>
      <c r="R1713">
        <f t="shared" si="78"/>
        <v>0.4031645569620253</v>
      </c>
      <c r="S1713">
        <f t="shared" si="79"/>
        <v>2</v>
      </c>
      <c r="T1713">
        <f>IF(AND(S1713&gt;1,COUNTIF($A$2:A1713,A1713)=1),1,0)</f>
        <v>1</v>
      </c>
      <c r="U1713">
        <f>COUNTIF(Customers!$A$2:$A$301,C1713)</f>
        <v>1</v>
      </c>
      <c r="V1713">
        <f t="shared" si="80"/>
        <v>0</v>
      </c>
    </row>
    <row r="1714" spans="1:22" ht="14.25" customHeight="1" x14ac:dyDescent="0.35">
      <c r="A1714" s="10" t="s">
        <v>2176</v>
      </c>
      <c r="B1714" s="11">
        <v>45370</v>
      </c>
      <c r="C1714" s="10" t="s">
        <v>486</v>
      </c>
      <c r="D1714" s="10" t="s">
        <v>66</v>
      </c>
      <c r="E1714" s="10" t="s">
        <v>289</v>
      </c>
      <c r="F1714" s="12">
        <v>1</v>
      </c>
      <c r="G1714" s="12">
        <v>3660</v>
      </c>
      <c r="H1714" s="12">
        <v>28.2</v>
      </c>
      <c r="I1714" s="12">
        <v>2627.88</v>
      </c>
      <c r="J1714" s="10" t="s">
        <v>57</v>
      </c>
      <c r="K1714" s="10" t="s">
        <v>63</v>
      </c>
      <c r="L1714" t="str">
        <f>IFERROR(VLOOKUP(D1714,Products!A:F,3,0),"")</f>
        <v>Grocery</v>
      </c>
      <c r="M1714" t="str">
        <f>IFERROR(VLOOKUP(E1714,Sales_Reps!A:E,3,0),"")</f>
        <v>South</v>
      </c>
      <c r="N1714" t="str">
        <f>IFERROR(VLOOKUP(C1714,Customers!A:F,5,0),"")</f>
        <v>SMB</v>
      </c>
      <c r="O1714">
        <f>IFERROR(VLOOKUP(C1714,Customers!A:F,3,0),"")</f>
        <v>55</v>
      </c>
      <c r="P1714">
        <f>IFERROR(VLOOKUP(D1714,Products!A:F,4,0),"")</f>
        <v>2214</v>
      </c>
      <c r="Q1714" t="b">
        <f>IFERROR(VLOOKUP(D1714,Products!A:F,6,0),"")</f>
        <v>0</v>
      </c>
      <c r="R1714">
        <f t="shared" si="78"/>
        <v>0.39508196721311473</v>
      </c>
      <c r="S1714">
        <f t="shared" si="79"/>
        <v>1</v>
      </c>
      <c r="T1714">
        <f>IF(AND(S1714&gt;1,COUNTIF($A$2:A1714,A1714)=1),1,0)</f>
        <v>0</v>
      </c>
      <c r="U1714">
        <f>COUNTIF(Customers!$A$2:$A$301,C1714)</f>
        <v>1</v>
      </c>
      <c r="V1714">
        <f t="shared" si="80"/>
        <v>0</v>
      </c>
    </row>
    <row r="1715" spans="1:22" ht="14.25" customHeight="1" x14ac:dyDescent="0.35">
      <c r="A1715" s="10" t="s">
        <v>2177</v>
      </c>
      <c r="B1715" s="11">
        <v>45394</v>
      </c>
      <c r="C1715" s="10" t="s">
        <v>60</v>
      </c>
      <c r="D1715" s="10" t="s">
        <v>55</v>
      </c>
      <c r="E1715" s="10" t="s">
        <v>165</v>
      </c>
      <c r="F1715" s="12">
        <v>2</v>
      </c>
      <c r="G1715" s="12">
        <v>820</v>
      </c>
      <c r="H1715" s="12">
        <v>7</v>
      </c>
      <c r="I1715" s="12">
        <v>1525.2</v>
      </c>
      <c r="J1715" s="10" t="s">
        <v>51</v>
      </c>
      <c r="K1715" s="10" t="s">
        <v>63</v>
      </c>
      <c r="L1715" t="str">
        <f>IFERROR(VLOOKUP(D1715,Products!A:F,3,0),"")</f>
        <v>Apparel</v>
      </c>
      <c r="M1715" t="str">
        <f>IFERROR(VLOOKUP(E1715,Sales_Reps!A:E,3,0),"")</f>
        <v>West</v>
      </c>
      <c r="N1715" t="str">
        <f>IFERROR(VLOOKUP(C1715,Customers!A:F,5,0),"")</f>
        <v>Retail</v>
      </c>
      <c r="O1715">
        <f>IFERROR(VLOOKUP(C1715,Customers!A:F,3,0),"")</f>
        <v>52</v>
      </c>
      <c r="P1715">
        <f>IFERROR(VLOOKUP(D1715,Products!A:F,4,0),"")</f>
        <v>391</v>
      </c>
      <c r="Q1715" t="b">
        <f>IFERROR(VLOOKUP(D1715,Products!A:F,6,0),"")</f>
        <v>1</v>
      </c>
      <c r="R1715">
        <f t="shared" si="78"/>
        <v>0.52317073170731709</v>
      </c>
      <c r="S1715">
        <f t="shared" si="79"/>
        <v>1</v>
      </c>
      <c r="T1715">
        <f>IF(AND(S1715&gt;1,COUNTIF($A$2:A1715,A1715)=1),1,0)</f>
        <v>0</v>
      </c>
      <c r="U1715">
        <f>COUNTIF(Customers!$A$2:$A$301,C1715)</f>
        <v>1</v>
      </c>
      <c r="V1715">
        <f t="shared" si="80"/>
        <v>0</v>
      </c>
    </row>
    <row r="1716" spans="1:22" ht="14.25" customHeight="1" x14ac:dyDescent="0.35">
      <c r="A1716" s="10" t="s">
        <v>2178</v>
      </c>
      <c r="B1716" s="11">
        <v>45446</v>
      </c>
      <c r="C1716" s="10" t="s">
        <v>227</v>
      </c>
      <c r="D1716" s="10" t="s">
        <v>331</v>
      </c>
      <c r="E1716" s="10" t="s">
        <v>249</v>
      </c>
      <c r="F1716" s="12">
        <v>5</v>
      </c>
      <c r="G1716" s="12">
        <v>2380</v>
      </c>
      <c r="H1716" s="12">
        <v>23</v>
      </c>
      <c r="I1716" s="12">
        <v>9163</v>
      </c>
      <c r="J1716" s="10" t="s">
        <v>51</v>
      </c>
      <c r="K1716" s="10" t="s">
        <v>97</v>
      </c>
      <c r="L1716" t="str">
        <f>IFERROR(VLOOKUP(D1716,Products!A:F,3,0),"")</f>
        <v>Grocery</v>
      </c>
      <c r="M1716" t="str">
        <f>IFERROR(VLOOKUP(E1716,Sales_Reps!A:E,3,0),"")</f>
        <v>East</v>
      </c>
      <c r="N1716" t="str">
        <f>IFERROR(VLOOKUP(C1716,Customers!A:F,5,0),"")</f>
        <v>Retail</v>
      </c>
      <c r="O1716">
        <f>IFERROR(VLOOKUP(C1716,Customers!A:F,3,0),"")</f>
        <v>53</v>
      </c>
      <c r="P1716">
        <f>IFERROR(VLOOKUP(D1716,Products!A:F,4,0),"")</f>
        <v>1182</v>
      </c>
      <c r="Q1716" t="b">
        <f>IFERROR(VLOOKUP(D1716,Products!A:F,6,0),"")</f>
        <v>1</v>
      </c>
      <c r="R1716">
        <f t="shared" si="78"/>
        <v>0.50336134453781511</v>
      </c>
      <c r="S1716">
        <f t="shared" si="79"/>
        <v>1</v>
      </c>
      <c r="T1716">
        <f>IF(AND(S1716&gt;1,COUNTIF($A$2:A1716,A1716)=1),1,0)</f>
        <v>0</v>
      </c>
      <c r="U1716">
        <f>COUNTIF(Customers!$A$2:$A$301,C1716)</f>
        <v>1</v>
      </c>
      <c r="V1716">
        <f t="shared" si="80"/>
        <v>0</v>
      </c>
    </row>
    <row r="1717" spans="1:22" ht="14.25" customHeight="1" x14ac:dyDescent="0.35">
      <c r="A1717" s="10" t="s">
        <v>2179</v>
      </c>
      <c r="B1717" s="11">
        <v>45612</v>
      </c>
      <c r="C1717" s="10" t="s">
        <v>525</v>
      </c>
      <c r="D1717" s="10" t="s">
        <v>212</v>
      </c>
      <c r="E1717" s="10" t="s">
        <v>216</v>
      </c>
      <c r="F1717" s="12">
        <v>1</v>
      </c>
      <c r="G1717" s="12">
        <v>3870</v>
      </c>
      <c r="H1717" s="12">
        <v>27.3</v>
      </c>
      <c r="I1717" s="12">
        <v>2813.49</v>
      </c>
      <c r="J1717" s="10" t="s">
        <v>51</v>
      </c>
      <c r="K1717" s="10" t="s">
        <v>97</v>
      </c>
      <c r="L1717" t="str">
        <f>IFERROR(VLOOKUP(D1717,Products!A:F,3,0),"")</f>
        <v>Electronics</v>
      </c>
      <c r="M1717" t="str">
        <f>IFERROR(VLOOKUP(E1717,Sales_Reps!A:E,3,0),"")</f>
        <v>South</v>
      </c>
      <c r="N1717" t="str">
        <f>IFERROR(VLOOKUP(C1717,Customers!A:F,5,0),"")</f>
        <v>SMB</v>
      </c>
      <c r="O1717">
        <f>IFERROR(VLOOKUP(C1717,Customers!A:F,3,0),"")</f>
        <v>43</v>
      </c>
      <c r="P1717">
        <f>IFERROR(VLOOKUP(D1717,Products!A:F,4,0),"")</f>
        <v>1559</v>
      </c>
      <c r="Q1717" t="b">
        <f>IFERROR(VLOOKUP(D1717,Products!A:F,6,0),"")</f>
        <v>1</v>
      </c>
      <c r="R1717">
        <f t="shared" si="78"/>
        <v>0.59715762273901807</v>
      </c>
      <c r="S1717">
        <f t="shared" si="79"/>
        <v>1</v>
      </c>
      <c r="T1717">
        <f>IF(AND(S1717&gt;1,COUNTIF($A$2:A1717,A1717)=1),1,0)</f>
        <v>0</v>
      </c>
      <c r="U1717">
        <f>COUNTIF(Customers!$A$2:$A$301,C1717)</f>
        <v>1</v>
      </c>
      <c r="V1717">
        <f t="shared" si="80"/>
        <v>0</v>
      </c>
    </row>
    <row r="1718" spans="1:22" ht="14.25" customHeight="1" x14ac:dyDescent="0.35">
      <c r="A1718" s="10" t="s">
        <v>2180</v>
      </c>
      <c r="B1718" s="11">
        <v>45301</v>
      </c>
      <c r="C1718" s="10" t="s">
        <v>626</v>
      </c>
      <c r="D1718" s="10" t="s">
        <v>246</v>
      </c>
      <c r="E1718" s="10" t="s">
        <v>50</v>
      </c>
      <c r="F1718" s="12">
        <v>10</v>
      </c>
      <c r="G1718" s="12">
        <v>300</v>
      </c>
      <c r="H1718" s="12">
        <v>14.1</v>
      </c>
      <c r="I1718" s="12">
        <v>2577</v>
      </c>
      <c r="J1718" s="10" t="s">
        <v>104</v>
      </c>
      <c r="K1718" s="10" t="s">
        <v>58</v>
      </c>
      <c r="L1718" t="str">
        <f>IFERROR(VLOOKUP(D1718,Products!A:F,3,0),"")</f>
        <v>Electronics</v>
      </c>
      <c r="M1718" t="str">
        <f>IFERROR(VLOOKUP(E1718,Sales_Reps!A:E,3,0),"")</f>
        <v>North</v>
      </c>
      <c r="N1718" t="str">
        <f>IFERROR(VLOOKUP(C1718,Customers!A:F,5,0),"")</f>
        <v>Corporate</v>
      </c>
      <c r="O1718">
        <f>IFERROR(VLOOKUP(C1718,Customers!A:F,3,0),"")</f>
        <v>41</v>
      </c>
      <c r="P1718">
        <f>IFERROR(VLOOKUP(D1718,Products!A:F,4,0),"")</f>
        <v>128</v>
      </c>
      <c r="Q1718" t="b">
        <f>IFERROR(VLOOKUP(D1718,Products!A:F,6,0),"")</f>
        <v>1</v>
      </c>
      <c r="R1718">
        <f t="shared" si="78"/>
        <v>0.57333333333333336</v>
      </c>
      <c r="S1718">
        <f t="shared" si="79"/>
        <v>1</v>
      </c>
      <c r="T1718">
        <f>IF(AND(S1718&gt;1,COUNTIF($A$2:A1718,A1718)=1),1,0)</f>
        <v>0</v>
      </c>
      <c r="U1718">
        <f>COUNTIF(Customers!$A$2:$A$301,C1718)</f>
        <v>1</v>
      </c>
      <c r="V1718">
        <f t="shared" si="80"/>
        <v>0</v>
      </c>
    </row>
    <row r="1719" spans="1:22" ht="14.25" customHeight="1" x14ac:dyDescent="0.35">
      <c r="A1719" s="10" t="s">
        <v>2181</v>
      </c>
      <c r="B1719" s="11">
        <v>45647</v>
      </c>
      <c r="C1719" s="10" t="s">
        <v>859</v>
      </c>
      <c r="D1719" s="10" t="s">
        <v>155</v>
      </c>
      <c r="E1719" s="10" t="s">
        <v>307</v>
      </c>
      <c r="F1719" s="12">
        <v>10</v>
      </c>
      <c r="G1719" s="12">
        <v>5100</v>
      </c>
      <c r="H1719" s="12">
        <v>12.7</v>
      </c>
      <c r="I1719" s="12">
        <v>44523</v>
      </c>
      <c r="J1719" s="10" t="s">
        <v>51</v>
      </c>
      <c r="K1719" s="10" t="s">
        <v>81</v>
      </c>
      <c r="L1719" t="str">
        <f>IFERROR(VLOOKUP(D1719,Products!A:F,3,0),"")</f>
        <v>Beauty</v>
      </c>
      <c r="M1719" t="str">
        <f>IFERROR(VLOOKUP(E1719,Sales_Reps!A:E,3,0),"")</f>
        <v>West</v>
      </c>
      <c r="N1719" t="str">
        <f>IFERROR(VLOOKUP(C1719,Customers!A:F,5,0),"")</f>
        <v>Retail</v>
      </c>
      <c r="O1719">
        <f>IFERROR(VLOOKUP(C1719,Customers!A:F,3,0),"")</f>
        <v>46</v>
      </c>
      <c r="P1719">
        <f>IFERROR(VLOOKUP(D1719,Products!A:F,4,0),"")</f>
        <v>2237</v>
      </c>
      <c r="Q1719" t="b">
        <f>IFERROR(VLOOKUP(D1719,Products!A:F,6,0),"")</f>
        <v>1</v>
      </c>
      <c r="R1719">
        <f t="shared" si="78"/>
        <v>0.56137254901960787</v>
      </c>
      <c r="S1719">
        <f t="shared" si="79"/>
        <v>1</v>
      </c>
      <c r="T1719">
        <f>IF(AND(S1719&gt;1,COUNTIF($A$2:A1719,A1719)=1),1,0)</f>
        <v>0</v>
      </c>
      <c r="U1719">
        <f>COUNTIF(Customers!$A$2:$A$301,C1719)</f>
        <v>1</v>
      </c>
      <c r="V1719">
        <f t="shared" si="80"/>
        <v>0</v>
      </c>
    </row>
    <row r="1720" spans="1:22" ht="14.25" customHeight="1" x14ac:dyDescent="0.35">
      <c r="A1720" s="10" t="s">
        <v>2182</v>
      </c>
      <c r="B1720" s="11">
        <v>45589</v>
      </c>
      <c r="C1720" s="10" t="s">
        <v>866</v>
      </c>
      <c r="D1720" s="10" t="s">
        <v>164</v>
      </c>
      <c r="E1720" s="10" t="s">
        <v>216</v>
      </c>
      <c r="F1720" s="12">
        <v>1</v>
      </c>
      <c r="G1720" s="12">
        <v>2760</v>
      </c>
      <c r="H1720" s="12">
        <v>17.8</v>
      </c>
      <c r="I1720" s="12">
        <v>2268.7199999999998</v>
      </c>
      <c r="J1720" s="10" t="s">
        <v>108</v>
      </c>
      <c r="K1720" s="10" t="s">
        <v>76</v>
      </c>
      <c r="L1720" t="str">
        <f>IFERROR(VLOOKUP(D1720,Products!A:F,3,0),"")</f>
        <v>Grocery</v>
      </c>
      <c r="M1720" t="str">
        <f>IFERROR(VLOOKUP(E1720,Sales_Reps!A:E,3,0),"")</f>
        <v>South</v>
      </c>
      <c r="N1720" t="str">
        <f>IFERROR(VLOOKUP(C1720,Customers!A:F,5,0),"")</f>
        <v>Retail</v>
      </c>
      <c r="O1720">
        <f>IFERROR(VLOOKUP(C1720,Customers!A:F,3,0),"")</f>
        <v>37</v>
      </c>
      <c r="P1720">
        <f>IFERROR(VLOOKUP(D1720,Products!A:F,4,0),"")</f>
        <v>1435</v>
      </c>
      <c r="Q1720" t="b">
        <f>IFERROR(VLOOKUP(D1720,Products!A:F,6,0),"")</f>
        <v>1</v>
      </c>
      <c r="R1720">
        <f t="shared" si="78"/>
        <v>0.48007246376811596</v>
      </c>
      <c r="S1720">
        <f t="shared" si="79"/>
        <v>1</v>
      </c>
      <c r="T1720">
        <f>IF(AND(S1720&gt;1,COUNTIF($A$2:A1720,A1720)=1),1,0)</f>
        <v>0</v>
      </c>
      <c r="U1720">
        <f>COUNTIF(Customers!$A$2:$A$301,C1720)</f>
        <v>1</v>
      </c>
      <c r="V1720">
        <f t="shared" si="80"/>
        <v>0</v>
      </c>
    </row>
    <row r="1721" spans="1:22" ht="14.25" customHeight="1" x14ac:dyDescent="0.35">
      <c r="A1721" s="10" t="s">
        <v>2183</v>
      </c>
      <c r="B1721" s="11">
        <v>45382</v>
      </c>
      <c r="C1721" s="10" t="s">
        <v>465</v>
      </c>
      <c r="D1721" s="10" t="s">
        <v>328</v>
      </c>
      <c r="E1721" s="10" t="s">
        <v>261</v>
      </c>
      <c r="F1721" s="12">
        <v>8</v>
      </c>
      <c r="G1721" s="12">
        <v>5330</v>
      </c>
      <c r="H1721" s="12">
        <v>16.399999999999999</v>
      </c>
      <c r="I1721" s="12">
        <v>35647.040000000001</v>
      </c>
      <c r="J1721" s="10" t="s">
        <v>51</v>
      </c>
      <c r="K1721" s="10" t="s">
        <v>97</v>
      </c>
      <c r="L1721" t="str">
        <f>IFERROR(VLOOKUP(D1721,Products!A:F,3,0),"")</f>
        <v>Electronics</v>
      </c>
      <c r="M1721" t="str">
        <f>IFERROR(VLOOKUP(E1721,Sales_Reps!A:E,3,0),"")</f>
        <v>North</v>
      </c>
      <c r="N1721" t="str">
        <f>IFERROR(VLOOKUP(C1721,Customers!A:F,5,0),"")</f>
        <v>SMB</v>
      </c>
      <c r="O1721">
        <f>IFERROR(VLOOKUP(C1721,Customers!A:F,3,0),"")</f>
        <v>65</v>
      </c>
      <c r="P1721">
        <f>IFERROR(VLOOKUP(D1721,Products!A:F,4,0),"")</f>
        <v>2405</v>
      </c>
      <c r="Q1721" t="b">
        <f>IFERROR(VLOOKUP(D1721,Products!A:F,6,0),"")</f>
        <v>1</v>
      </c>
      <c r="R1721">
        <f t="shared" si="78"/>
        <v>0.54878048780487809</v>
      </c>
      <c r="S1721">
        <f t="shared" si="79"/>
        <v>1</v>
      </c>
      <c r="T1721">
        <f>IF(AND(S1721&gt;1,COUNTIF($A$2:A1721,A1721)=1),1,0)</f>
        <v>0</v>
      </c>
      <c r="U1721">
        <f>COUNTIF(Customers!$A$2:$A$301,C1721)</f>
        <v>1</v>
      </c>
      <c r="V1721">
        <f t="shared" si="80"/>
        <v>0</v>
      </c>
    </row>
    <row r="1722" spans="1:22" ht="14.25" customHeight="1" x14ac:dyDescent="0.35">
      <c r="A1722" s="10" t="s">
        <v>2184</v>
      </c>
      <c r="B1722" s="11">
        <v>45457</v>
      </c>
      <c r="C1722" s="10" t="s">
        <v>626</v>
      </c>
      <c r="D1722" s="10" t="s">
        <v>146</v>
      </c>
      <c r="E1722" s="10" t="s">
        <v>310</v>
      </c>
      <c r="F1722" s="12">
        <v>1</v>
      </c>
      <c r="G1722" s="12">
        <v>1010</v>
      </c>
      <c r="H1722" s="12">
        <v>20.399999999999999</v>
      </c>
      <c r="I1722" s="12">
        <v>803.96</v>
      </c>
      <c r="J1722" s="10" t="s">
        <v>104</v>
      </c>
      <c r="K1722" s="10" t="s">
        <v>58</v>
      </c>
      <c r="L1722" t="str">
        <f>IFERROR(VLOOKUP(D1722,Products!A:F,3,0),"")</f>
        <v>Sports</v>
      </c>
      <c r="M1722" t="str">
        <f>IFERROR(VLOOKUP(E1722,Sales_Reps!A:E,3,0),"")</f>
        <v>South</v>
      </c>
      <c r="N1722" t="str">
        <f>IFERROR(VLOOKUP(C1722,Customers!A:F,5,0),"")</f>
        <v>Corporate</v>
      </c>
      <c r="O1722">
        <f>IFERROR(VLOOKUP(C1722,Customers!A:F,3,0),"")</f>
        <v>41</v>
      </c>
      <c r="P1722">
        <f>IFERROR(VLOOKUP(D1722,Products!A:F,4,0),"")</f>
        <v>516</v>
      </c>
      <c r="Q1722" t="b">
        <f>IFERROR(VLOOKUP(D1722,Products!A:F,6,0),"")</f>
        <v>1</v>
      </c>
      <c r="R1722">
        <f t="shared" si="78"/>
        <v>0.4891089108910891</v>
      </c>
      <c r="S1722">
        <f t="shared" si="79"/>
        <v>1</v>
      </c>
      <c r="T1722">
        <f>IF(AND(S1722&gt;1,COUNTIF($A$2:A1722,A1722)=1),1,0)</f>
        <v>0</v>
      </c>
      <c r="U1722">
        <f>COUNTIF(Customers!$A$2:$A$301,C1722)</f>
        <v>1</v>
      </c>
      <c r="V1722">
        <f t="shared" si="80"/>
        <v>0</v>
      </c>
    </row>
    <row r="1723" spans="1:22" ht="14.25" customHeight="1" x14ac:dyDescent="0.35">
      <c r="A1723" s="10" t="s">
        <v>2185</v>
      </c>
      <c r="B1723" s="11">
        <v>45376</v>
      </c>
      <c r="C1723" s="10" t="s">
        <v>73</v>
      </c>
      <c r="D1723" s="10" t="s">
        <v>243</v>
      </c>
      <c r="E1723" s="10" t="s">
        <v>85</v>
      </c>
      <c r="F1723" s="12">
        <v>10</v>
      </c>
      <c r="G1723" s="12">
        <v>2660</v>
      </c>
      <c r="H1723" s="12">
        <v>29.3</v>
      </c>
      <c r="I1723" s="12">
        <v>18806.2</v>
      </c>
      <c r="J1723" s="10" t="s">
        <v>51</v>
      </c>
      <c r="K1723" s="10" t="s">
        <v>76</v>
      </c>
      <c r="L1723" t="str">
        <f>IFERROR(VLOOKUP(D1723,Products!A:F,3,0),"")</f>
        <v>Electronics</v>
      </c>
      <c r="M1723" t="str">
        <f>IFERROR(VLOOKUP(E1723,Sales_Reps!A:E,3,0),"")</f>
        <v>East</v>
      </c>
      <c r="N1723" t="str">
        <f>IFERROR(VLOOKUP(C1723,Customers!A:F,5,0),"")</f>
        <v>Retail</v>
      </c>
      <c r="O1723">
        <f>IFERROR(VLOOKUP(C1723,Customers!A:F,3,0),"")</f>
        <v>36</v>
      </c>
      <c r="P1723">
        <f>IFERROR(VLOOKUP(D1723,Products!A:F,4,0),"")</f>
        <v>1259</v>
      </c>
      <c r="Q1723" t="b">
        <f>IFERROR(VLOOKUP(D1723,Products!A:F,6,0),"")</f>
        <v>0</v>
      </c>
      <c r="R1723">
        <f t="shared" si="78"/>
        <v>0.52669172932330832</v>
      </c>
      <c r="S1723">
        <f t="shared" si="79"/>
        <v>1</v>
      </c>
      <c r="T1723">
        <f>IF(AND(S1723&gt;1,COUNTIF($A$2:A1723,A1723)=1),1,0)</f>
        <v>0</v>
      </c>
      <c r="U1723">
        <f>COUNTIF(Customers!$A$2:$A$301,C1723)</f>
        <v>1</v>
      </c>
      <c r="V1723">
        <f t="shared" si="80"/>
        <v>0</v>
      </c>
    </row>
    <row r="1724" spans="1:22" ht="14.25" customHeight="1" x14ac:dyDescent="0.35">
      <c r="A1724" s="10" t="s">
        <v>2186</v>
      </c>
      <c r="B1724" s="11">
        <v>45506</v>
      </c>
      <c r="C1724" s="10" t="s">
        <v>133</v>
      </c>
      <c r="D1724" s="10" t="s">
        <v>372</v>
      </c>
      <c r="E1724" s="10" t="s">
        <v>237</v>
      </c>
      <c r="F1724" s="12">
        <v>9</v>
      </c>
      <c r="G1724" s="12">
        <v>3970</v>
      </c>
      <c r="H1724" s="12">
        <v>10.4</v>
      </c>
      <c r="I1724" s="12">
        <v>32014.080000000002</v>
      </c>
      <c r="J1724" s="10" t="s">
        <v>57</v>
      </c>
      <c r="K1724" s="10" t="s">
        <v>76</v>
      </c>
      <c r="L1724" t="str">
        <f>IFERROR(VLOOKUP(D1724,Products!A:F,3,0),"")</f>
        <v>Electronics</v>
      </c>
      <c r="M1724" t="str">
        <f>IFERROR(VLOOKUP(E1724,Sales_Reps!A:E,3,0),"")</f>
        <v>South</v>
      </c>
      <c r="N1724" t="str">
        <f>IFERROR(VLOOKUP(C1724,Customers!A:F,5,0),"")</f>
        <v>Retail</v>
      </c>
      <c r="O1724">
        <f>IFERROR(VLOOKUP(C1724,Customers!A:F,3,0),"")</f>
        <v>34</v>
      </c>
      <c r="P1724">
        <f>IFERROR(VLOOKUP(D1724,Products!A:F,4,0),"")</f>
        <v>2865</v>
      </c>
      <c r="Q1724" t="b">
        <f>IFERROR(VLOOKUP(D1724,Products!A:F,6,0),"")</f>
        <v>1</v>
      </c>
      <c r="R1724">
        <f t="shared" si="78"/>
        <v>0.27833753148614609</v>
      </c>
      <c r="S1724">
        <f t="shared" si="79"/>
        <v>1</v>
      </c>
      <c r="T1724">
        <f>IF(AND(S1724&gt;1,COUNTIF($A$2:A1724,A1724)=1),1,0)</f>
        <v>0</v>
      </c>
      <c r="U1724">
        <f>COUNTIF(Customers!$A$2:$A$301,C1724)</f>
        <v>1</v>
      </c>
      <c r="V1724">
        <f t="shared" si="80"/>
        <v>0</v>
      </c>
    </row>
    <row r="1725" spans="1:22" ht="14.25" customHeight="1" x14ac:dyDescent="0.35">
      <c r="A1725" s="10" t="s">
        <v>2187</v>
      </c>
      <c r="B1725" s="11">
        <v>45472</v>
      </c>
      <c r="C1725" s="10" t="s">
        <v>869</v>
      </c>
      <c r="D1725" s="10" t="s">
        <v>49</v>
      </c>
      <c r="E1725" s="10" t="s">
        <v>71</v>
      </c>
      <c r="F1725" s="12">
        <v>3</v>
      </c>
      <c r="G1725" s="12">
        <v>3620</v>
      </c>
      <c r="H1725" s="12">
        <v>22</v>
      </c>
      <c r="I1725" s="12">
        <v>8470.7999999999993</v>
      </c>
      <c r="J1725" s="10" t="s">
        <v>51</v>
      </c>
      <c r="K1725" s="10" t="s">
        <v>76</v>
      </c>
      <c r="L1725" t="str">
        <f>IFERROR(VLOOKUP(D1725,Products!A:F,3,0),"")</f>
        <v>Apparel</v>
      </c>
      <c r="M1725" t="str">
        <f>IFERROR(VLOOKUP(E1725,Sales_Reps!A:E,3,0),"")</f>
        <v>North</v>
      </c>
      <c r="N1725" t="str">
        <f>IFERROR(VLOOKUP(C1725,Customers!A:F,5,0),"")</f>
        <v>SMB</v>
      </c>
      <c r="O1725">
        <f>IFERROR(VLOOKUP(C1725,Customers!A:F,3,0),"")</f>
        <v>43</v>
      </c>
      <c r="P1725">
        <f>IFERROR(VLOOKUP(D1725,Products!A:F,4,0),"")</f>
        <v>2509</v>
      </c>
      <c r="Q1725" t="b">
        <f>IFERROR(VLOOKUP(D1725,Products!A:F,6,0),"")</f>
        <v>1</v>
      </c>
      <c r="R1725">
        <f t="shared" si="78"/>
        <v>0.3069060773480663</v>
      </c>
      <c r="S1725">
        <f t="shared" si="79"/>
        <v>1</v>
      </c>
      <c r="T1725">
        <f>IF(AND(S1725&gt;1,COUNTIF($A$2:A1725,A1725)=1),1,0)</f>
        <v>0</v>
      </c>
      <c r="U1725">
        <f>COUNTIF(Customers!$A$2:$A$301,C1725)</f>
        <v>1</v>
      </c>
      <c r="V1725">
        <f t="shared" si="80"/>
        <v>0</v>
      </c>
    </row>
    <row r="1726" spans="1:22" ht="14.25" customHeight="1" x14ac:dyDescent="0.35">
      <c r="A1726" s="10" t="s">
        <v>2188</v>
      </c>
      <c r="B1726" s="11">
        <v>45383</v>
      </c>
      <c r="C1726" s="10" t="s">
        <v>503</v>
      </c>
      <c r="D1726" s="10" t="s">
        <v>209</v>
      </c>
      <c r="E1726" s="10" t="s">
        <v>267</v>
      </c>
      <c r="F1726" s="12">
        <v>6</v>
      </c>
      <c r="G1726" s="12">
        <v>2270</v>
      </c>
      <c r="H1726" s="12">
        <v>11.1</v>
      </c>
      <c r="I1726" s="12">
        <v>12108.18</v>
      </c>
      <c r="J1726" s="10" t="s">
        <v>104</v>
      </c>
      <c r="K1726" s="10" t="s">
        <v>97</v>
      </c>
      <c r="L1726" t="str">
        <f>IFERROR(VLOOKUP(D1726,Products!A:F,3,0),"")</f>
        <v>Grocery</v>
      </c>
      <c r="M1726" t="str">
        <f>IFERROR(VLOOKUP(E1726,Sales_Reps!A:E,3,0),"")</f>
        <v>East</v>
      </c>
      <c r="N1726" t="str">
        <f>IFERROR(VLOOKUP(C1726,Customers!A:F,5,0),"")</f>
        <v>Retail</v>
      </c>
      <c r="O1726">
        <f>IFERROR(VLOOKUP(C1726,Customers!A:F,3,0),"")</f>
        <v>38</v>
      </c>
      <c r="P1726">
        <f>IFERROR(VLOOKUP(D1726,Products!A:F,4,0),"")</f>
        <v>1412</v>
      </c>
      <c r="Q1726" t="b">
        <f>IFERROR(VLOOKUP(D1726,Products!A:F,6,0),"")</f>
        <v>1</v>
      </c>
      <c r="R1726">
        <f t="shared" si="78"/>
        <v>0.37797356828193834</v>
      </c>
      <c r="S1726">
        <f t="shared" si="79"/>
        <v>1</v>
      </c>
      <c r="T1726">
        <f>IF(AND(S1726&gt;1,COUNTIF($A$2:A1726,A1726)=1),1,0)</f>
        <v>0</v>
      </c>
      <c r="U1726">
        <f>COUNTIF(Customers!$A$2:$A$301,C1726)</f>
        <v>1</v>
      </c>
      <c r="V1726">
        <f t="shared" si="80"/>
        <v>0</v>
      </c>
    </row>
    <row r="1727" spans="1:22" ht="14.25" customHeight="1" x14ac:dyDescent="0.35">
      <c r="A1727" s="10" t="s">
        <v>2189</v>
      </c>
      <c r="B1727" s="11">
        <v>45543</v>
      </c>
      <c r="C1727" s="10" t="s">
        <v>1325</v>
      </c>
      <c r="D1727" s="10" t="s">
        <v>209</v>
      </c>
      <c r="E1727" s="10" t="s">
        <v>62</v>
      </c>
      <c r="F1727" s="12">
        <v>4</v>
      </c>
      <c r="G1727" s="12">
        <v>2270</v>
      </c>
      <c r="H1727" s="12">
        <v>27.2</v>
      </c>
      <c r="I1727" s="12">
        <v>6610.24</v>
      </c>
      <c r="J1727" s="10" t="s">
        <v>57</v>
      </c>
      <c r="K1727" s="10" t="s">
        <v>58</v>
      </c>
      <c r="L1727" t="str">
        <f>IFERROR(VLOOKUP(D1727,Products!A:F,3,0),"")</f>
        <v>Grocery</v>
      </c>
      <c r="M1727" t="str">
        <f>IFERROR(VLOOKUP(E1727,Sales_Reps!A:E,3,0),"")</f>
        <v>South</v>
      </c>
      <c r="N1727" t="str">
        <f>IFERROR(VLOOKUP(C1727,Customers!A:F,5,0),"")</f>
        <v>Retail</v>
      </c>
      <c r="O1727">
        <f>IFERROR(VLOOKUP(C1727,Customers!A:F,3,0),"")</f>
        <v>34</v>
      </c>
      <c r="P1727">
        <f>IFERROR(VLOOKUP(D1727,Products!A:F,4,0),"")</f>
        <v>1412</v>
      </c>
      <c r="Q1727" t="b">
        <f>IFERROR(VLOOKUP(D1727,Products!A:F,6,0),"")</f>
        <v>1</v>
      </c>
      <c r="R1727">
        <f t="shared" si="78"/>
        <v>0.37797356828193834</v>
      </c>
      <c r="S1727">
        <f t="shared" si="79"/>
        <v>1</v>
      </c>
      <c r="T1727">
        <f>IF(AND(S1727&gt;1,COUNTIF($A$2:A1727,A1727)=1),1,0)</f>
        <v>0</v>
      </c>
      <c r="U1727">
        <f>COUNTIF(Customers!$A$2:$A$301,C1727)</f>
        <v>1</v>
      </c>
      <c r="V1727">
        <f t="shared" si="80"/>
        <v>0</v>
      </c>
    </row>
    <row r="1728" spans="1:22" ht="14.25" customHeight="1" x14ac:dyDescent="0.35">
      <c r="A1728" s="10" t="s">
        <v>2190</v>
      </c>
      <c r="B1728" s="11">
        <v>45576</v>
      </c>
      <c r="C1728" s="10" t="s">
        <v>411</v>
      </c>
      <c r="D1728" s="10" t="s">
        <v>234</v>
      </c>
      <c r="E1728" s="10" t="s">
        <v>289</v>
      </c>
      <c r="F1728" s="12">
        <v>8</v>
      </c>
      <c r="G1728" s="12">
        <v>4610</v>
      </c>
      <c r="H1728" s="12">
        <v>24.5</v>
      </c>
      <c r="I1728" s="12">
        <v>27844.400000000001</v>
      </c>
      <c r="J1728" s="10" t="s">
        <v>51</v>
      </c>
      <c r="K1728" s="10" t="s">
        <v>76</v>
      </c>
      <c r="L1728" t="str">
        <f>IFERROR(VLOOKUP(D1728,Products!A:F,3,0),"")</f>
        <v>Home</v>
      </c>
      <c r="M1728" t="str">
        <f>IFERROR(VLOOKUP(E1728,Sales_Reps!A:E,3,0),"")</f>
        <v>South</v>
      </c>
      <c r="N1728" t="str">
        <f>IFERROR(VLOOKUP(C1728,Customers!A:F,5,0),"")</f>
        <v>Retail</v>
      </c>
      <c r="O1728">
        <f>IFERROR(VLOOKUP(C1728,Customers!A:F,3,0),"")</f>
        <v>41</v>
      </c>
      <c r="P1728">
        <f>IFERROR(VLOOKUP(D1728,Products!A:F,4,0),"")</f>
        <v>1850</v>
      </c>
      <c r="Q1728" t="b">
        <f>IFERROR(VLOOKUP(D1728,Products!A:F,6,0),"")</f>
        <v>1</v>
      </c>
      <c r="R1728">
        <f t="shared" si="78"/>
        <v>0.59869848156182215</v>
      </c>
      <c r="S1728">
        <f t="shared" si="79"/>
        <v>1</v>
      </c>
      <c r="T1728">
        <f>IF(AND(S1728&gt;1,COUNTIF($A$2:A1728,A1728)=1),1,0)</f>
        <v>0</v>
      </c>
      <c r="U1728">
        <f>COUNTIF(Customers!$A$2:$A$301,C1728)</f>
        <v>1</v>
      </c>
      <c r="V1728">
        <f t="shared" si="80"/>
        <v>0</v>
      </c>
    </row>
    <row r="1729" spans="1:22" ht="14.25" customHeight="1" x14ac:dyDescent="0.35">
      <c r="A1729" s="10" t="s">
        <v>2191</v>
      </c>
      <c r="B1729" s="11">
        <v>45366</v>
      </c>
      <c r="C1729" s="10" t="s">
        <v>648</v>
      </c>
      <c r="D1729" s="10" t="s">
        <v>111</v>
      </c>
      <c r="E1729" s="10" t="s">
        <v>156</v>
      </c>
      <c r="F1729" s="12">
        <v>6</v>
      </c>
      <c r="G1729" s="12">
        <v>190</v>
      </c>
      <c r="H1729" s="12">
        <v>8.6999999999999993</v>
      </c>
      <c r="I1729" s="12">
        <v>1040.82</v>
      </c>
      <c r="J1729" s="10" t="s">
        <v>104</v>
      </c>
      <c r="K1729" s="10" t="s">
        <v>63</v>
      </c>
      <c r="L1729" t="str">
        <f>IFERROR(VLOOKUP(D1729,Products!A:F,3,0),"")</f>
        <v>Sports</v>
      </c>
      <c r="M1729" t="str">
        <f>IFERROR(VLOOKUP(E1729,Sales_Reps!A:E,3,0),"")</f>
        <v>East</v>
      </c>
      <c r="N1729" t="str">
        <f>IFERROR(VLOOKUP(C1729,Customers!A:F,5,0),"")</f>
        <v>Retail</v>
      </c>
      <c r="O1729">
        <f>IFERROR(VLOOKUP(C1729,Customers!A:F,3,0),"")</f>
        <v>41</v>
      </c>
      <c r="P1729">
        <f>IFERROR(VLOOKUP(D1729,Products!A:F,4,0),"")</f>
        <v>147</v>
      </c>
      <c r="Q1729" t="b">
        <f>IFERROR(VLOOKUP(D1729,Products!A:F,6,0),"")</f>
        <v>1</v>
      </c>
      <c r="R1729">
        <f t="shared" si="78"/>
        <v>0.22631578947368422</v>
      </c>
      <c r="S1729">
        <f t="shared" si="79"/>
        <v>1</v>
      </c>
      <c r="T1729">
        <f>IF(AND(S1729&gt;1,COUNTIF($A$2:A1729,A1729)=1),1,0)</f>
        <v>0</v>
      </c>
      <c r="U1729">
        <f>COUNTIF(Customers!$A$2:$A$301,C1729)</f>
        <v>1</v>
      </c>
      <c r="V1729">
        <f t="shared" si="80"/>
        <v>0</v>
      </c>
    </row>
    <row r="1730" spans="1:22" ht="14.25" customHeight="1" x14ac:dyDescent="0.35">
      <c r="A1730" s="10" t="s">
        <v>2192</v>
      </c>
      <c r="B1730" s="11">
        <v>45617</v>
      </c>
      <c r="C1730" s="10" t="s">
        <v>208</v>
      </c>
      <c r="D1730" s="10" t="s">
        <v>259</v>
      </c>
      <c r="E1730" s="10" t="s">
        <v>165</v>
      </c>
      <c r="F1730" s="12">
        <v>5</v>
      </c>
      <c r="G1730" s="12">
        <v>2030</v>
      </c>
      <c r="H1730" s="12">
        <v>0.9</v>
      </c>
      <c r="I1730" s="12">
        <v>10058.65</v>
      </c>
      <c r="J1730" s="10" t="s">
        <v>104</v>
      </c>
      <c r="K1730" s="10" t="s">
        <v>58</v>
      </c>
      <c r="L1730" t="str">
        <f>IFERROR(VLOOKUP(D1730,Products!A:F,3,0),"")</f>
        <v>Home</v>
      </c>
      <c r="M1730" t="str">
        <f>IFERROR(VLOOKUP(E1730,Sales_Reps!A:E,3,0),"")</f>
        <v>West</v>
      </c>
      <c r="N1730" t="str">
        <f>IFERROR(VLOOKUP(C1730,Customers!A:F,5,0),"")</f>
        <v>Corporate</v>
      </c>
      <c r="O1730">
        <f>IFERROR(VLOOKUP(C1730,Customers!A:F,3,0),"")</f>
        <v>52</v>
      </c>
      <c r="P1730">
        <f>IFERROR(VLOOKUP(D1730,Products!A:F,4,0),"")</f>
        <v>1143</v>
      </c>
      <c r="Q1730" t="b">
        <f>IFERROR(VLOOKUP(D1730,Products!A:F,6,0),"")</f>
        <v>1</v>
      </c>
      <c r="R1730">
        <f t="shared" ref="R1730:R1793" si="81">IFERROR((G1730-P1730)/G1730,"")</f>
        <v>0.43694581280788175</v>
      </c>
      <c r="S1730">
        <f t="shared" ref="S1730:S1793" si="82">COUNTIF($A$2:$A$2001,A1730)</f>
        <v>1</v>
      </c>
      <c r="T1730">
        <f>IF(AND(S1730&gt;1,COUNTIF($A$2:A1730,A1730)=1),1,0)</f>
        <v>0</v>
      </c>
      <c r="U1730">
        <f>COUNTIF(Customers!$A$2:$A$301,C1730)</f>
        <v>1</v>
      </c>
      <c r="V1730">
        <f t="shared" ref="V1730:V1793" si="83">IF(AND(K1730="Bengaluru",L1730="Grocery"),I1730,0)</f>
        <v>0</v>
      </c>
    </row>
    <row r="1731" spans="1:22" ht="14.25" customHeight="1" x14ac:dyDescent="0.35">
      <c r="A1731" s="10" t="s">
        <v>2193</v>
      </c>
      <c r="B1731" s="11">
        <v>45614</v>
      </c>
      <c r="C1731" s="10" t="s">
        <v>404</v>
      </c>
      <c r="D1731" s="10" t="s">
        <v>228</v>
      </c>
      <c r="E1731" s="10" t="s">
        <v>156</v>
      </c>
      <c r="F1731" s="12">
        <v>1</v>
      </c>
      <c r="G1731" s="12">
        <v>4070</v>
      </c>
      <c r="H1731" s="12">
        <v>9.3000000000000007</v>
      </c>
      <c r="I1731" s="12">
        <v>3691.49</v>
      </c>
      <c r="J1731" s="10" t="s">
        <v>108</v>
      </c>
      <c r="K1731" s="10" t="s">
        <v>52</v>
      </c>
      <c r="L1731" t="str">
        <f>IFERROR(VLOOKUP(D1731,Products!A:F,3,0),"")</f>
        <v>Grocery</v>
      </c>
      <c r="M1731" t="str">
        <f>IFERROR(VLOOKUP(E1731,Sales_Reps!A:E,3,0),"")</f>
        <v>East</v>
      </c>
      <c r="N1731" t="str">
        <f>IFERROR(VLOOKUP(C1731,Customers!A:F,5,0),"")</f>
        <v>SMB</v>
      </c>
      <c r="O1731">
        <f>IFERROR(VLOOKUP(C1731,Customers!A:F,3,0),"")</f>
        <v>30</v>
      </c>
      <c r="P1731">
        <f>IFERROR(VLOOKUP(D1731,Products!A:F,4,0),"")</f>
        <v>2027</v>
      </c>
      <c r="Q1731" t="b">
        <f>IFERROR(VLOOKUP(D1731,Products!A:F,6,0),"")</f>
        <v>1</v>
      </c>
      <c r="R1731">
        <f t="shared" si="81"/>
        <v>0.50196560196560192</v>
      </c>
      <c r="S1731">
        <f t="shared" si="82"/>
        <v>1</v>
      </c>
      <c r="T1731">
        <f>IF(AND(S1731&gt;1,COUNTIF($A$2:A1731,A1731)=1),1,0)</f>
        <v>0</v>
      </c>
      <c r="U1731">
        <f>COUNTIF(Customers!$A$2:$A$301,C1731)</f>
        <v>1</v>
      </c>
      <c r="V1731">
        <f t="shared" si="83"/>
        <v>0</v>
      </c>
    </row>
    <row r="1732" spans="1:22" ht="14.25" customHeight="1" x14ac:dyDescent="0.35">
      <c r="A1732" s="10" t="s">
        <v>2194</v>
      </c>
      <c r="B1732" s="11">
        <v>45460</v>
      </c>
      <c r="C1732" s="10" t="s">
        <v>497</v>
      </c>
      <c r="D1732" s="10" t="s">
        <v>350</v>
      </c>
      <c r="E1732" s="10" t="s">
        <v>179</v>
      </c>
      <c r="F1732" s="12">
        <v>3</v>
      </c>
      <c r="G1732" s="12">
        <v>2290</v>
      </c>
      <c r="H1732" s="12">
        <v>12.1</v>
      </c>
      <c r="I1732" s="12">
        <v>6038.73</v>
      </c>
      <c r="J1732" s="10" t="s">
        <v>51</v>
      </c>
      <c r="K1732" s="10" t="s">
        <v>63</v>
      </c>
      <c r="L1732" t="str">
        <f>IFERROR(VLOOKUP(D1732,Products!A:F,3,0),"")</f>
        <v>Beauty</v>
      </c>
      <c r="M1732" t="str">
        <f>IFERROR(VLOOKUP(E1732,Sales_Reps!A:E,3,0),"")</f>
        <v>North</v>
      </c>
      <c r="N1732" t="str">
        <f>IFERROR(VLOOKUP(C1732,Customers!A:F,5,0),"")</f>
        <v>SMB</v>
      </c>
      <c r="O1732">
        <f>IFERROR(VLOOKUP(C1732,Customers!A:F,3,0),"")</f>
        <v>48</v>
      </c>
      <c r="P1732">
        <f>IFERROR(VLOOKUP(D1732,Products!A:F,4,0),"")</f>
        <v>1219</v>
      </c>
      <c r="Q1732" t="b">
        <f>IFERROR(VLOOKUP(D1732,Products!A:F,6,0),"")</f>
        <v>1</v>
      </c>
      <c r="R1732">
        <f t="shared" si="81"/>
        <v>0.46768558951965067</v>
      </c>
      <c r="S1732">
        <f t="shared" si="82"/>
        <v>1</v>
      </c>
      <c r="T1732">
        <f>IF(AND(S1732&gt;1,COUNTIF($A$2:A1732,A1732)=1),1,0)</f>
        <v>0</v>
      </c>
      <c r="U1732">
        <f>COUNTIF(Customers!$A$2:$A$301,C1732)</f>
        <v>1</v>
      </c>
      <c r="V1732">
        <f t="shared" si="83"/>
        <v>0</v>
      </c>
    </row>
    <row r="1733" spans="1:22" ht="14.25" customHeight="1" x14ac:dyDescent="0.35">
      <c r="A1733" s="10" t="s">
        <v>2195</v>
      </c>
      <c r="B1733" s="11">
        <v>45514</v>
      </c>
      <c r="C1733" s="10" t="s">
        <v>382</v>
      </c>
      <c r="D1733" s="10" t="s">
        <v>190</v>
      </c>
      <c r="E1733" s="10" t="s">
        <v>156</v>
      </c>
      <c r="F1733" s="12">
        <v>7</v>
      </c>
      <c r="G1733" s="12">
        <v>3730</v>
      </c>
      <c r="H1733" s="12">
        <v>4.5</v>
      </c>
      <c r="I1733" s="12">
        <v>24935.05</v>
      </c>
      <c r="J1733" s="10" t="s">
        <v>51</v>
      </c>
      <c r="K1733" s="10" t="s">
        <v>97</v>
      </c>
      <c r="L1733" t="str">
        <f>IFERROR(VLOOKUP(D1733,Products!A:F,3,0),"")</f>
        <v>Home</v>
      </c>
      <c r="M1733" t="str">
        <f>IFERROR(VLOOKUP(E1733,Sales_Reps!A:E,3,0),"")</f>
        <v>East</v>
      </c>
      <c r="N1733" t="str">
        <f>IFERROR(VLOOKUP(C1733,Customers!A:F,5,0),"")</f>
        <v>Retail</v>
      </c>
      <c r="O1733">
        <f>IFERROR(VLOOKUP(C1733,Customers!A:F,3,0),"")</f>
        <v>22</v>
      </c>
      <c r="P1733">
        <f>IFERROR(VLOOKUP(D1733,Products!A:F,4,0),"")</f>
        <v>2135</v>
      </c>
      <c r="Q1733" t="b">
        <f>IFERROR(VLOOKUP(D1733,Products!A:F,6,0),"")</f>
        <v>1</v>
      </c>
      <c r="R1733">
        <f t="shared" si="81"/>
        <v>0.42761394101876676</v>
      </c>
      <c r="S1733">
        <f t="shared" si="82"/>
        <v>1</v>
      </c>
      <c r="T1733">
        <f>IF(AND(S1733&gt;1,COUNTIF($A$2:A1733,A1733)=1),1,0)</f>
        <v>0</v>
      </c>
      <c r="U1733">
        <f>COUNTIF(Customers!$A$2:$A$301,C1733)</f>
        <v>1</v>
      </c>
      <c r="V1733">
        <f t="shared" si="83"/>
        <v>0</v>
      </c>
    </row>
    <row r="1734" spans="1:22" ht="14.25" customHeight="1" x14ac:dyDescent="0.35">
      <c r="A1734" s="10" t="s">
        <v>2196</v>
      </c>
      <c r="B1734" s="11">
        <v>45306</v>
      </c>
      <c r="C1734" s="10" t="s">
        <v>377</v>
      </c>
      <c r="D1734" s="10" t="s">
        <v>256</v>
      </c>
      <c r="E1734" s="10" t="s">
        <v>56</v>
      </c>
      <c r="F1734" s="12">
        <v>5</v>
      </c>
      <c r="G1734" s="12">
        <v>620</v>
      </c>
      <c r="H1734" s="12">
        <v>7.5</v>
      </c>
      <c r="I1734" s="12">
        <v>2867.5</v>
      </c>
      <c r="J1734" s="10" t="s">
        <v>51</v>
      </c>
      <c r="K1734" s="10" t="s">
        <v>52</v>
      </c>
      <c r="L1734" t="str">
        <f>IFERROR(VLOOKUP(D1734,Products!A:F,3,0),"")</f>
        <v>Apparel</v>
      </c>
      <c r="M1734" t="str">
        <f>IFERROR(VLOOKUP(E1734,Sales_Reps!A:E,3,0),"")</f>
        <v>North</v>
      </c>
      <c r="N1734" t="str">
        <f>IFERROR(VLOOKUP(C1734,Customers!A:F,5,0),"")</f>
        <v>Retail</v>
      </c>
      <c r="O1734">
        <f>IFERROR(VLOOKUP(C1734,Customers!A:F,3,0),"")</f>
        <v>22</v>
      </c>
      <c r="P1734">
        <f>IFERROR(VLOOKUP(D1734,Products!A:F,4,0),"")</f>
        <v>396</v>
      </c>
      <c r="Q1734" t="b">
        <f>IFERROR(VLOOKUP(D1734,Products!A:F,6,0),"")</f>
        <v>1</v>
      </c>
      <c r="R1734">
        <f t="shared" si="81"/>
        <v>0.36129032258064514</v>
      </c>
      <c r="S1734">
        <f t="shared" si="82"/>
        <v>1</v>
      </c>
      <c r="T1734">
        <f>IF(AND(S1734&gt;1,COUNTIF($A$2:A1734,A1734)=1),1,0)</f>
        <v>0</v>
      </c>
      <c r="U1734">
        <f>COUNTIF(Customers!$A$2:$A$301,C1734)</f>
        <v>1</v>
      </c>
      <c r="V1734">
        <f t="shared" si="83"/>
        <v>0</v>
      </c>
    </row>
    <row r="1735" spans="1:22" ht="14.25" customHeight="1" x14ac:dyDescent="0.35">
      <c r="A1735" s="10" t="s">
        <v>2197</v>
      </c>
      <c r="B1735" s="11">
        <v>45455</v>
      </c>
      <c r="C1735" s="10" t="s">
        <v>346</v>
      </c>
      <c r="D1735" s="10" t="s">
        <v>99</v>
      </c>
      <c r="E1735" s="10" t="s">
        <v>96</v>
      </c>
      <c r="F1735" s="12">
        <v>8</v>
      </c>
      <c r="G1735" s="12">
        <v>2640</v>
      </c>
      <c r="H1735" s="12">
        <v>16.399999999999999</v>
      </c>
      <c r="I1735" s="12">
        <v>17656.32</v>
      </c>
      <c r="J1735" s="10" t="s">
        <v>51</v>
      </c>
      <c r="K1735" s="10" t="s">
        <v>63</v>
      </c>
      <c r="L1735" t="str">
        <f>IFERROR(VLOOKUP(D1735,Products!A:F,3,0),"")</f>
        <v>Electronics</v>
      </c>
      <c r="M1735" t="str">
        <f>IFERROR(VLOOKUP(E1735,Sales_Reps!A:E,3,0),"")</f>
        <v>South</v>
      </c>
      <c r="N1735" t="str">
        <f>IFERROR(VLOOKUP(C1735,Customers!A:F,5,0),"")</f>
        <v>Corporate</v>
      </c>
      <c r="O1735">
        <f>IFERROR(VLOOKUP(C1735,Customers!A:F,3,0),"")</f>
        <v>27</v>
      </c>
      <c r="P1735">
        <f>IFERROR(VLOOKUP(D1735,Products!A:F,4,0),"")</f>
        <v>1149</v>
      </c>
      <c r="Q1735" t="b">
        <f>IFERROR(VLOOKUP(D1735,Products!A:F,6,0),"")</f>
        <v>1</v>
      </c>
      <c r="R1735">
        <f t="shared" si="81"/>
        <v>0.56477272727272732</v>
      </c>
      <c r="S1735">
        <f t="shared" si="82"/>
        <v>1</v>
      </c>
      <c r="T1735">
        <f>IF(AND(S1735&gt;1,COUNTIF($A$2:A1735,A1735)=1),1,0)</f>
        <v>0</v>
      </c>
      <c r="U1735">
        <f>COUNTIF(Customers!$A$2:$A$301,C1735)</f>
        <v>1</v>
      </c>
      <c r="V1735">
        <f t="shared" si="83"/>
        <v>0</v>
      </c>
    </row>
    <row r="1736" spans="1:22" ht="14.25" customHeight="1" x14ac:dyDescent="0.35">
      <c r="A1736" s="10" t="s">
        <v>2198</v>
      </c>
      <c r="B1736" s="11">
        <v>45564</v>
      </c>
      <c r="C1736" s="10" t="s">
        <v>282</v>
      </c>
      <c r="D1736" s="10" t="s">
        <v>66</v>
      </c>
      <c r="E1736" s="10" t="s">
        <v>103</v>
      </c>
      <c r="F1736" s="12">
        <v>6</v>
      </c>
      <c r="G1736" s="12">
        <v>3660</v>
      </c>
      <c r="H1736" s="12">
        <v>6.2</v>
      </c>
      <c r="I1736" s="12">
        <v>20598.48</v>
      </c>
      <c r="J1736" s="10" t="s">
        <v>51</v>
      </c>
      <c r="K1736" s="10" t="s">
        <v>58</v>
      </c>
      <c r="L1736" t="str">
        <f>IFERROR(VLOOKUP(D1736,Products!A:F,3,0),"")</f>
        <v>Grocery</v>
      </c>
      <c r="M1736" t="str">
        <f>IFERROR(VLOOKUP(E1736,Sales_Reps!A:E,3,0),"")</f>
        <v>North</v>
      </c>
      <c r="N1736" t="str">
        <f>IFERROR(VLOOKUP(C1736,Customers!A:F,5,0),"")</f>
        <v>SMB</v>
      </c>
      <c r="O1736">
        <f>IFERROR(VLOOKUP(C1736,Customers!A:F,3,0),"")</f>
        <v>57</v>
      </c>
      <c r="P1736">
        <f>IFERROR(VLOOKUP(D1736,Products!A:F,4,0),"")</f>
        <v>2214</v>
      </c>
      <c r="Q1736" t="b">
        <f>IFERROR(VLOOKUP(D1736,Products!A:F,6,0),"")</f>
        <v>0</v>
      </c>
      <c r="R1736">
        <f t="shared" si="81"/>
        <v>0.39508196721311473</v>
      </c>
      <c r="S1736">
        <f t="shared" si="82"/>
        <v>1</v>
      </c>
      <c r="T1736">
        <f>IF(AND(S1736&gt;1,COUNTIF($A$2:A1736,A1736)=1),1,0)</f>
        <v>0</v>
      </c>
      <c r="U1736">
        <f>COUNTIF(Customers!$A$2:$A$301,C1736)</f>
        <v>1</v>
      </c>
      <c r="V1736">
        <f t="shared" si="83"/>
        <v>0</v>
      </c>
    </row>
    <row r="1737" spans="1:22" ht="14.25" customHeight="1" x14ac:dyDescent="0.35">
      <c r="A1737" s="10" t="s">
        <v>2199</v>
      </c>
      <c r="B1737" s="11">
        <v>45507</v>
      </c>
      <c r="C1737" s="10" t="s">
        <v>615</v>
      </c>
      <c r="D1737" s="10" t="s">
        <v>55</v>
      </c>
      <c r="E1737" s="10" t="s">
        <v>156</v>
      </c>
      <c r="F1737" s="12">
        <v>2</v>
      </c>
      <c r="G1737" s="12">
        <v>820</v>
      </c>
      <c r="H1737" s="12">
        <v>25.4</v>
      </c>
      <c r="I1737" s="12">
        <v>1223.44</v>
      </c>
      <c r="J1737" s="10" t="s">
        <v>51</v>
      </c>
      <c r="K1737" s="10" t="s">
        <v>97</v>
      </c>
      <c r="L1737" t="str">
        <f>IFERROR(VLOOKUP(D1737,Products!A:F,3,0),"")</f>
        <v>Apparel</v>
      </c>
      <c r="M1737" t="str">
        <f>IFERROR(VLOOKUP(E1737,Sales_Reps!A:E,3,0),"")</f>
        <v>East</v>
      </c>
      <c r="N1737" t="str">
        <f>IFERROR(VLOOKUP(C1737,Customers!A:F,5,0),"")</f>
        <v>Retail</v>
      </c>
      <c r="O1737">
        <f>IFERROR(VLOOKUP(C1737,Customers!A:F,3,0),"")</f>
        <v>50</v>
      </c>
      <c r="P1737">
        <f>IFERROR(VLOOKUP(D1737,Products!A:F,4,0),"")</f>
        <v>391</v>
      </c>
      <c r="Q1737" t="b">
        <f>IFERROR(VLOOKUP(D1737,Products!A:F,6,0),"")</f>
        <v>1</v>
      </c>
      <c r="R1737">
        <f t="shared" si="81"/>
        <v>0.52317073170731709</v>
      </c>
      <c r="S1737">
        <f t="shared" si="82"/>
        <v>1</v>
      </c>
      <c r="T1737">
        <f>IF(AND(S1737&gt;1,COUNTIF($A$2:A1737,A1737)=1),1,0)</f>
        <v>0</v>
      </c>
      <c r="U1737">
        <f>COUNTIF(Customers!$A$2:$A$301,C1737)</f>
        <v>1</v>
      </c>
      <c r="V1737">
        <f t="shared" si="83"/>
        <v>0</v>
      </c>
    </row>
    <row r="1738" spans="1:22" ht="14.25" customHeight="1" x14ac:dyDescent="0.35">
      <c r="A1738" s="10" t="s">
        <v>2200</v>
      </c>
      <c r="B1738" s="11">
        <v>45596</v>
      </c>
      <c r="C1738" s="10" t="s">
        <v>1198</v>
      </c>
      <c r="D1738" s="10" t="s">
        <v>131</v>
      </c>
      <c r="E1738" s="10" t="s">
        <v>122</v>
      </c>
      <c r="F1738" s="12">
        <v>3</v>
      </c>
      <c r="G1738" s="12">
        <v>2480</v>
      </c>
      <c r="H1738" s="12">
        <v>28.7</v>
      </c>
      <c r="I1738" s="12">
        <v>5304.72</v>
      </c>
      <c r="J1738" s="10" t="s">
        <v>57</v>
      </c>
      <c r="K1738" s="10" t="s">
        <v>76</v>
      </c>
      <c r="L1738" t="str">
        <f>IFERROR(VLOOKUP(D1738,Products!A:F,3,0),"")</f>
        <v>Apparel</v>
      </c>
      <c r="M1738" t="str">
        <f>IFERROR(VLOOKUP(E1738,Sales_Reps!A:E,3,0),"")</f>
        <v>East</v>
      </c>
      <c r="N1738" t="str">
        <f>IFERROR(VLOOKUP(C1738,Customers!A:F,5,0),"")</f>
        <v>Retail</v>
      </c>
      <c r="O1738">
        <f>IFERROR(VLOOKUP(C1738,Customers!A:F,3,0),"")</f>
        <v>29</v>
      </c>
      <c r="P1738">
        <f>IFERROR(VLOOKUP(D1738,Products!A:F,4,0),"")</f>
        <v>1173</v>
      </c>
      <c r="Q1738" t="b">
        <f>IFERROR(VLOOKUP(D1738,Products!A:F,6,0),"")</f>
        <v>1</v>
      </c>
      <c r="R1738">
        <f t="shared" si="81"/>
        <v>0.52701612903225803</v>
      </c>
      <c r="S1738">
        <f t="shared" si="82"/>
        <v>1</v>
      </c>
      <c r="T1738">
        <f>IF(AND(S1738&gt;1,COUNTIF($A$2:A1738,A1738)=1),1,0)</f>
        <v>0</v>
      </c>
      <c r="U1738">
        <f>COUNTIF(Customers!$A$2:$A$301,C1738)</f>
        <v>1</v>
      </c>
      <c r="V1738">
        <f t="shared" si="83"/>
        <v>0</v>
      </c>
    </row>
    <row r="1739" spans="1:22" ht="14.25" customHeight="1" x14ac:dyDescent="0.35">
      <c r="A1739" s="10" t="s">
        <v>2201</v>
      </c>
      <c r="B1739" s="11">
        <v>45534</v>
      </c>
      <c r="C1739" s="10" t="s">
        <v>787</v>
      </c>
      <c r="D1739" s="10" t="s">
        <v>205</v>
      </c>
      <c r="E1739" s="10" t="s">
        <v>92</v>
      </c>
      <c r="F1739" s="12">
        <v>10</v>
      </c>
      <c r="G1739" s="12">
        <v>6080</v>
      </c>
      <c r="H1739" s="12">
        <v>18.899999999999999</v>
      </c>
      <c r="I1739" s="12">
        <v>49308.800000000003</v>
      </c>
      <c r="J1739" s="10" t="s">
        <v>51</v>
      </c>
      <c r="K1739" s="10" t="s">
        <v>58</v>
      </c>
      <c r="L1739" t="str">
        <f>IFERROR(VLOOKUP(D1739,Products!A:F,3,0),"")</f>
        <v>Beauty</v>
      </c>
      <c r="M1739" t="str">
        <f>IFERROR(VLOOKUP(E1739,Sales_Reps!A:E,3,0),"")</f>
        <v>West</v>
      </c>
      <c r="N1739" t="str">
        <f>IFERROR(VLOOKUP(C1739,Customers!A:F,5,0),"")</f>
        <v>Retail</v>
      </c>
      <c r="O1739">
        <f>IFERROR(VLOOKUP(C1739,Customers!A:F,3,0),"")</f>
        <v>32</v>
      </c>
      <c r="P1739">
        <f>IFERROR(VLOOKUP(D1739,Products!A:F,4,0),"")</f>
        <v>2617</v>
      </c>
      <c r="Q1739" t="b">
        <f>IFERROR(VLOOKUP(D1739,Products!A:F,6,0),"")</f>
        <v>1</v>
      </c>
      <c r="R1739">
        <f t="shared" si="81"/>
        <v>0.56957236842105263</v>
      </c>
      <c r="S1739">
        <f t="shared" si="82"/>
        <v>1</v>
      </c>
      <c r="T1739">
        <f>IF(AND(S1739&gt;1,COUNTIF($A$2:A1739,A1739)=1),1,0)</f>
        <v>0</v>
      </c>
      <c r="U1739">
        <f>COUNTIF(Customers!$A$2:$A$301,C1739)</f>
        <v>1</v>
      </c>
      <c r="V1739">
        <f t="shared" si="83"/>
        <v>0</v>
      </c>
    </row>
    <row r="1740" spans="1:22" ht="14.25" customHeight="1" x14ac:dyDescent="0.35">
      <c r="A1740" s="10" t="s">
        <v>2202</v>
      </c>
      <c r="B1740" s="11">
        <v>45336</v>
      </c>
      <c r="C1740" s="10" t="s">
        <v>106</v>
      </c>
      <c r="D1740" s="10" t="s">
        <v>111</v>
      </c>
      <c r="E1740" s="10" t="s">
        <v>249</v>
      </c>
      <c r="F1740" s="12">
        <v>1</v>
      </c>
      <c r="G1740" s="12">
        <v>190</v>
      </c>
      <c r="H1740" s="12">
        <v>5.7</v>
      </c>
      <c r="I1740" s="12">
        <v>179.17</v>
      </c>
      <c r="J1740" s="10" t="s">
        <v>51</v>
      </c>
      <c r="K1740" s="10" t="s">
        <v>52</v>
      </c>
      <c r="L1740" t="str">
        <f>IFERROR(VLOOKUP(D1740,Products!A:F,3,0),"")</f>
        <v>Sports</v>
      </c>
      <c r="M1740" t="str">
        <f>IFERROR(VLOOKUP(E1740,Sales_Reps!A:E,3,0),"")</f>
        <v>East</v>
      </c>
      <c r="N1740" t="str">
        <f>IFERROR(VLOOKUP(C1740,Customers!A:F,5,0),"")</f>
        <v>SMB</v>
      </c>
      <c r="O1740">
        <f>IFERROR(VLOOKUP(C1740,Customers!A:F,3,0),"")</f>
        <v>39</v>
      </c>
      <c r="P1740">
        <f>IFERROR(VLOOKUP(D1740,Products!A:F,4,0),"")</f>
        <v>147</v>
      </c>
      <c r="Q1740" t="b">
        <f>IFERROR(VLOOKUP(D1740,Products!A:F,6,0),"")</f>
        <v>1</v>
      </c>
      <c r="R1740">
        <f t="shared" si="81"/>
        <v>0.22631578947368422</v>
      </c>
      <c r="S1740">
        <f t="shared" si="82"/>
        <v>1</v>
      </c>
      <c r="T1740">
        <f>IF(AND(S1740&gt;1,COUNTIF($A$2:A1740,A1740)=1),1,0)</f>
        <v>0</v>
      </c>
      <c r="U1740">
        <f>COUNTIF(Customers!$A$2:$A$301,C1740)</f>
        <v>1</v>
      </c>
      <c r="V1740">
        <f t="shared" si="83"/>
        <v>0</v>
      </c>
    </row>
    <row r="1741" spans="1:22" ht="14.25" customHeight="1" x14ac:dyDescent="0.35">
      <c r="A1741" s="10" t="s">
        <v>2203</v>
      </c>
      <c r="B1741" s="11">
        <v>45463</v>
      </c>
      <c r="C1741" s="10" t="s">
        <v>174</v>
      </c>
      <c r="D1741" s="10" t="s">
        <v>425</v>
      </c>
      <c r="E1741" s="10" t="s">
        <v>165</v>
      </c>
      <c r="F1741" s="12">
        <v>2</v>
      </c>
      <c r="G1741" s="12">
        <v>3780</v>
      </c>
      <c r="H1741" s="12">
        <v>11.8</v>
      </c>
      <c r="I1741" s="12">
        <v>6667.92</v>
      </c>
      <c r="J1741" s="10" t="s">
        <v>51</v>
      </c>
      <c r="K1741" s="10" t="s">
        <v>63</v>
      </c>
      <c r="L1741" t="str">
        <f>IFERROR(VLOOKUP(D1741,Products!A:F,3,0),"")</f>
        <v>Sports</v>
      </c>
      <c r="M1741" t="str">
        <f>IFERROR(VLOOKUP(E1741,Sales_Reps!A:E,3,0),"")</f>
        <v>West</v>
      </c>
      <c r="N1741" t="str">
        <f>IFERROR(VLOOKUP(C1741,Customers!A:F,5,0),"")</f>
        <v>Retail</v>
      </c>
      <c r="O1741">
        <f>IFERROR(VLOOKUP(C1741,Customers!A:F,3,0),"")</f>
        <v>41</v>
      </c>
      <c r="P1741">
        <f>IFERROR(VLOOKUP(D1741,Products!A:F,4,0),"")</f>
        <v>1860</v>
      </c>
      <c r="Q1741" t="b">
        <f>IFERROR(VLOOKUP(D1741,Products!A:F,6,0),"")</f>
        <v>1</v>
      </c>
      <c r="R1741">
        <f t="shared" si="81"/>
        <v>0.50793650793650791</v>
      </c>
      <c r="S1741">
        <f t="shared" si="82"/>
        <v>1</v>
      </c>
      <c r="T1741">
        <f>IF(AND(S1741&gt;1,COUNTIF($A$2:A1741,A1741)=1),1,0)</f>
        <v>0</v>
      </c>
      <c r="U1741">
        <f>COUNTIF(Customers!$A$2:$A$301,C1741)</f>
        <v>1</v>
      </c>
      <c r="V1741">
        <f t="shared" si="83"/>
        <v>0</v>
      </c>
    </row>
    <row r="1742" spans="1:22" ht="14.25" customHeight="1" x14ac:dyDescent="0.35">
      <c r="A1742" s="10" t="s">
        <v>2204</v>
      </c>
      <c r="B1742" s="11">
        <v>45602</v>
      </c>
      <c r="C1742" s="10" t="s">
        <v>211</v>
      </c>
      <c r="D1742" s="10" t="s">
        <v>107</v>
      </c>
      <c r="E1742" s="10" t="s">
        <v>179</v>
      </c>
      <c r="F1742" s="12">
        <v>5</v>
      </c>
      <c r="G1742" s="12">
        <v>3250</v>
      </c>
      <c r="H1742" s="12">
        <v>19.899999999999999</v>
      </c>
      <c r="I1742" s="12">
        <v>13016.25</v>
      </c>
      <c r="J1742" s="10" t="s">
        <v>51</v>
      </c>
      <c r="K1742" s="10" t="s">
        <v>81</v>
      </c>
      <c r="L1742" t="str">
        <f>IFERROR(VLOOKUP(D1742,Products!A:F,3,0),"")</f>
        <v>Home</v>
      </c>
      <c r="M1742" t="str">
        <f>IFERROR(VLOOKUP(E1742,Sales_Reps!A:E,3,0),"")</f>
        <v>North</v>
      </c>
      <c r="N1742" t="str">
        <f>IFERROR(VLOOKUP(C1742,Customers!A:F,5,0),"")</f>
        <v>Retail</v>
      </c>
      <c r="O1742">
        <f>IFERROR(VLOOKUP(C1742,Customers!A:F,3,0),"")</f>
        <v>34</v>
      </c>
      <c r="P1742">
        <f>IFERROR(VLOOKUP(D1742,Products!A:F,4,0),"")</f>
        <v>1556</v>
      </c>
      <c r="Q1742" t="b">
        <f>IFERROR(VLOOKUP(D1742,Products!A:F,6,0),"")</f>
        <v>1</v>
      </c>
      <c r="R1742">
        <f t="shared" si="81"/>
        <v>0.52123076923076928</v>
      </c>
      <c r="S1742">
        <f t="shared" si="82"/>
        <v>1</v>
      </c>
      <c r="T1742">
        <f>IF(AND(S1742&gt;1,COUNTIF($A$2:A1742,A1742)=1),1,0)</f>
        <v>0</v>
      </c>
      <c r="U1742">
        <f>COUNTIF(Customers!$A$2:$A$301,C1742)</f>
        <v>1</v>
      </c>
      <c r="V1742">
        <f t="shared" si="83"/>
        <v>0</v>
      </c>
    </row>
    <row r="1743" spans="1:22" ht="14.25" customHeight="1" x14ac:dyDescent="0.35">
      <c r="A1743" s="10" t="s">
        <v>2205</v>
      </c>
      <c r="B1743" s="11">
        <v>45365</v>
      </c>
      <c r="C1743" s="10" t="s">
        <v>1854</v>
      </c>
      <c r="D1743" s="10" t="s">
        <v>259</v>
      </c>
      <c r="E1743" s="10" t="s">
        <v>71</v>
      </c>
      <c r="F1743" s="12">
        <v>7</v>
      </c>
      <c r="G1743" s="12">
        <v>2030</v>
      </c>
      <c r="H1743" s="12">
        <v>4.0999999999999996</v>
      </c>
      <c r="I1743" s="12">
        <v>13627.39</v>
      </c>
      <c r="J1743" s="10" t="s">
        <v>51</v>
      </c>
      <c r="K1743" s="10" t="s">
        <v>97</v>
      </c>
      <c r="L1743" t="str">
        <f>IFERROR(VLOOKUP(D1743,Products!A:F,3,0),"")</f>
        <v>Home</v>
      </c>
      <c r="M1743" t="str">
        <f>IFERROR(VLOOKUP(E1743,Sales_Reps!A:E,3,0),"")</f>
        <v>North</v>
      </c>
      <c r="N1743" t="str">
        <f>IFERROR(VLOOKUP(C1743,Customers!A:F,5,0),"")</f>
        <v>SMB</v>
      </c>
      <c r="O1743">
        <f>IFERROR(VLOOKUP(C1743,Customers!A:F,3,0),"")</f>
        <v>34</v>
      </c>
      <c r="P1743">
        <f>IFERROR(VLOOKUP(D1743,Products!A:F,4,0),"")</f>
        <v>1143</v>
      </c>
      <c r="Q1743" t="b">
        <f>IFERROR(VLOOKUP(D1743,Products!A:F,6,0),"")</f>
        <v>1</v>
      </c>
      <c r="R1743">
        <f t="shared" si="81"/>
        <v>0.43694581280788175</v>
      </c>
      <c r="S1743">
        <f t="shared" si="82"/>
        <v>1</v>
      </c>
      <c r="T1743">
        <f>IF(AND(S1743&gt;1,COUNTIF($A$2:A1743,A1743)=1),1,0)</f>
        <v>0</v>
      </c>
      <c r="U1743">
        <f>COUNTIF(Customers!$A$2:$A$301,C1743)</f>
        <v>1</v>
      </c>
      <c r="V1743">
        <f t="shared" si="83"/>
        <v>0</v>
      </c>
    </row>
    <row r="1744" spans="1:22" ht="14.25" customHeight="1" x14ac:dyDescent="0.35">
      <c r="A1744" s="10" t="s">
        <v>2206</v>
      </c>
      <c r="B1744" s="11">
        <v>45651</v>
      </c>
      <c r="C1744" s="10" t="s">
        <v>661</v>
      </c>
      <c r="D1744" s="10" t="s">
        <v>148</v>
      </c>
      <c r="E1744" s="10" t="s">
        <v>289</v>
      </c>
      <c r="F1744" s="12">
        <v>5</v>
      </c>
      <c r="G1744" s="12">
        <v>4880</v>
      </c>
      <c r="H1744" s="12">
        <v>22.9</v>
      </c>
      <c r="I1744" s="12">
        <v>18812.400000000001</v>
      </c>
      <c r="J1744" s="10" t="s">
        <v>51</v>
      </c>
      <c r="K1744" s="10" t="s">
        <v>97</v>
      </c>
      <c r="L1744" t="str">
        <f>IFERROR(VLOOKUP(D1744,Products!A:F,3,0),"")</f>
        <v>Beauty</v>
      </c>
      <c r="M1744" t="str">
        <f>IFERROR(VLOOKUP(E1744,Sales_Reps!A:E,3,0),"")</f>
        <v>South</v>
      </c>
      <c r="N1744" t="str">
        <f>IFERROR(VLOOKUP(C1744,Customers!A:F,5,0),"")</f>
        <v>Retail</v>
      </c>
      <c r="O1744">
        <f>IFERROR(VLOOKUP(C1744,Customers!A:F,3,0),"")</f>
        <v>65</v>
      </c>
      <c r="P1744">
        <f>IFERROR(VLOOKUP(D1744,Products!A:F,4,0),"")</f>
        <v>2768</v>
      </c>
      <c r="Q1744" t="b">
        <f>IFERROR(VLOOKUP(D1744,Products!A:F,6,0),"")</f>
        <v>1</v>
      </c>
      <c r="R1744">
        <f t="shared" si="81"/>
        <v>0.43278688524590164</v>
      </c>
      <c r="S1744">
        <f t="shared" si="82"/>
        <v>1</v>
      </c>
      <c r="T1744">
        <f>IF(AND(S1744&gt;1,COUNTIF($A$2:A1744,A1744)=1),1,0)</f>
        <v>0</v>
      </c>
      <c r="U1744">
        <f>COUNTIF(Customers!$A$2:$A$301,C1744)</f>
        <v>1</v>
      </c>
      <c r="V1744">
        <f t="shared" si="83"/>
        <v>0</v>
      </c>
    </row>
    <row r="1745" spans="1:22" ht="14.25" customHeight="1" x14ac:dyDescent="0.35">
      <c r="A1745" s="10" t="s">
        <v>2207</v>
      </c>
      <c r="B1745" s="11">
        <v>45297</v>
      </c>
      <c r="C1745" s="10" t="s">
        <v>705</v>
      </c>
      <c r="D1745" s="10" t="s">
        <v>143</v>
      </c>
      <c r="E1745" s="10" t="s">
        <v>156</v>
      </c>
      <c r="F1745" s="12">
        <v>3</v>
      </c>
      <c r="G1745" s="12">
        <v>3350</v>
      </c>
      <c r="H1745" s="12">
        <v>15.2</v>
      </c>
      <c r="I1745" s="12">
        <v>8522.4</v>
      </c>
      <c r="J1745" s="10" t="s">
        <v>57</v>
      </c>
      <c r="K1745" s="10" t="s">
        <v>97</v>
      </c>
      <c r="L1745" t="str">
        <f>IFERROR(VLOOKUP(D1745,Products!A:F,3,0),"")</f>
        <v>Beauty</v>
      </c>
      <c r="M1745" t="str">
        <f>IFERROR(VLOOKUP(E1745,Sales_Reps!A:E,3,0),"")</f>
        <v>East</v>
      </c>
      <c r="N1745" t="str">
        <f>IFERROR(VLOOKUP(C1745,Customers!A:F,5,0),"")</f>
        <v>SMB</v>
      </c>
      <c r="O1745">
        <f>IFERROR(VLOOKUP(C1745,Customers!A:F,3,0),"")</f>
        <v>29</v>
      </c>
      <c r="P1745">
        <f>IFERROR(VLOOKUP(D1745,Products!A:F,4,0),"")</f>
        <v>1728</v>
      </c>
      <c r="Q1745" t="b">
        <f>IFERROR(VLOOKUP(D1745,Products!A:F,6,0),"")</f>
        <v>1</v>
      </c>
      <c r="R1745">
        <f t="shared" si="81"/>
        <v>0.48417910447761192</v>
      </c>
      <c r="S1745">
        <f t="shared" si="82"/>
        <v>1</v>
      </c>
      <c r="T1745">
        <f>IF(AND(S1745&gt;1,COUNTIF($A$2:A1745,A1745)=1),1,0)</f>
        <v>0</v>
      </c>
      <c r="U1745">
        <f>COUNTIF(Customers!$A$2:$A$301,C1745)</f>
        <v>1</v>
      </c>
      <c r="V1745">
        <f t="shared" si="83"/>
        <v>0</v>
      </c>
    </row>
    <row r="1746" spans="1:22" ht="14.25" customHeight="1" x14ac:dyDescent="0.35">
      <c r="A1746" s="10" t="s">
        <v>2208</v>
      </c>
      <c r="B1746" s="11">
        <v>45425</v>
      </c>
      <c r="C1746" s="10" t="s">
        <v>471</v>
      </c>
      <c r="D1746" s="10" t="s">
        <v>159</v>
      </c>
      <c r="E1746" s="10" t="s">
        <v>193</v>
      </c>
      <c r="F1746" s="12">
        <v>10</v>
      </c>
      <c r="G1746" s="12">
        <v>2860</v>
      </c>
      <c r="H1746" s="12">
        <v>15</v>
      </c>
      <c r="I1746" s="12">
        <v>24310</v>
      </c>
      <c r="J1746" s="10" t="s">
        <v>51</v>
      </c>
      <c r="K1746" s="10" t="s">
        <v>52</v>
      </c>
      <c r="L1746" t="str">
        <f>IFERROR(VLOOKUP(D1746,Products!A:F,3,0),"")</f>
        <v>Sports</v>
      </c>
      <c r="M1746" t="str">
        <f>IFERROR(VLOOKUP(E1746,Sales_Reps!A:E,3,0),"")</f>
        <v>West</v>
      </c>
      <c r="N1746" t="str">
        <f>IFERROR(VLOOKUP(C1746,Customers!A:F,5,0),"")</f>
        <v>Retail</v>
      </c>
      <c r="O1746">
        <f>IFERROR(VLOOKUP(C1746,Customers!A:F,3,0),"")</f>
        <v>59</v>
      </c>
      <c r="P1746">
        <f>IFERROR(VLOOKUP(D1746,Products!A:F,4,0),"")</f>
        <v>2028</v>
      </c>
      <c r="Q1746" t="b">
        <f>IFERROR(VLOOKUP(D1746,Products!A:F,6,0),"")</f>
        <v>1</v>
      </c>
      <c r="R1746">
        <f t="shared" si="81"/>
        <v>0.29090909090909089</v>
      </c>
      <c r="S1746">
        <f t="shared" si="82"/>
        <v>1</v>
      </c>
      <c r="T1746">
        <f>IF(AND(S1746&gt;1,COUNTIF($A$2:A1746,A1746)=1),1,0)</f>
        <v>0</v>
      </c>
      <c r="U1746">
        <f>COUNTIF(Customers!$A$2:$A$301,C1746)</f>
        <v>1</v>
      </c>
      <c r="V1746">
        <f t="shared" si="83"/>
        <v>0</v>
      </c>
    </row>
    <row r="1747" spans="1:22" ht="14.25" customHeight="1" x14ac:dyDescent="0.35">
      <c r="A1747" s="10" t="s">
        <v>2209</v>
      </c>
      <c r="B1747" s="11">
        <v>45444</v>
      </c>
      <c r="C1747" s="10" t="s">
        <v>274</v>
      </c>
      <c r="D1747" s="10" t="s">
        <v>121</v>
      </c>
      <c r="E1747" s="10" t="s">
        <v>267</v>
      </c>
      <c r="F1747" s="12">
        <v>5</v>
      </c>
      <c r="G1747" s="12">
        <v>3450</v>
      </c>
      <c r="H1747" s="12">
        <v>2.2999999999999998</v>
      </c>
      <c r="I1747" s="12">
        <v>16853.25</v>
      </c>
      <c r="J1747" s="10" t="s">
        <v>51</v>
      </c>
      <c r="K1747" s="10" t="s">
        <v>81</v>
      </c>
      <c r="L1747" t="str">
        <f>IFERROR(VLOOKUP(D1747,Products!A:F,3,0),"")</f>
        <v>Beauty</v>
      </c>
      <c r="M1747" t="str">
        <f>IFERROR(VLOOKUP(E1747,Sales_Reps!A:E,3,0),"")</f>
        <v>East</v>
      </c>
      <c r="N1747" t="str">
        <f>IFERROR(VLOOKUP(C1747,Customers!A:F,5,0),"")</f>
        <v>Retail</v>
      </c>
      <c r="O1747">
        <f>IFERROR(VLOOKUP(C1747,Customers!A:F,3,0),"")</f>
        <v>42</v>
      </c>
      <c r="P1747">
        <f>IFERROR(VLOOKUP(D1747,Products!A:F,4,0),"")</f>
        <v>2420</v>
      </c>
      <c r="Q1747" t="b">
        <f>IFERROR(VLOOKUP(D1747,Products!A:F,6,0),"")</f>
        <v>1</v>
      </c>
      <c r="R1747">
        <f t="shared" si="81"/>
        <v>0.29855072463768118</v>
      </c>
      <c r="S1747">
        <f t="shared" si="82"/>
        <v>1</v>
      </c>
      <c r="T1747">
        <f>IF(AND(S1747&gt;1,COUNTIF($A$2:A1747,A1747)=1),1,0)</f>
        <v>0</v>
      </c>
      <c r="U1747">
        <f>COUNTIF(Customers!$A$2:$A$301,C1747)</f>
        <v>1</v>
      </c>
      <c r="V1747">
        <f t="shared" si="83"/>
        <v>0</v>
      </c>
    </row>
    <row r="1748" spans="1:22" ht="14.25" customHeight="1" x14ac:dyDescent="0.35">
      <c r="A1748" s="10" t="s">
        <v>2210</v>
      </c>
      <c r="B1748" s="11">
        <v>45397</v>
      </c>
      <c r="C1748" s="10" t="s">
        <v>158</v>
      </c>
      <c r="D1748" s="10" t="s">
        <v>95</v>
      </c>
      <c r="E1748" s="10" t="s">
        <v>152</v>
      </c>
      <c r="F1748" s="12">
        <v>3</v>
      </c>
      <c r="G1748" s="12">
        <v>2270</v>
      </c>
      <c r="H1748" s="12">
        <v>2.8</v>
      </c>
      <c r="I1748" s="12">
        <v>6619.32</v>
      </c>
      <c r="J1748" s="10" t="s">
        <v>57</v>
      </c>
      <c r="K1748" s="10" t="s">
        <v>52</v>
      </c>
      <c r="L1748" t="str">
        <f>IFERROR(VLOOKUP(D1748,Products!A:F,3,0),"")</f>
        <v>Grocery</v>
      </c>
      <c r="M1748" t="str">
        <f>IFERROR(VLOOKUP(E1748,Sales_Reps!A:E,3,0),"")</f>
        <v>South</v>
      </c>
      <c r="N1748" t="str">
        <f>IFERROR(VLOOKUP(C1748,Customers!A:F,5,0),"")</f>
        <v>SMB</v>
      </c>
      <c r="O1748">
        <f>IFERROR(VLOOKUP(C1748,Customers!A:F,3,0),"")</f>
        <v>44</v>
      </c>
      <c r="P1748">
        <f>IFERROR(VLOOKUP(D1748,Products!A:F,4,0),"")</f>
        <v>1203</v>
      </c>
      <c r="Q1748" t="b">
        <f>IFERROR(VLOOKUP(D1748,Products!A:F,6,0),"")</f>
        <v>1</v>
      </c>
      <c r="R1748">
        <f t="shared" si="81"/>
        <v>0.47004405286343615</v>
      </c>
      <c r="S1748">
        <f t="shared" si="82"/>
        <v>1</v>
      </c>
      <c r="T1748">
        <f>IF(AND(S1748&gt;1,COUNTIF($A$2:A1748,A1748)=1),1,0)</f>
        <v>0</v>
      </c>
      <c r="U1748">
        <f>COUNTIF(Customers!$A$2:$A$301,C1748)</f>
        <v>1</v>
      </c>
      <c r="V1748">
        <f t="shared" si="83"/>
        <v>0</v>
      </c>
    </row>
    <row r="1749" spans="1:22" ht="14.25" customHeight="1" x14ac:dyDescent="0.35">
      <c r="A1749" s="10" t="s">
        <v>2211</v>
      </c>
      <c r="B1749" s="11">
        <v>45354</v>
      </c>
      <c r="C1749" s="10" t="s">
        <v>745</v>
      </c>
      <c r="D1749" s="10" t="s">
        <v>66</v>
      </c>
      <c r="E1749" s="10" t="s">
        <v>50</v>
      </c>
      <c r="F1749" s="12">
        <v>8</v>
      </c>
      <c r="G1749" s="12">
        <v>3660</v>
      </c>
      <c r="H1749" s="12">
        <v>16.8</v>
      </c>
      <c r="I1749" s="12">
        <v>24360.959999999999</v>
      </c>
      <c r="J1749" s="10" t="s">
        <v>51</v>
      </c>
      <c r="K1749" s="10" t="s">
        <v>63</v>
      </c>
      <c r="L1749" t="str">
        <f>IFERROR(VLOOKUP(D1749,Products!A:F,3,0),"")</f>
        <v>Grocery</v>
      </c>
      <c r="M1749" t="str">
        <f>IFERROR(VLOOKUP(E1749,Sales_Reps!A:E,3,0),"")</f>
        <v>North</v>
      </c>
      <c r="N1749" t="str">
        <f>IFERROR(VLOOKUP(C1749,Customers!A:F,5,0),"")</f>
        <v>SMB</v>
      </c>
      <c r="O1749">
        <f>IFERROR(VLOOKUP(C1749,Customers!A:F,3,0),"")</f>
        <v>29</v>
      </c>
      <c r="P1749">
        <f>IFERROR(VLOOKUP(D1749,Products!A:F,4,0),"")</f>
        <v>2214</v>
      </c>
      <c r="Q1749" t="b">
        <f>IFERROR(VLOOKUP(D1749,Products!A:F,6,0),"")</f>
        <v>0</v>
      </c>
      <c r="R1749">
        <f t="shared" si="81"/>
        <v>0.39508196721311473</v>
      </c>
      <c r="S1749">
        <f t="shared" si="82"/>
        <v>1</v>
      </c>
      <c r="T1749">
        <f>IF(AND(S1749&gt;1,COUNTIF($A$2:A1749,A1749)=1),1,0)</f>
        <v>0</v>
      </c>
      <c r="U1749">
        <f>COUNTIF(Customers!$A$2:$A$301,C1749)</f>
        <v>1</v>
      </c>
      <c r="V1749">
        <f t="shared" si="83"/>
        <v>0</v>
      </c>
    </row>
    <row r="1750" spans="1:22" ht="14.25" customHeight="1" x14ac:dyDescent="0.35">
      <c r="A1750" s="10" t="s">
        <v>2212</v>
      </c>
      <c r="B1750" s="11">
        <v>45469</v>
      </c>
      <c r="C1750" s="10" t="s">
        <v>579</v>
      </c>
      <c r="D1750" s="10" t="s">
        <v>240</v>
      </c>
      <c r="E1750" s="10" t="s">
        <v>71</v>
      </c>
      <c r="F1750" s="12">
        <v>7</v>
      </c>
      <c r="G1750" s="12">
        <v>3020</v>
      </c>
      <c r="H1750" s="12">
        <v>17.8</v>
      </c>
      <c r="I1750" s="12">
        <v>17377.080000000002</v>
      </c>
      <c r="J1750" s="10" t="s">
        <v>51</v>
      </c>
      <c r="K1750" s="10" t="s">
        <v>76</v>
      </c>
      <c r="L1750" t="str">
        <f>IFERROR(VLOOKUP(D1750,Products!A:F,3,0),"")</f>
        <v>Beauty</v>
      </c>
      <c r="M1750" t="str">
        <f>IFERROR(VLOOKUP(E1750,Sales_Reps!A:E,3,0),"")</f>
        <v>North</v>
      </c>
      <c r="N1750" t="str">
        <f>IFERROR(VLOOKUP(C1750,Customers!A:F,5,0),"")</f>
        <v>Retail</v>
      </c>
      <c r="O1750">
        <f>IFERROR(VLOOKUP(C1750,Customers!A:F,3,0),"")</f>
        <v>53</v>
      </c>
      <c r="P1750">
        <f>IFERROR(VLOOKUP(D1750,Products!A:F,4,0),"")</f>
        <v>1626</v>
      </c>
      <c r="Q1750" t="b">
        <f>IFERROR(VLOOKUP(D1750,Products!A:F,6,0),"")</f>
        <v>1</v>
      </c>
      <c r="R1750">
        <f t="shared" si="81"/>
        <v>0.46158940397350995</v>
      </c>
      <c r="S1750">
        <f t="shared" si="82"/>
        <v>1</v>
      </c>
      <c r="T1750">
        <f>IF(AND(S1750&gt;1,COUNTIF($A$2:A1750,A1750)=1),1,0)</f>
        <v>0</v>
      </c>
      <c r="U1750">
        <f>COUNTIF(Customers!$A$2:$A$301,C1750)</f>
        <v>1</v>
      </c>
      <c r="V1750">
        <f t="shared" si="83"/>
        <v>0</v>
      </c>
    </row>
    <row r="1751" spans="1:22" ht="14.25" customHeight="1" x14ac:dyDescent="0.35">
      <c r="A1751" s="10" t="s">
        <v>2213</v>
      </c>
      <c r="B1751" s="11">
        <v>45587</v>
      </c>
      <c r="C1751" s="10" t="s">
        <v>1225</v>
      </c>
      <c r="D1751" s="10" t="s">
        <v>128</v>
      </c>
      <c r="E1751" s="10" t="s">
        <v>62</v>
      </c>
      <c r="F1751" s="12">
        <v>7</v>
      </c>
      <c r="G1751" s="12">
        <v>1080</v>
      </c>
      <c r="H1751" s="12">
        <v>12.9</v>
      </c>
      <c r="I1751" s="12">
        <v>6584.76</v>
      </c>
      <c r="J1751" s="10" t="s">
        <v>51</v>
      </c>
      <c r="K1751" s="10" t="s">
        <v>81</v>
      </c>
      <c r="L1751" t="str">
        <f>IFERROR(VLOOKUP(D1751,Products!A:F,3,0),"")</f>
        <v>Home</v>
      </c>
      <c r="M1751" t="str">
        <f>IFERROR(VLOOKUP(E1751,Sales_Reps!A:E,3,0),"")</f>
        <v>South</v>
      </c>
      <c r="N1751" t="str">
        <f>IFERROR(VLOOKUP(C1751,Customers!A:F,5,0),"")</f>
        <v>Retail</v>
      </c>
      <c r="O1751">
        <f>IFERROR(VLOOKUP(C1751,Customers!A:F,3,0),"")</f>
        <v>54</v>
      </c>
      <c r="P1751">
        <f>IFERROR(VLOOKUP(D1751,Products!A:F,4,0),"")</f>
        <v>519</v>
      </c>
      <c r="Q1751" t="b">
        <f>IFERROR(VLOOKUP(D1751,Products!A:F,6,0),"")</f>
        <v>1</v>
      </c>
      <c r="R1751">
        <f t="shared" si="81"/>
        <v>0.51944444444444449</v>
      </c>
      <c r="S1751">
        <f t="shared" si="82"/>
        <v>1</v>
      </c>
      <c r="T1751">
        <f>IF(AND(S1751&gt;1,COUNTIF($A$2:A1751,A1751)=1),1,0)</f>
        <v>0</v>
      </c>
      <c r="U1751">
        <f>COUNTIF(Customers!$A$2:$A$301,C1751)</f>
        <v>1</v>
      </c>
      <c r="V1751">
        <f t="shared" si="83"/>
        <v>0</v>
      </c>
    </row>
    <row r="1752" spans="1:22" ht="14.25" customHeight="1" x14ac:dyDescent="0.35">
      <c r="A1752" s="10" t="s">
        <v>2214</v>
      </c>
      <c r="B1752" s="11">
        <v>45494</v>
      </c>
      <c r="C1752" s="10" t="s">
        <v>529</v>
      </c>
      <c r="D1752" s="10" t="s">
        <v>209</v>
      </c>
      <c r="E1752" s="10" t="s">
        <v>289</v>
      </c>
      <c r="F1752" s="12">
        <v>2</v>
      </c>
      <c r="G1752" s="12">
        <v>2270</v>
      </c>
      <c r="H1752" s="12">
        <v>8.6</v>
      </c>
      <c r="I1752" s="12">
        <v>4149.5600000000004</v>
      </c>
      <c r="J1752" s="10" t="s">
        <v>104</v>
      </c>
      <c r="K1752" s="10" t="s">
        <v>76</v>
      </c>
      <c r="L1752" t="str">
        <f>IFERROR(VLOOKUP(D1752,Products!A:F,3,0),"")</f>
        <v>Grocery</v>
      </c>
      <c r="M1752" t="str">
        <f>IFERROR(VLOOKUP(E1752,Sales_Reps!A:E,3,0),"")</f>
        <v>South</v>
      </c>
      <c r="N1752" t="str">
        <f>IFERROR(VLOOKUP(C1752,Customers!A:F,5,0),"")</f>
        <v>SMB</v>
      </c>
      <c r="O1752">
        <f>IFERROR(VLOOKUP(C1752,Customers!A:F,3,0),"")</f>
        <v>61</v>
      </c>
      <c r="P1752">
        <f>IFERROR(VLOOKUP(D1752,Products!A:F,4,0),"")</f>
        <v>1412</v>
      </c>
      <c r="Q1752" t="b">
        <f>IFERROR(VLOOKUP(D1752,Products!A:F,6,0),"")</f>
        <v>1</v>
      </c>
      <c r="R1752">
        <f t="shared" si="81"/>
        <v>0.37797356828193834</v>
      </c>
      <c r="S1752">
        <f t="shared" si="82"/>
        <v>1</v>
      </c>
      <c r="T1752">
        <f>IF(AND(S1752&gt;1,COUNTIF($A$2:A1752,A1752)=1),1,0)</f>
        <v>0</v>
      </c>
      <c r="U1752">
        <f>COUNTIF(Customers!$A$2:$A$301,C1752)</f>
        <v>1</v>
      </c>
      <c r="V1752">
        <f t="shared" si="83"/>
        <v>0</v>
      </c>
    </row>
    <row r="1753" spans="1:22" ht="14.25" customHeight="1" x14ac:dyDescent="0.35">
      <c r="A1753" s="10" t="s">
        <v>2215</v>
      </c>
      <c r="B1753" s="11">
        <v>45445</v>
      </c>
      <c r="C1753" s="10" t="s">
        <v>354</v>
      </c>
      <c r="D1753" s="10" t="s">
        <v>256</v>
      </c>
      <c r="E1753" s="10" t="s">
        <v>289</v>
      </c>
      <c r="F1753" s="12">
        <v>10</v>
      </c>
      <c r="G1753" s="12">
        <v>620</v>
      </c>
      <c r="H1753" s="12">
        <v>26.1</v>
      </c>
      <c r="I1753" s="12">
        <v>4581.8</v>
      </c>
      <c r="J1753" s="10" t="s">
        <v>51</v>
      </c>
      <c r="K1753" s="10" t="s">
        <v>52</v>
      </c>
      <c r="L1753" t="str">
        <f>IFERROR(VLOOKUP(D1753,Products!A:F,3,0),"")</f>
        <v>Apparel</v>
      </c>
      <c r="M1753" t="str">
        <f>IFERROR(VLOOKUP(E1753,Sales_Reps!A:E,3,0),"")</f>
        <v>South</v>
      </c>
      <c r="N1753" t="str">
        <f>IFERROR(VLOOKUP(C1753,Customers!A:F,5,0),"")</f>
        <v>SMB</v>
      </c>
      <c r="O1753">
        <f>IFERROR(VLOOKUP(C1753,Customers!A:F,3,0),"")</f>
        <v>54</v>
      </c>
      <c r="P1753">
        <f>IFERROR(VLOOKUP(D1753,Products!A:F,4,0),"")</f>
        <v>396</v>
      </c>
      <c r="Q1753" t="b">
        <f>IFERROR(VLOOKUP(D1753,Products!A:F,6,0),"")</f>
        <v>1</v>
      </c>
      <c r="R1753">
        <f t="shared" si="81"/>
        <v>0.36129032258064514</v>
      </c>
      <c r="S1753">
        <f t="shared" si="82"/>
        <v>1</v>
      </c>
      <c r="T1753">
        <f>IF(AND(S1753&gt;1,COUNTIF($A$2:A1753,A1753)=1),1,0)</f>
        <v>0</v>
      </c>
      <c r="U1753">
        <f>COUNTIF(Customers!$A$2:$A$301,C1753)</f>
        <v>1</v>
      </c>
      <c r="V1753">
        <f t="shared" si="83"/>
        <v>0</v>
      </c>
    </row>
    <row r="1754" spans="1:22" ht="14.25" customHeight="1" x14ac:dyDescent="0.35">
      <c r="A1754" s="10" t="s">
        <v>2216</v>
      </c>
      <c r="B1754" s="11">
        <v>45561</v>
      </c>
      <c r="C1754" s="10" t="s">
        <v>570</v>
      </c>
      <c r="D1754" s="10" t="s">
        <v>315</v>
      </c>
      <c r="E1754" s="10" t="s">
        <v>152</v>
      </c>
      <c r="F1754" s="12">
        <v>2</v>
      </c>
      <c r="G1754" s="12">
        <v>4060</v>
      </c>
      <c r="H1754" s="12">
        <v>3.8</v>
      </c>
      <c r="I1754" s="12">
        <v>7811.44</v>
      </c>
      <c r="J1754" s="10" t="s">
        <v>51</v>
      </c>
      <c r="K1754" s="10" t="s">
        <v>76</v>
      </c>
      <c r="L1754" t="str">
        <f>IFERROR(VLOOKUP(D1754,Products!A:F,3,0),"")</f>
        <v>Grocery</v>
      </c>
      <c r="M1754" t="str">
        <f>IFERROR(VLOOKUP(E1754,Sales_Reps!A:E,3,0),"")</f>
        <v>South</v>
      </c>
      <c r="N1754" t="str">
        <f>IFERROR(VLOOKUP(C1754,Customers!A:F,5,0),"")</f>
        <v>Retail</v>
      </c>
      <c r="O1754">
        <f>IFERROR(VLOOKUP(C1754,Customers!A:F,3,0),"")</f>
        <v>52</v>
      </c>
      <c r="P1754">
        <f>IFERROR(VLOOKUP(D1754,Products!A:F,4,0),"")</f>
        <v>2911</v>
      </c>
      <c r="Q1754" t="b">
        <f>IFERROR(VLOOKUP(D1754,Products!A:F,6,0),"")</f>
        <v>1</v>
      </c>
      <c r="R1754">
        <f t="shared" si="81"/>
        <v>0.28300492610837441</v>
      </c>
      <c r="S1754">
        <f t="shared" si="82"/>
        <v>1</v>
      </c>
      <c r="T1754">
        <f>IF(AND(S1754&gt;1,COUNTIF($A$2:A1754,A1754)=1),1,0)</f>
        <v>0</v>
      </c>
      <c r="U1754">
        <f>COUNTIF(Customers!$A$2:$A$301,C1754)</f>
        <v>1</v>
      </c>
      <c r="V1754">
        <f t="shared" si="83"/>
        <v>0</v>
      </c>
    </row>
    <row r="1755" spans="1:22" ht="14.25" customHeight="1" x14ac:dyDescent="0.35">
      <c r="A1755" s="10" t="s">
        <v>2217</v>
      </c>
      <c r="B1755" s="11">
        <v>45488</v>
      </c>
      <c r="C1755" s="10" t="s">
        <v>242</v>
      </c>
      <c r="D1755" s="10" t="s">
        <v>198</v>
      </c>
      <c r="E1755" s="10" t="s">
        <v>289</v>
      </c>
      <c r="F1755" s="12">
        <v>1</v>
      </c>
      <c r="G1755" s="12">
        <v>3780</v>
      </c>
      <c r="H1755" s="12">
        <v>27.9</v>
      </c>
      <c r="I1755" s="12">
        <v>2725.38</v>
      </c>
      <c r="J1755" s="10" t="s">
        <v>51</v>
      </c>
      <c r="K1755" s="10" t="s">
        <v>97</v>
      </c>
      <c r="L1755" t="str">
        <f>IFERROR(VLOOKUP(D1755,Products!A:F,3,0),"")</f>
        <v>Grocery</v>
      </c>
      <c r="M1755" t="str">
        <f>IFERROR(VLOOKUP(E1755,Sales_Reps!A:E,3,0),"")</f>
        <v>South</v>
      </c>
      <c r="N1755" t="str">
        <f>IFERROR(VLOOKUP(C1755,Customers!A:F,5,0),"")</f>
        <v>Corporate</v>
      </c>
      <c r="O1755">
        <f>IFERROR(VLOOKUP(C1755,Customers!A:F,3,0),"")</f>
        <v>29</v>
      </c>
      <c r="P1755">
        <f>IFERROR(VLOOKUP(D1755,Products!A:F,4,0),"")</f>
        <v>2436</v>
      </c>
      <c r="Q1755" t="b">
        <f>IFERROR(VLOOKUP(D1755,Products!A:F,6,0),"")</f>
        <v>1</v>
      </c>
      <c r="R1755">
        <f t="shared" si="81"/>
        <v>0.35555555555555557</v>
      </c>
      <c r="S1755">
        <f t="shared" si="82"/>
        <v>1</v>
      </c>
      <c r="T1755">
        <f>IF(AND(S1755&gt;1,COUNTIF($A$2:A1755,A1755)=1),1,0)</f>
        <v>0</v>
      </c>
      <c r="U1755">
        <f>COUNTIF(Customers!$A$2:$A$301,C1755)</f>
        <v>1</v>
      </c>
      <c r="V1755">
        <f t="shared" si="83"/>
        <v>0</v>
      </c>
    </row>
    <row r="1756" spans="1:22" ht="14.25" customHeight="1" x14ac:dyDescent="0.35">
      <c r="A1756" s="10" t="s">
        <v>2218</v>
      </c>
      <c r="B1756" s="11">
        <v>45617</v>
      </c>
      <c r="C1756" s="10" t="s">
        <v>222</v>
      </c>
      <c r="D1756" s="10" t="s">
        <v>331</v>
      </c>
      <c r="E1756" s="10" t="s">
        <v>249</v>
      </c>
      <c r="F1756" s="12">
        <v>8</v>
      </c>
      <c r="G1756" s="12">
        <v>2380</v>
      </c>
      <c r="H1756" s="12">
        <v>3.8</v>
      </c>
      <c r="I1756" s="12">
        <v>18316.48</v>
      </c>
      <c r="J1756" s="10" t="s">
        <v>51</v>
      </c>
      <c r="K1756" s="10" t="s">
        <v>63</v>
      </c>
      <c r="L1756" t="str">
        <f>IFERROR(VLOOKUP(D1756,Products!A:F,3,0),"")</f>
        <v>Grocery</v>
      </c>
      <c r="M1756" t="str">
        <f>IFERROR(VLOOKUP(E1756,Sales_Reps!A:E,3,0),"")</f>
        <v>East</v>
      </c>
      <c r="N1756" t="str">
        <f>IFERROR(VLOOKUP(C1756,Customers!A:F,5,0),"")</f>
        <v>SMB</v>
      </c>
      <c r="O1756">
        <f>IFERROR(VLOOKUP(C1756,Customers!A:F,3,0),"")</f>
        <v>55</v>
      </c>
      <c r="P1756">
        <f>IFERROR(VLOOKUP(D1756,Products!A:F,4,0),"")</f>
        <v>1182</v>
      </c>
      <c r="Q1756" t="b">
        <f>IFERROR(VLOOKUP(D1756,Products!A:F,6,0),"")</f>
        <v>1</v>
      </c>
      <c r="R1756">
        <f t="shared" si="81"/>
        <v>0.50336134453781511</v>
      </c>
      <c r="S1756">
        <f t="shared" si="82"/>
        <v>1</v>
      </c>
      <c r="T1756">
        <f>IF(AND(S1756&gt;1,COUNTIF($A$2:A1756,A1756)=1),1,0)</f>
        <v>0</v>
      </c>
      <c r="U1756">
        <f>COUNTIF(Customers!$A$2:$A$301,C1756)</f>
        <v>1</v>
      </c>
      <c r="V1756">
        <f t="shared" si="83"/>
        <v>0</v>
      </c>
    </row>
    <row r="1757" spans="1:22" ht="14.25" customHeight="1" x14ac:dyDescent="0.35">
      <c r="A1757" s="10" t="s">
        <v>2219</v>
      </c>
      <c r="B1757" s="11">
        <v>45378</v>
      </c>
      <c r="C1757" s="10" t="s">
        <v>253</v>
      </c>
      <c r="D1757" s="10" t="s">
        <v>228</v>
      </c>
      <c r="E1757" s="10" t="s">
        <v>80</v>
      </c>
      <c r="F1757" s="12">
        <v>7</v>
      </c>
      <c r="G1757" s="12">
        <v>4070</v>
      </c>
      <c r="H1757" s="12">
        <v>0.3</v>
      </c>
      <c r="I1757" s="12">
        <v>28404.53</v>
      </c>
      <c r="J1757" s="10" t="s">
        <v>51</v>
      </c>
      <c r="K1757" s="10" t="s">
        <v>58</v>
      </c>
      <c r="L1757" t="str">
        <f>IFERROR(VLOOKUP(D1757,Products!A:F,3,0),"")</f>
        <v>Grocery</v>
      </c>
      <c r="M1757" t="str">
        <f>IFERROR(VLOOKUP(E1757,Sales_Reps!A:E,3,0),"")</f>
        <v>West</v>
      </c>
      <c r="N1757" t="str">
        <f>IFERROR(VLOOKUP(C1757,Customers!A:F,5,0),"")</f>
        <v>Retail</v>
      </c>
      <c r="O1757">
        <f>IFERROR(VLOOKUP(C1757,Customers!A:F,3,0),"")</f>
        <v>38</v>
      </c>
      <c r="P1757">
        <f>IFERROR(VLOOKUP(D1757,Products!A:F,4,0),"")</f>
        <v>2027</v>
      </c>
      <c r="Q1757" t="b">
        <f>IFERROR(VLOOKUP(D1757,Products!A:F,6,0),"")</f>
        <v>1</v>
      </c>
      <c r="R1757">
        <f t="shared" si="81"/>
        <v>0.50196560196560192</v>
      </c>
      <c r="S1757">
        <f t="shared" si="82"/>
        <v>1</v>
      </c>
      <c r="T1757">
        <f>IF(AND(S1757&gt;1,COUNTIF($A$2:A1757,A1757)=1),1,0)</f>
        <v>0</v>
      </c>
      <c r="U1757">
        <f>COUNTIF(Customers!$A$2:$A$301,C1757)</f>
        <v>1</v>
      </c>
      <c r="V1757">
        <f t="shared" si="83"/>
        <v>0</v>
      </c>
    </row>
    <row r="1758" spans="1:22" ht="14.25" customHeight="1" x14ac:dyDescent="0.35">
      <c r="A1758" s="10" t="s">
        <v>2220</v>
      </c>
      <c r="B1758" s="11">
        <v>45459</v>
      </c>
      <c r="C1758" s="10" t="s">
        <v>1198</v>
      </c>
      <c r="D1758" s="10" t="s">
        <v>99</v>
      </c>
      <c r="E1758" s="10" t="s">
        <v>156</v>
      </c>
      <c r="F1758" s="12">
        <v>6</v>
      </c>
      <c r="G1758" s="12">
        <v>2640</v>
      </c>
      <c r="H1758" s="12">
        <v>3.4</v>
      </c>
      <c r="I1758" s="12">
        <v>15301.44</v>
      </c>
      <c r="J1758" s="10" t="s">
        <v>51</v>
      </c>
      <c r="K1758" s="10" t="s">
        <v>76</v>
      </c>
      <c r="L1758" t="str">
        <f>IFERROR(VLOOKUP(D1758,Products!A:F,3,0),"")</f>
        <v>Electronics</v>
      </c>
      <c r="M1758" t="str">
        <f>IFERROR(VLOOKUP(E1758,Sales_Reps!A:E,3,0),"")</f>
        <v>East</v>
      </c>
      <c r="N1758" t="str">
        <f>IFERROR(VLOOKUP(C1758,Customers!A:F,5,0),"")</f>
        <v>Retail</v>
      </c>
      <c r="O1758">
        <f>IFERROR(VLOOKUP(C1758,Customers!A:F,3,0),"")</f>
        <v>29</v>
      </c>
      <c r="P1758">
        <f>IFERROR(VLOOKUP(D1758,Products!A:F,4,0),"")</f>
        <v>1149</v>
      </c>
      <c r="Q1758" t="b">
        <f>IFERROR(VLOOKUP(D1758,Products!A:F,6,0),"")</f>
        <v>1</v>
      </c>
      <c r="R1758">
        <f t="shared" si="81"/>
        <v>0.56477272727272732</v>
      </c>
      <c r="S1758">
        <f t="shared" si="82"/>
        <v>1</v>
      </c>
      <c r="T1758">
        <f>IF(AND(S1758&gt;1,COUNTIF($A$2:A1758,A1758)=1),1,0)</f>
        <v>0</v>
      </c>
      <c r="U1758">
        <f>COUNTIF(Customers!$A$2:$A$301,C1758)</f>
        <v>1</v>
      </c>
      <c r="V1758">
        <f t="shared" si="83"/>
        <v>0</v>
      </c>
    </row>
    <row r="1759" spans="1:22" ht="14.25" customHeight="1" x14ac:dyDescent="0.35">
      <c r="A1759" s="10" t="s">
        <v>2221</v>
      </c>
      <c r="B1759" s="11">
        <v>45377</v>
      </c>
      <c r="C1759" s="10" t="s">
        <v>145</v>
      </c>
      <c r="D1759" s="10" t="s">
        <v>425</v>
      </c>
      <c r="E1759" s="10" t="s">
        <v>134</v>
      </c>
      <c r="F1759" s="12">
        <v>10</v>
      </c>
      <c r="G1759" s="12">
        <v>3780</v>
      </c>
      <c r="H1759" s="12">
        <v>13.3</v>
      </c>
      <c r="I1759" s="12">
        <v>32772.6</v>
      </c>
      <c r="J1759" s="10" t="s">
        <v>51</v>
      </c>
      <c r="K1759" s="10" t="s">
        <v>63</v>
      </c>
      <c r="L1759" t="str">
        <f>IFERROR(VLOOKUP(D1759,Products!A:F,3,0),"")</f>
        <v>Sports</v>
      </c>
      <c r="M1759" t="str">
        <f>IFERROR(VLOOKUP(E1759,Sales_Reps!A:E,3,0),"")</f>
        <v>West</v>
      </c>
      <c r="N1759" t="str">
        <f>IFERROR(VLOOKUP(C1759,Customers!A:F,5,0),"")</f>
        <v>Retail</v>
      </c>
      <c r="O1759">
        <f>IFERROR(VLOOKUP(C1759,Customers!A:F,3,0),"")</f>
        <v>31</v>
      </c>
      <c r="P1759">
        <f>IFERROR(VLOOKUP(D1759,Products!A:F,4,0),"")</f>
        <v>1860</v>
      </c>
      <c r="Q1759" t="b">
        <f>IFERROR(VLOOKUP(D1759,Products!A:F,6,0),"")</f>
        <v>1</v>
      </c>
      <c r="R1759">
        <f t="shared" si="81"/>
        <v>0.50793650793650791</v>
      </c>
      <c r="S1759">
        <f t="shared" si="82"/>
        <v>1</v>
      </c>
      <c r="T1759">
        <f>IF(AND(S1759&gt;1,COUNTIF($A$2:A1759,A1759)=1),1,0)</f>
        <v>0</v>
      </c>
      <c r="U1759">
        <f>COUNTIF(Customers!$A$2:$A$301,C1759)</f>
        <v>1</v>
      </c>
      <c r="V1759">
        <f t="shared" si="83"/>
        <v>0</v>
      </c>
    </row>
    <row r="1760" spans="1:22" ht="14.25" customHeight="1" x14ac:dyDescent="0.35">
      <c r="A1760" s="10" t="s">
        <v>2222</v>
      </c>
      <c r="B1760" s="11">
        <v>45302</v>
      </c>
      <c r="C1760" s="10" t="s">
        <v>836</v>
      </c>
      <c r="D1760" s="10" t="s">
        <v>143</v>
      </c>
      <c r="E1760" s="10" t="s">
        <v>168</v>
      </c>
      <c r="F1760" s="12">
        <v>9</v>
      </c>
      <c r="G1760" s="12">
        <v>3350</v>
      </c>
      <c r="H1760" s="12">
        <v>12.8</v>
      </c>
      <c r="I1760" s="12">
        <v>26290.799999999999</v>
      </c>
      <c r="J1760" s="10" t="s">
        <v>51</v>
      </c>
      <c r="K1760" s="10" t="s">
        <v>76</v>
      </c>
      <c r="L1760" t="str">
        <f>IFERROR(VLOOKUP(D1760,Products!A:F,3,0),"")</f>
        <v>Beauty</v>
      </c>
      <c r="M1760" t="str">
        <f>IFERROR(VLOOKUP(E1760,Sales_Reps!A:E,3,0),"")</f>
        <v>South</v>
      </c>
      <c r="N1760" t="str">
        <f>IFERROR(VLOOKUP(C1760,Customers!A:F,5,0),"")</f>
        <v>Corporate</v>
      </c>
      <c r="O1760">
        <f>IFERROR(VLOOKUP(C1760,Customers!A:F,3,0),"")</f>
        <v>62</v>
      </c>
      <c r="P1760">
        <f>IFERROR(VLOOKUP(D1760,Products!A:F,4,0),"")</f>
        <v>1728</v>
      </c>
      <c r="Q1760" t="b">
        <f>IFERROR(VLOOKUP(D1760,Products!A:F,6,0),"")</f>
        <v>1</v>
      </c>
      <c r="R1760">
        <f t="shared" si="81"/>
        <v>0.48417910447761192</v>
      </c>
      <c r="S1760">
        <f t="shared" si="82"/>
        <v>1</v>
      </c>
      <c r="T1760">
        <f>IF(AND(S1760&gt;1,COUNTIF($A$2:A1760,A1760)=1),1,0)</f>
        <v>0</v>
      </c>
      <c r="U1760">
        <f>COUNTIF(Customers!$A$2:$A$301,C1760)</f>
        <v>1</v>
      </c>
      <c r="V1760">
        <f t="shared" si="83"/>
        <v>0</v>
      </c>
    </row>
    <row r="1761" spans="1:22" ht="14.25" customHeight="1" x14ac:dyDescent="0.35">
      <c r="A1761" s="10" t="s">
        <v>2223</v>
      </c>
      <c r="B1761" s="11">
        <v>45459</v>
      </c>
      <c r="C1761" s="10" t="s">
        <v>640</v>
      </c>
      <c r="D1761" s="10" t="s">
        <v>70</v>
      </c>
      <c r="E1761" s="10" t="s">
        <v>80</v>
      </c>
      <c r="F1761" s="12">
        <v>7</v>
      </c>
      <c r="G1761" s="12">
        <v>3160</v>
      </c>
      <c r="H1761" s="12">
        <v>15.3</v>
      </c>
      <c r="I1761" s="12">
        <v>18735.64</v>
      </c>
      <c r="J1761" s="10" t="s">
        <v>51</v>
      </c>
      <c r="K1761" s="10" t="s">
        <v>52</v>
      </c>
      <c r="L1761" t="str">
        <f>IFERROR(VLOOKUP(D1761,Products!A:F,3,0),"")</f>
        <v>Apparel</v>
      </c>
      <c r="M1761" t="str">
        <f>IFERROR(VLOOKUP(E1761,Sales_Reps!A:E,3,0),"")</f>
        <v>West</v>
      </c>
      <c r="N1761" t="str">
        <f>IFERROR(VLOOKUP(C1761,Customers!A:F,5,0),"")</f>
        <v>SMB</v>
      </c>
      <c r="O1761">
        <f>IFERROR(VLOOKUP(C1761,Customers!A:F,3,0),"")</f>
        <v>35</v>
      </c>
      <c r="P1761">
        <f>IFERROR(VLOOKUP(D1761,Products!A:F,4,0),"")</f>
        <v>1886</v>
      </c>
      <c r="Q1761" t="b">
        <f>IFERROR(VLOOKUP(D1761,Products!A:F,6,0),"")</f>
        <v>1</v>
      </c>
      <c r="R1761">
        <f t="shared" si="81"/>
        <v>0.4031645569620253</v>
      </c>
      <c r="S1761">
        <f t="shared" si="82"/>
        <v>1</v>
      </c>
      <c r="T1761">
        <f>IF(AND(S1761&gt;1,COUNTIF($A$2:A1761,A1761)=1),1,0)</f>
        <v>0</v>
      </c>
      <c r="U1761">
        <f>COUNTIF(Customers!$A$2:$A$301,C1761)</f>
        <v>1</v>
      </c>
      <c r="V1761">
        <f t="shared" si="83"/>
        <v>0</v>
      </c>
    </row>
    <row r="1762" spans="1:22" ht="14.25" customHeight="1" x14ac:dyDescent="0.35">
      <c r="A1762" s="10" t="s">
        <v>2224</v>
      </c>
      <c r="B1762" s="11">
        <v>45428</v>
      </c>
      <c r="C1762" s="10" t="s">
        <v>947</v>
      </c>
      <c r="D1762" s="10" t="s">
        <v>159</v>
      </c>
      <c r="E1762" s="10" t="s">
        <v>103</v>
      </c>
      <c r="F1762" s="12">
        <v>6</v>
      </c>
      <c r="G1762" s="12">
        <v>2860</v>
      </c>
      <c r="H1762" s="12">
        <v>17.5</v>
      </c>
      <c r="I1762" s="12">
        <v>14157</v>
      </c>
      <c r="J1762" s="10" t="s">
        <v>51</v>
      </c>
      <c r="K1762" s="10" t="s">
        <v>81</v>
      </c>
      <c r="L1762" t="str">
        <f>IFERROR(VLOOKUP(D1762,Products!A:F,3,0),"")</f>
        <v>Sports</v>
      </c>
      <c r="M1762" t="str">
        <f>IFERROR(VLOOKUP(E1762,Sales_Reps!A:E,3,0),"")</f>
        <v>North</v>
      </c>
      <c r="N1762" t="str">
        <f>IFERROR(VLOOKUP(C1762,Customers!A:F,5,0),"")</f>
        <v>SMB</v>
      </c>
      <c r="O1762">
        <f>IFERROR(VLOOKUP(C1762,Customers!A:F,3,0),"")</f>
        <v>36</v>
      </c>
      <c r="P1762">
        <f>IFERROR(VLOOKUP(D1762,Products!A:F,4,0),"")</f>
        <v>2028</v>
      </c>
      <c r="Q1762" t="b">
        <f>IFERROR(VLOOKUP(D1762,Products!A:F,6,0),"")</f>
        <v>1</v>
      </c>
      <c r="R1762">
        <f t="shared" si="81"/>
        <v>0.29090909090909089</v>
      </c>
      <c r="S1762">
        <f t="shared" si="82"/>
        <v>1</v>
      </c>
      <c r="T1762">
        <f>IF(AND(S1762&gt;1,COUNTIF($A$2:A1762,A1762)=1),1,0)</f>
        <v>0</v>
      </c>
      <c r="U1762">
        <f>COUNTIF(Customers!$A$2:$A$301,C1762)</f>
        <v>1</v>
      </c>
      <c r="V1762">
        <f t="shared" si="83"/>
        <v>0</v>
      </c>
    </row>
    <row r="1763" spans="1:22" ht="14.25" customHeight="1" x14ac:dyDescent="0.35">
      <c r="A1763" s="10" t="s">
        <v>2225</v>
      </c>
      <c r="B1763" s="11">
        <v>45341</v>
      </c>
      <c r="C1763" s="10" t="s">
        <v>721</v>
      </c>
      <c r="D1763" s="10" t="s">
        <v>246</v>
      </c>
      <c r="E1763" s="10" t="s">
        <v>96</v>
      </c>
      <c r="F1763" s="12">
        <v>9</v>
      </c>
      <c r="G1763" s="12">
        <v>300</v>
      </c>
      <c r="H1763" s="12">
        <v>25.2</v>
      </c>
      <c r="I1763" s="12">
        <v>2019.6</v>
      </c>
      <c r="J1763" s="10" t="s">
        <v>51</v>
      </c>
      <c r="K1763" s="10" t="s">
        <v>81</v>
      </c>
      <c r="L1763" t="str">
        <f>IFERROR(VLOOKUP(D1763,Products!A:F,3,0),"")</f>
        <v>Electronics</v>
      </c>
      <c r="M1763" t="str">
        <f>IFERROR(VLOOKUP(E1763,Sales_Reps!A:E,3,0),"")</f>
        <v>South</v>
      </c>
      <c r="N1763" t="str">
        <f>IFERROR(VLOOKUP(C1763,Customers!A:F,5,0),"")</f>
        <v>Corporate</v>
      </c>
      <c r="O1763">
        <f>IFERROR(VLOOKUP(C1763,Customers!A:F,3,0),"")</f>
        <v>43</v>
      </c>
      <c r="P1763">
        <f>IFERROR(VLOOKUP(D1763,Products!A:F,4,0),"")</f>
        <v>128</v>
      </c>
      <c r="Q1763" t="b">
        <f>IFERROR(VLOOKUP(D1763,Products!A:F,6,0),"")</f>
        <v>1</v>
      </c>
      <c r="R1763">
        <f t="shared" si="81"/>
        <v>0.57333333333333336</v>
      </c>
      <c r="S1763">
        <f t="shared" si="82"/>
        <v>1</v>
      </c>
      <c r="T1763">
        <f>IF(AND(S1763&gt;1,COUNTIF($A$2:A1763,A1763)=1),1,0)</f>
        <v>0</v>
      </c>
      <c r="U1763">
        <f>COUNTIF(Customers!$A$2:$A$301,C1763)</f>
        <v>1</v>
      </c>
      <c r="V1763">
        <f t="shared" si="83"/>
        <v>0</v>
      </c>
    </row>
    <row r="1764" spans="1:22" ht="14.25" customHeight="1" x14ac:dyDescent="0.35">
      <c r="A1764" s="10" t="s">
        <v>2226</v>
      </c>
      <c r="B1764" s="11">
        <v>45296</v>
      </c>
      <c r="C1764" s="10" t="s">
        <v>941</v>
      </c>
      <c r="D1764" s="10" t="s">
        <v>111</v>
      </c>
      <c r="E1764" s="10" t="s">
        <v>156</v>
      </c>
      <c r="F1764" s="12">
        <v>5</v>
      </c>
      <c r="G1764" s="12">
        <v>190</v>
      </c>
      <c r="H1764" s="12">
        <v>1.8</v>
      </c>
      <c r="I1764" s="12">
        <v>932.9</v>
      </c>
      <c r="J1764" s="10" t="s">
        <v>51</v>
      </c>
      <c r="K1764" s="10" t="s">
        <v>52</v>
      </c>
      <c r="L1764" t="str">
        <f>IFERROR(VLOOKUP(D1764,Products!A:F,3,0),"")</f>
        <v>Sports</v>
      </c>
      <c r="M1764" t="str">
        <f>IFERROR(VLOOKUP(E1764,Sales_Reps!A:E,3,0),"")</f>
        <v>East</v>
      </c>
      <c r="N1764" t="str">
        <f>IFERROR(VLOOKUP(C1764,Customers!A:F,5,0),"")</f>
        <v>Corporate</v>
      </c>
      <c r="O1764">
        <f>IFERROR(VLOOKUP(C1764,Customers!A:F,3,0),"")</f>
        <v>29</v>
      </c>
      <c r="P1764">
        <f>IFERROR(VLOOKUP(D1764,Products!A:F,4,0),"")</f>
        <v>147</v>
      </c>
      <c r="Q1764" t="b">
        <f>IFERROR(VLOOKUP(D1764,Products!A:F,6,0),"")</f>
        <v>1</v>
      </c>
      <c r="R1764">
        <f t="shared" si="81"/>
        <v>0.22631578947368422</v>
      </c>
      <c r="S1764">
        <f t="shared" si="82"/>
        <v>1</v>
      </c>
      <c r="T1764">
        <f>IF(AND(S1764&gt;1,COUNTIF($A$2:A1764,A1764)=1),1,0)</f>
        <v>0</v>
      </c>
      <c r="U1764">
        <f>COUNTIF(Customers!$A$2:$A$301,C1764)</f>
        <v>1</v>
      </c>
      <c r="V1764">
        <f t="shared" si="83"/>
        <v>0</v>
      </c>
    </row>
    <row r="1765" spans="1:22" ht="14.25" customHeight="1" x14ac:dyDescent="0.35">
      <c r="A1765" s="10" t="s">
        <v>2227</v>
      </c>
      <c r="B1765" s="11">
        <v>45533</v>
      </c>
      <c r="C1765" s="10" t="s">
        <v>406</v>
      </c>
      <c r="D1765" s="10" t="s">
        <v>146</v>
      </c>
      <c r="E1765" s="10" t="s">
        <v>122</v>
      </c>
      <c r="F1765" s="12">
        <v>7</v>
      </c>
      <c r="G1765" s="12">
        <v>1010</v>
      </c>
      <c r="H1765" s="12">
        <v>11.2</v>
      </c>
      <c r="I1765" s="12">
        <v>6278.16</v>
      </c>
      <c r="J1765" s="10" t="s">
        <v>51</v>
      </c>
      <c r="K1765" s="10" t="s">
        <v>52</v>
      </c>
      <c r="L1765" t="str">
        <f>IFERROR(VLOOKUP(D1765,Products!A:F,3,0),"")</f>
        <v>Sports</v>
      </c>
      <c r="M1765" t="str">
        <f>IFERROR(VLOOKUP(E1765,Sales_Reps!A:E,3,0),"")</f>
        <v>East</v>
      </c>
      <c r="N1765" t="str">
        <f>IFERROR(VLOOKUP(C1765,Customers!A:F,5,0),"")</f>
        <v>Retail</v>
      </c>
      <c r="O1765">
        <f>IFERROR(VLOOKUP(C1765,Customers!A:F,3,0),"")</f>
        <v>65</v>
      </c>
      <c r="P1765">
        <f>IFERROR(VLOOKUP(D1765,Products!A:F,4,0),"")</f>
        <v>516</v>
      </c>
      <c r="Q1765" t="b">
        <f>IFERROR(VLOOKUP(D1765,Products!A:F,6,0),"")</f>
        <v>1</v>
      </c>
      <c r="R1765">
        <f t="shared" si="81"/>
        <v>0.4891089108910891</v>
      </c>
      <c r="S1765">
        <f t="shared" si="82"/>
        <v>1</v>
      </c>
      <c r="T1765">
        <f>IF(AND(S1765&gt;1,COUNTIF($A$2:A1765,A1765)=1),1,0)</f>
        <v>0</v>
      </c>
      <c r="U1765">
        <f>COUNTIF(Customers!$A$2:$A$301,C1765)</f>
        <v>1</v>
      </c>
      <c r="V1765">
        <f t="shared" si="83"/>
        <v>0</v>
      </c>
    </row>
    <row r="1766" spans="1:22" ht="14.25" customHeight="1" x14ac:dyDescent="0.35">
      <c r="A1766" s="10" t="s">
        <v>2228</v>
      </c>
      <c r="B1766" s="11">
        <v>45515</v>
      </c>
      <c r="C1766" s="10" t="s">
        <v>183</v>
      </c>
      <c r="D1766" s="10" t="s">
        <v>125</v>
      </c>
      <c r="E1766" s="10" t="s">
        <v>179</v>
      </c>
      <c r="F1766" s="12">
        <v>8</v>
      </c>
      <c r="G1766" s="12">
        <v>3450</v>
      </c>
      <c r="H1766" s="12">
        <v>8.4</v>
      </c>
      <c r="I1766" s="12">
        <v>25281.599999999999</v>
      </c>
      <c r="J1766" s="10" t="s">
        <v>51</v>
      </c>
      <c r="K1766" s="10" t="s">
        <v>63</v>
      </c>
      <c r="L1766" t="str">
        <f>IFERROR(VLOOKUP(D1766,Products!A:F,3,0),"")</f>
        <v>Sports</v>
      </c>
      <c r="M1766" t="str">
        <f>IFERROR(VLOOKUP(E1766,Sales_Reps!A:E,3,0),"")</f>
        <v>North</v>
      </c>
      <c r="N1766" t="str">
        <f>IFERROR(VLOOKUP(C1766,Customers!A:F,5,0),"")</f>
        <v>SMB</v>
      </c>
      <c r="O1766">
        <f>IFERROR(VLOOKUP(C1766,Customers!A:F,3,0),"")</f>
        <v>50</v>
      </c>
      <c r="P1766">
        <f>IFERROR(VLOOKUP(D1766,Products!A:F,4,0),"")</f>
        <v>2467</v>
      </c>
      <c r="Q1766" t="b">
        <f>IFERROR(VLOOKUP(D1766,Products!A:F,6,0),"")</f>
        <v>1</v>
      </c>
      <c r="R1766">
        <f t="shared" si="81"/>
        <v>0.28492753623188405</v>
      </c>
      <c r="S1766">
        <f t="shared" si="82"/>
        <v>1</v>
      </c>
      <c r="T1766">
        <f>IF(AND(S1766&gt;1,COUNTIF($A$2:A1766,A1766)=1),1,0)</f>
        <v>0</v>
      </c>
      <c r="U1766">
        <f>COUNTIF(Customers!$A$2:$A$301,C1766)</f>
        <v>1</v>
      </c>
      <c r="V1766">
        <f t="shared" si="83"/>
        <v>0</v>
      </c>
    </row>
    <row r="1767" spans="1:22" ht="14.25" customHeight="1" x14ac:dyDescent="0.35">
      <c r="A1767" s="10" t="s">
        <v>2229</v>
      </c>
      <c r="B1767" s="11">
        <v>45597</v>
      </c>
      <c r="C1767" s="10" t="s">
        <v>950</v>
      </c>
      <c r="D1767" s="10" t="s">
        <v>246</v>
      </c>
      <c r="E1767" s="10" t="s">
        <v>179</v>
      </c>
      <c r="F1767" s="12">
        <v>3</v>
      </c>
      <c r="G1767" s="12">
        <v>300</v>
      </c>
      <c r="H1767" s="12">
        <v>7.5</v>
      </c>
      <c r="I1767" s="12">
        <v>832.5</v>
      </c>
      <c r="J1767" s="10" t="s">
        <v>108</v>
      </c>
      <c r="K1767" s="10" t="s">
        <v>58</v>
      </c>
      <c r="L1767" t="str">
        <f>IFERROR(VLOOKUP(D1767,Products!A:F,3,0),"")</f>
        <v>Electronics</v>
      </c>
      <c r="M1767" t="str">
        <f>IFERROR(VLOOKUP(E1767,Sales_Reps!A:E,3,0),"")</f>
        <v>North</v>
      </c>
      <c r="N1767" t="str">
        <f>IFERROR(VLOOKUP(C1767,Customers!A:F,5,0),"")</f>
        <v>Corporate</v>
      </c>
      <c r="O1767">
        <f>IFERROR(VLOOKUP(C1767,Customers!A:F,3,0),"")</f>
        <v>52</v>
      </c>
      <c r="P1767">
        <f>IFERROR(VLOOKUP(D1767,Products!A:F,4,0),"")</f>
        <v>128</v>
      </c>
      <c r="Q1767" t="b">
        <f>IFERROR(VLOOKUP(D1767,Products!A:F,6,0),"")</f>
        <v>1</v>
      </c>
      <c r="R1767">
        <f t="shared" si="81"/>
        <v>0.57333333333333336</v>
      </c>
      <c r="S1767">
        <f t="shared" si="82"/>
        <v>1</v>
      </c>
      <c r="T1767">
        <f>IF(AND(S1767&gt;1,COUNTIF($A$2:A1767,A1767)=1),1,0)</f>
        <v>0</v>
      </c>
      <c r="U1767">
        <f>COUNTIF(Customers!$A$2:$A$301,C1767)</f>
        <v>1</v>
      </c>
      <c r="V1767">
        <f t="shared" si="83"/>
        <v>0</v>
      </c>
    </row>
    <row r="1768" spans="1:22" ht="14.25" customHeight="1" x14ac:dyDescent="0.35">
      <c r="A1768" s="10" t="s">
        <v>2230</v>
      </c>
      <c r="B1768" s="11">
        <v>45370</v>
      </c>
      <c r="C1768" s="10" t="s">
        <v>192</v>
      </c>
      <c r="D1768" s="10" t="s">
        <v>190</v>
      </c>
      <c r="E1768" s="10" t="s">
        <v>267</v>
      </c>
      <c r="F1768" s="12">
        <v>4</v>
      </c>
      <c r="G1768" s="12">
        <v>3730</v>
      </c>
      <c r="H1768" s="12">
        <v>24.8</v>
      </c>
      <c r="I1768" s="12">
        <v>11219.84</v>
      </c>
      <c r="J1768" s="10" t="s">
        <v>51</v>
      </c>
      <c r="K1768" s="10" t="s">
        <v>76</v>
      </c>
      <c r="L1768" t="str">
        <f>IFERROR(VLOOKUP(D1768,Products!A:F,3,0),"")</f>
        <v>Home</v>
      </c>
      <c r="M1768" t="str">
        <f>IFERROR(VLOOKUP(E1768,Sales_Reps!A:E,3,0),"")</f>
        <v>East</v>
      </c>
      <c r="N1768" t="str">
        <f>IFERROR(VLOOKUP(C1768,Customers!A:F,5,0),"")</f>
        <v>SMB</v>
      </c>
      <c r="O1768">
        <f>IFERROR(VLOOKUP(C1768,Customers!A:F,3,0),"")</f>
        <v>54</v>
      </c>
      <c r="P1768">
        <f>IFERROR(VLOOKUP(D1768,Products!A:F,4,0),"")</f>
        <v>2135</v>
      </c>
      <c r="Q1768" t="b">
        <f>IFERROR(VLOOKUP(D1768,Products!A:F,6,0),"")</f>
        <v>1</v>
      </c>
      <c r="R1768">
        <f t="shared" si="81"/>
        <v>0.42761394101876676</v>
      </c>
      <c r="S1768">
        <f t="shared" si="82"/>
        <v>1</v>
      </c>
      <c r="T1768">
        <f>IF(AND(S1768&gt;1,COUNTIF($A$2:A1768,A1768)=1),1,0)</f>
        <v>0</v>
      </c>
      <c r="U1768">
        <f>COUNTIF(Customers!$A$2:$A$301,C1768)</f>
        <v>1</v>
      </c>
      <c r="V1768">
        <f t="shared" si="83"/>
        <v>0</v>
      </c>
    </row>
    <row r="1769" spans="1:22" ht="14.25" customHeight="1" x14ac:dyDescent="0.35">
      <c r="A1769" s="10" t="s">
        <v>2231</v>
      </c>
      <c r="B1769" s="11">
        <v>45462</v>
      </c>
      <c r="C1769" s="10" t="s">
        <v>142</v>
      </c>
      <c r="D1769" s="10" t="s">
        <v>115</v>
      </c>
      <c r="E1769" s="10" t="s">
        <v>156</v>
      </c>
      <c r="F1769" s="12">
        <v>5</v>
      </c>
      <c r="G1769" s="12">
        <v>2400</v>
      </c>
      <c r="H1769" s="12">
        <v>9.1999999999999993</v>
      </c>
      <c r="I1769" s="12">
        <v>10896</v>
      </c>
      <c r="J1769" s="10" t="s">
        <v>51</v>
      </c>
      <c r="K1769" s="10" t="s">
        <v>58</v>
      </c>
      <c r="L1769" t="str">
        <f>IFERROR(VLOOKUP(D1769,Products!A:F,3,0),"")</f>
        <v>Sports</v>
      </c>
      <c r="M1769" t="str">
        <f>IFERROR(VLOOKUP(E1769,Sales_Reps!A:E,3,0),"")</f>
        <v>East</v>
      </c>
      <c r="N1769" t="str">
        <f>IFERROR(VLOOKUP(C1769,Customers!A:F,5,0),"")</f>
        <v>Corporate</v>
      </c>
      <c r="O1769">
        <f>IFERROR(VLOOKUP(C1769,Customers!A:F,3,0),"")</f>
        <v>55</v>
      </c>
      <c r="P1769">
        <f>IFERROR(VLOOKUP(D1769,Products!A:F,4,0),"")</f>
        <v>974</v>
      </c>
      <c r="Q1769" t="b">
        <f>IFERROR(VLOOKUP(D1769,Products!A:F,6,0),"")</f>
        <v>1</v>
      </c>
      <c r="R1769">
        <f t="shared" si="81"/>
        <v>0.59416666666666662</v>
      </c>
      <c r="S1769">
        <f t="shared" si="82"/>
        <v>1</v>
      </c>
      <c r="T1769">
        <f>IF(AND(S1769&gt;1,COUNTIF($A$2:A1769,A1769)=1),1,0)</f>
        <v>0</v>
      </c>
      <c r="U1769">
        <f>COUNTIF(Customers!$A$2:$A$301,C1769)</f>
        <v>1</v>
      </c>
      <c r="V1769">
        <f t="shared" si="83"/>
        <v>0</v>
      </c>
    </row>
    <row r="1770" spans="1:22" ht="14.25" customHeight="1" x14ac:dyDescent="0.35">
      <c r="A1770" s="10" t="s">
        <v>2232</v>
      </c>
      <c r="B1770" s="11">
        <v>45609</v>
      </c>
      <c r="C1770" s="10" t="s">
        <v>367</v>
      </c>
      <c r="D1770" s="10" t="s">
        <v>164</v>
      </c>
      <c r="E1770" s="10" t="s">
        <v>179</v>
      </c>
      <c r="F1770" s="12">
        <v>3</v>
      </c>
      <c r="G1770" s="12">
        <v>2760</v>
      </c>
      <c r="H1770" s="12">
        <v>2.4</v>
      </c>
      <c r="I1770" s="12">
        <v>8081.28</v>
      </c>
      <c r="J1770" s="10" t="s">
        <v>51</v>
      </c>
      <c r="K1770" s="10" t="s">
        <v>81</v>
      </c>
      <c r="L1770" t="str">
        <f>IFERROR(VLOOKUP(D1770,Products!A:F,3,0),"")</f>
        <v>Grocery</v>
      </c>
      <c r="M1770" t="str">
        <f>IFERROR(VLOOKUP(E1770,Sales_Reps!A:E,3,0),"")</f>
        <v>North</v>
      </c>
      <c r="N1770" t="str">
        <f>IFERROR(VLOOKUP(C1770,Customers!A:F,5,0),"")</f>
        <v>Retail</v>
      </c>
      <c r="O1770">
        <f>IFERROR(VLOOKUP(C1770,Customers!A:F,3,0),"")</f>
        <v>59</v>
      </c>
      <c r="P1770">
        <f>IFERROR(VLOOKUP(D1770,Products!A:F,4,0),"")</f>
        <v>1435</v>
      </c>
      <c r="Q1770" t="b">
        <f>IFERROR(VLOOKUP(D1770,Products!A:F,6,0),"")</f>
        <v>1</v>
      </c>
      <c r="R1770">
        <f t="shared" si="81"/>
        <v>0.48007246376811596</v>
      </c>
      <c r="S1770">
        <f t="shared" si="82"/>
        <v>1</v>
      </c>
      <c r="T1770">
        <f>IF(AND(S1770&gt;1,COUNTIF($A$2:A1770,A1770)=1),1,0)</f>
        <v>0</v>
      </c>
      <c r="U1770">
        <f>COUNTIF(Customers!$A$2:$A$301,C1770)</f>
        <v>1</v>
      </c>
      <c r="V1770">
        <f t="shared" si="83"/>
        <v>8081.28</v>
      </c>
    </row>
    <row r="1771" spans="1:22" ht="14.25" customHeight="1" x14ac:dyDescent="0.35">
      <c r="A1771" s="10" t="s">
        <v>631</v>
      </c>
      <c r="B1771" s="11">
        <v>45548</v>
      </c>
      <c r="C1771" s="10" t="s">
        <v>172</v>
      </c>
      <c r="D1771" s="10" t="s">
        <v>61</v>
      </c>
      <c r="E1771" s="10" t="s">
        <v>168</v>
      </c>
      <c r="F1771" s="12">
        <v>8</v>
      </c>
      <c r="G1771" s="12">
        <v>470</v>
      </c>
      <c r="H1771" s="12">
        <v>24.8</v>
      </c>
      <c r="I1771" s="12">
        <v>2827.52</v>
      </c>
      <c r="J1771" s="10" t="s">
        <v>57</v>
      </c>
      <c r="K1771" s="10" t="s">
        <v>97</v>
      </c>
      <c r="L1771" t="str">
        <f>IFERROR(VLOOKUP(D1771,Products!A:F,3,0),"")</f>
        <v>Sports</v>
      </c>
      <c r="M1771" t="str">
        <f>IFERROR(VLOOKUP(E1771,Sales_Reps!A:E,3,0),"")</f>
        <v>South</v>
      </c>
      <c r="N1771" t="str">
        <f>IFERROR(VLOOKUP(C1771,Customers!A:F,5,0),"")</f>
        <v>Retail</v>
      </c>
      <c r="O1771">
        <f>IFERROR(VLOOKUP(C1771,Customers!A:F,3,0),"")</f>
        <v>26</v>
      </c>
      <c r="P1771">
        <f>IFERROR(VLOOKUP(D1771,Products!A:F,4,0),"")</f>
        <v>302</v>
      </c>
      <c r="Q1771" t="b">
        <f>IFERROR(VLOOKUP(D1771,Products!A:F,6,0),"")</f>
        <v>0</v>
      </c>
      <c r="R1771">
        <f t="shared" si="81"/>
        <v>0.35744680851063831</v>
      </c>
      <c r="S1771">
        <f t="shared" si="82"/>
        <v>2</v>
      </c>
      <c r="T1771">
        <f>IF(AND(S1771&gt;1,COUNTIF($A$2:A1771,A1771)=1),1,0)</f>
        <v>0</v>
      </c>
      <c r="U1771">
        <f>COUNTIF(Customers!$A$2:$A$301,C1771)</f>
        <v>1</v>
      </c>
      <c r="V1771">
        <f t="shared" si="83"/>
        <v>0</v>
      </c>
    </row>
    <row r="1772" spans="1:22" ht="14.25" customHeight="1" x14ac:dyDescent="0.35">
      <c r="A1772" s="10" t="s">
        <v>2233</v>
      </c>
      <c r="B1772" s="11">
        <v>45633</v>
      </c>
      <c r="C1772" s="10" t="s">
        <v>566</v>
      </c>
      <c r="D1772" s="10" t="s">
        <v>61</v>
      </c>
      <c r="E1772" s="10" t="s">
        <v>307</v>
      </c>
      <c r="F1772" s="12">
        <v>3</v>
      </c>
      <c r="G1772" s="12">
        <v>470</v>
      </c>
      <c r="H1772" s="12">
        <v>18.600000000000001</v>
      </c>
      <c r="I1772" s="12">
        <v>1147.74</v>
      </c>
      <c r="J1772" s="10" t="s">
        <v>51</v>
      </c>
      <c r="K1772" s="10" t="s">
        <v>58</v>
      </c>
      <c r="L1772" t="str">
        <f>IFERROR(VLOOKUP(D1772,Products!A:F,3,0),"")</f>
        <v>Sports</v>
      </c>
      <c r="M1772" t="str">
        <f>IFERROR(VLOOKUP(E1772,Sales_Reps!A:E,3,0),"")</f>
        <v>West</v>
      </c>
      <c r="N1772" t="str">
        <f>IFERROR(VLOOKUP(C1772,Customers!A:F,5,0),"")</f>
        <v>Retail</v>
      </c>
      <c r="O1772">
        <f>IFERROR(VLOOKUP(C1772,Customers!A:F,3,0),"")</f>
        <v>61</v>
      </c>
      <c r="P1772">
        <f>IFERROR(VLOOKUP(D1772,Products!A:F,4,0),"")</f>
        <v>302</v>
      </c>
      <c r="Q1772" t="b">
        <f>IFERROR(VLOOKUP(D1772,Products!A:F,6,0),"")</f>
        <v>0</v>
      </c>
      <c r="R1772">
        <f t="shared" si="81"/>
        <v>0.35744680851063831</v>
      </c>
      <c r="S1772">
        <f t="shared" si="82"/>
        <v>1</v>
      </c>
      <c r="T1772">
        <f>IF(AND(S1772&gt;1,COUNTIF($A$2:A1772,A1772)=1),1,0)</f>
        <v>0</v>
      </c>
      <c r="U1772">
        <f>COUNTIF(Customers!$A$2:$A$301,C1772)</f>
        <v>1</v>
      </c>
      <c r="V1772">
        <f t="shared" si="83"/>
        <v>0</v>
      </c>
    </row>
    <row r="1773" spans="1:22" ht="14.25" customHeight="1" x14ac:dyDescent="0.35">
      <c r="A1773" s="10" t="s">
        <v>2234</v>
      </c>
      <c r="B1773" s="11">
        <v>45580</v>
      </c>
      <c r="C1773" s="10" t="s">
        <v>471</v>
      </c>
      <c r="D1773" s="10" t="s">
        <v>74</v>
      </c>
      <c r="E1773" s="10" t="s">
        <v>92</v>
      </c>
      <c r="F1773" s="12">
        <v>2</v>
      </c>
      <c r="G1773" s="12">
        <v>370</v>
      </c>
      <c r="H1773" s="12">
        <v>24</v>
      </c>
      <c r="I1773" s="12">
        <v>562.4</v>
      </c>
      <c r="J1773" s="10" t="s">
        <v>51</v>
      </c>
      <c r="K1773" s="10" t="s">
        <v>52</v>
      </c>
      <c r="L1773" t="str">
        <f>IFERROR(VLOOKUP(D1773,Products!A:F,3,0),"")</f>
        <v>Home</v>
      </c>
      <c r="M1773" t="str">
        <f>IFERROR(VLOOKUP(E1773,Sales_Reps!A:E,3,0),"")</f>
        <v>West</v>
      </c>
      <c r="N1773" t="str">
        <f>IFERROR(VLOOKUP(C1773,Customers!A:F,5,0),"")</f>
        <v>Retail</v>
      </c>
      <c r="O1773">
        <f>IFERROR(VLOOKUP(C1773,Customers!A:F,3,0),"")</f>
        <v>59</v>
      </c>
      <c r="P1773">
        <f>IFERROR(VLOOKUP(D1773,Products!A:F,4,0),"")</f>
        <v>288</v>
      </c>
      <c r="Q1773" t="b">
        <f>IFERROR(VLOOKUP(D1773,Products!A:F,6,0),"")</f>
        <v>1</v>
      </c>
      <c r="R1773">
        <f t="shared" si="81"/>
        <v>0.22162162162162163</v>
      </c>
      <c r="S1773">
        <f t="shared" si="82"/>
        <v>1</v>
      </c>
      <c r="T1773">
        <f>IF(AND(S1773&gt;1,COUNTIF($A$2:A1773,A1773)=1),1,0)</f>
        <v>0</v>
      </c>
      <c r="U1773">
        <f>COUNTIF(Customers!$A$2:$A$301,C1773)</f>
        <v>1</v>
      </c>
      <c r="V1773">
        <f t="shared" si="83"/>
        <v>0</v>
      </c>
    </row>
    <row r="1774" spans="1:22" ht="14.25" customHeight="1" x14ac:dyDescent="0.35">
      <c r="A1774" s="10" t="s">
        <v>2235</v>
      </c>
      <c r="B1774" s="11">
        <v>45329</v>
      </c>
      <c r="C1774" s="10" t="s">
        <v>1198</v>
      </c>
      <c r="D1774" s="10" t="s">
        <v>302</v>
      </c>
      <c r="E1774" s="10" t="s">
        <v>179</v>
      </c>
      <c r="F1774" s="12">
        <v>6</v>
      </c>
      <c r="G1774" s="12">
        <v>2210</v>
      </c>
      <c r="H1774" s="12">
        <v>28.3</v>
      </c>
      <c r="I1774" s="12">
        <v>9507.42</v>
      </c>
      <c r="J1774" s="10" t="s">
        <v>104</v>
      </c>
      <c r="K1774" s="10" t="s">
        <v>76</v>
      </c>
      <c r="L1774" t="str">
        <f>IFERROR(VLOOKUP(D1774,Products!A:F,3,0),"")</f>
        <v>Grocery</v>
      </c>
      <c r="M1774" t="str">
        <f>IFERROR(VLOOKUP(E1774,Sales_Reps!A:E,3,0),"")</f>
        <v>North</v>
      </c>
      <c r="N1774" t="str">
        <f>IFERROR(VLOOKUP(C1774,Customers!A:F,5,0),"")</f>
        <v>Retail</v>
      </c>
      <c r="O1774">
        <f>IFERROR(VLOOKUP(C1774,Customers!A:F,3,0),"")</f>
        <v>29</v>
      </c>
      <c r="P1774">
        <f>IFERROR(VLOOKUP(D1774,Products!A:F,4,0),"")</f>
        <v>1010</v>
      </c>
      <c r="Q1774" t="b">
        <f>IFERROR(VLOOKUP(D1774,Products!A:F,6,0),"")</f>
        <v>1</v>
      </c>
      <c r="R1774">
        <f t="shared" si="81"/>
        <v>0.54298642533936647</v>
      </c>
      <c r="S1774">
        <f t="shared" si="82"/>
        <v>1</v>
      </c>
      <c r="T1774">
        <f>IF(AND(S1774&gt;1,COUNTIF($A$2:A1774,A1774)=1),1,0)</f>
        <v>0</v>
      </c>
      <c r="U1774">
        <f>COUNTIF(Customers!$A$2:$A$301,C1774)</f>
        <v>1</v>
      </c>
      <c r="V1774">
        <f t="shared" si="83"/>
        <v>0</v>
      </c>
    </row>
    <row r="1775" spans="1:22" ht="14.25" customHeight="1" x14ac:dyDescent="0.35">
      <c r="A1775" s="10" t="s">
        <v>2236</v>
      </c>
      <c r="B1775" s="11">
        <v>45549</v>
      </c>
      <c r="C1775" s="10" t="s">
        <v>525</v>
      </c>
      <c r="D1775" s="10" t="s">
        <v>479</v>
      </c>
      <c r="E1775" s="10" t="s">
        <v>261</v>
      </c>
      <c r="F1775" s="12">
        <v>3</v>
      </c>
      <c r="G1775" s="12">
        <v>6940</v>
      </c>
      <c r="H1775" s="12">
        <v>27.2</v>
      </c>
      <c r="I1775" s="12">
        <v>15156.96</v>
      </c>
      <c r="J1775" s="10" t="s">
        <v>108</v>
      </c>
      <c r="K1775" s="10" t="s">
        <v>97</v>
      </c>
      <c r="L1775" t="str">
        <f>IFERROR(VLOOKUP(D1775,Products!A:F,3,0),"")</f>
        <v>Sports</v>
      </c>
      <c r="M1775" t="str">
        <f>IFERROR(VLOOKUP(E1775,Sales_Reps!A:E,3,0),"")</f>
        <v>North</v>
      </c>
      <c r="N1775" t="str">
        <f>IFERROR(VLOOKUP(C1775,Customers!A:F,5,0),"")</f>
        <v>SMB</v>
      </c>
      <c r="O1775">
        <f>IFERROR(VLOOKUP(C1775,Customers!A:F,3,0),"")</f>
        <v>43</v>
      </c>
      <c r="P1775">
        <f>IFERROR(VLOOKUP(D1775,Products!A:F,4,0),"")</f>
        <v>2827</v>
      </c>
      <c r="Q1775" t="b">
        <f>IFERROR(VLOOKUP(D1775,Products!A:F,6,0),"")</f>
        <v>1</v>
      </c>
      <c r="R1775">
        <f t="shared" si="81"/>
        <v>0.5926512968299712</v>
      </c>
      <c r="S1775">
        <f t="shared" si="82"/>
        <v>1</v>
      </c>
      <c r="T1775">
        <f>IF(AND(S1775&gt;1,COUNTIF($A$2:A1775,A1775)=1),1,0)</f>
        <v>0</v>
      </c>
      <c r="U1775">
        <f>COUNTIF(Customers!$A$2:$A$301,C1775)</f>
        <v>1</v>
      </c>
      <c r="V1775">
        <f t="shared" si="83"/>
        <v>0</v>
      </c>
    </row>
    <row r="1776" spans="1:22" ht="14.25" customHeight="1" x14ac:dyDescent="0.35">
      <c r="A1776" s="10" t="s">
        <v>2237</v>
      </c>
      <c r="B1776" s="11">
        <v>45423</v>
      </c>
      <c r="C1776" s="10" t="s">
        <v>909</v>
      </c>
      <c r="D1776" s="10" t="s">
        <v>259</v>
      </c>
      <c r="E1776" s="10" t="s">
        <v>267</v>
      </c>
      <c r="F1776" s="12">
        <v>10</v>
      </c>
      <c r="G1776" s="12">
        <v>2030</v>
      </c>
      <c r="H1776" s="12">
        <v>25.6</v>
      </c>
      <c r="I1776" s="12">
        <v>15103.2</v>
      </c>
      <c r="J1776" s="10" t="s">
        <v>51</v>
      </c>
      <c r="K1776" s="10" t="s">
        <v>52</v>
      </c>
      <c r="L1776" t="str">
        <f>IFERROR(VLOOKUP(D1776,Products!A:F,3,0),"")</f>
        <v>Home</v>
      </c>
      <c r="M1776" t="str">
        <f>IFERROR(VLOOKUP(E1776,Sales_Reps!A:E,3,0),"")</f>
        <v>East</v>
      </c>
      <c r="N1776" t="str">
        <f>IFERROR(VLOOKUP(C1776,Customers!A:F,5,0),"")</f>
        <v>Retail</v>
      </c>
      <c r="O1776">
        <f>IFERROR(VLOOKUP(C1776,Customers!A:F,3,0),"")</f>
        <v>54</v>
      </c>
      <c r="P1776">
        <f>IFERROR(VLOOKUP(D1776,Products!A:F,4,0),"")</f>
        <v>1143</v>
      </c>
      <c r="Q1776" t="b">
        <f>IFERROR(VLOOKUP(D1776,Products!A:F,6,0),"")</f>
        <v>1</v>
      </c>
      <c r="R1776">
        <f t="shared" si="81"/>
        <v>0.43694581280788175</v>
      </c>
      <c r="S1776">
        <f t="shared" si="82"/>
        <v>1</v>
      </c>
      <c r="T1776">
        <f>IF(AND(S1776&gt;1,COUNTIF($A$2:A1776,A1776)=1),1,0)</f>
        <v>0</v>
      </c>
      <c r="U1776">
        <f>COUNTIF(Customers!$A$2:$A$301,C1776)</f>
        <v>1</v>
      </c>
      <c r="V1776">
        <f t="shared" si="83"/>
        <v>0</v>
      </c>
    </row>
    <row r="1777" spans="1:22" ht="14.25" customHeight="1" x14ac:dyDescent="0.35">
      <c r="A1777" s="10" t="s">
        <v>2238</v>
      </c>
      <c r="B1777" s="11">
        <v>45533</v>
      </c>
      <c r="C1777" s="10" t="s">
        <v>909</v>
      </c>
      <c r="D1777" s="10" t="s">
        <v>146</v>
      </c>
      <c r="E1777" s="10" t="s">
        <v>202</v>
      </c>
      <c r="F1777" s="12">
        <v>9</v>
      </c>
      <c r="G1777" s="12">
        <v>1010</v>
      </c>
      <c r="H1777" s="12">
        <v>9.3000000000000007</v>
      </c>
      <c r="I1777" s="12">
        <v>8244.6299999999992</v>
      </c>
      <c r="J1777" s="10" t="s">
        <v>51</v>
      </c>
      <c r="K1777" s="10" t="s">
        <v>52</v>
      </c>
      <c r="L1777" t="str">
        <f>IFERROR(VLOOKUP(D1777,Products!A:F,3,0),"")</f>
        <v>Sports</v>
      </c>
      <c r="M1777" t="str">
        <f>IFERROR(VLOOKUP(E1777,Sales_Reps!A:E,3,0),"")</f>
        <v>East</v>
      </c>
      <c r="N1777" t="str">
        <f>IFERROR(VLOOKUP(C1777,Customers!A:F,5,0),"")</f>
        <v>Retail</v>
      </c>
      <c r="O1777">
        <f>IFERROR(VLOOKUP(C1777,Customers!A:F,3,0),"")</f>
        <v>54</v>
      </c>
      <c r="P1777">
        <f>IFERROR(VLOOKUP(D1777,Products!A:F,4,0),"")</f>
        <v>516</v>
      </c>
      <c r="Q1777" t="b">
        <f>IFERROR(VLOOKUP(D1777,Products!A:F,6,0),"")</f>
        <v>1</v>
      </c>
      <c r="R1777">
        <f t="shared" si="81"/>
        <v>0.4891089108910891</v>
      </c>
      <c r="S1777">
        <f t="shared" si="82"/>
        <v>1</v>
      </c>
      <c r="T1777">
        <f>IF(AND(S1777&gt;1,COUNTIF($A$2:A1777,A1777)=1),1,0)</f>
        <v>0</v>
      </c>
      <c r="U1777">
        <f>COUNTIF(Customers!$A$2:$A$301,C1777)</f>
        <v>1</v>
      </c>
      <c r="V1777">
        <f t="shared" si="83"/>
        <v>0</v>
      </c>
    </row>
    <row r="1778" spans="1:22" ht="14.25" customHeight="1" x14ac:dyDescent="0.35">
      <c r="A1778" s="10" t="s">
        <v>2239</v>
      </c>
      <c r="B1778" s="11">
        <v>45571</v>
      </c>
      <c r="C1778" s="10" t="s">
        <v>292</v>
      </c>
      <c r="D1778" s="10" t="s">
        <v>319</v>
      </c>
      <c r="E1778" s="10" t="s">
        <v>261</v>
      </c>
      <c r="F1778" s="12">
        <v>5</v>
      </c>
      <c r="G1778" s="12">
        <v>2510</v>
      </c>
      <c r="H1778" s="12">
        <v>22.2</v>
      </c>
      <c r="I1778" s="12">
        <v>9763.9</v>
      </c>
      <c r="J1778" s="10" t="s">
        <v>51</v>
      </c>
      <c r="K1778" s="10" t="s">
        <v>58</v>
      </c>
      <c r="L1778" t="str">
        <f>IFERROR(VLOOKUP(D1778,Products!A:F,3,0),"")</f>
        <v>Apparel</v>
      </c>
      <c r="M1778" t="str">
        <f>IFERROR(VLOOKUP(E1778,Sales_Reps!A:E,3,0),"")</f>
        <v>North</v>
      </c>
      <c r="N1778" t="str">
        <f>IFERROR(VLOOKUP(C1778,Customers!A:F,5,0),"")</f>
        <v>Retail</v>
      </c>
      <c r="O1778">
        <f>IFERROR(VLOOKUP(C1778,Customers!A:F,3,0),"")</f>
        <v>28</v>
      </c>
      <c r="P1778">
        <f>IFERROR(VLOOKUP(D1778,Products!A:F,4,0),"")</f>
        <v>1075</v>
      </c>
      <c r="Q1778" t="b">
        <f>IFERROR(VLOOKUP(D1778,Products!A:F,6,0),"")</f>
        <v>0</v>
      </c>
      <c r="R1778">
        <f t="shared" si="81"/>
        <v>0.57171314741035861</v>
      </c>
      <c r="S1778">
        <f t="shared" si="82"/>
        <v>1</v>
      </c>
      <c r="T1778">
        <f>IF(AND(S1778&gt;1,COUNTIF($A$2:A1778,A1778)=1),1,0)</f>
        <v>0</v>
      </c>
      <c r="U1778">
        <f>COUNTIF(Customers!$A$2:$A$301,C1778)</f>
        <v>1</v>
      </c>
      <c r="V1778">
        <f t="shared" si="83"/>
        <v>0</v>
      </c>
    </row>
    <row r="1779" spans="1:22" ht="14.25" customHeight="1" x14ac:dyDescent="0.35">
      <c r="A1779" s="10" t="s">
        <v>2240</v>
      </c>
      <c r="B1779" s="11">
        <v>45441</v>
      </c>
      <c r="C1779" s="10" t="s">
        <v>723</v>
      </c>
      <c r="D1779" s="10" t="s">
        <v>74</v>
      </c>
      <c r="E1779" s="10" t="s">
        <v>261</v>
      </c>
      <c r="F1779" s="12">
        <v>10</v>
      </c>
      <c r="G1779" s="12">
        <v>370</v>
      </c>
      <c r="H1779" s="12">
        <v>29</v>
      </c>
      <c r="I1779" s="12">
        <v>2627</v>
      </c>
      <c r="J1779" s="10" t="s">
        <v>51</v>
      </c>
      <c r="K1779" s="10" t="s">
        <v>81</v>
      </c>
      <c r="L1779" t="str">
        <f>IFERROR(VLOOKUP(D1779,Products!A:F,3,0),"")</f>
        <v>Home</v>
      </c>
      <c r="M1779" t="str">
        <f>IFERROR(VLOOKUP(E1779,Sales_Reps!A:E,3,0),"")</f>
        <v>North</v>
      </c>
      <c r="N1779" t="str">
        <f>IFERROR(VLOOKUP(C1779,Customers!A:F,5,0),"")</f>
        <v>Retail</v>
      </c>
      <c r="O1779">
        <f>IFERROR(VLOOKUP(C1779,Customers!A:F,3,0),"")</f>
        <v>29</v>
      </c>
      <c r="P1779">
        <f>IFERROR(VLOOKUP(D1779,Products!A:F,4,0),"")</f>
        <v>288</v>
      </c>
      <c r="Q1779" t="b">
        <f>IFERROR(VLOOKUP(D1779,Products!A:F,6,0),"")</f>
        <v>1</v>
      </c>
      <c r="R1779">
        <f t="shared" si="81"/>
        <v>0.22162162162162163</v>
      </c>
      <c r="S1779">
        <f t="shared" si="82"/>
        <v>1</v>
      </c>
      <c r="T1779">
        <f>IF(AND(S1779&gt;1,COUNTIF($A$2:A1779,A1779)=1),1,0)</f>
        <v>0</v>
      </c>
      <c r="U1779">
        <f>COUNTIF(Customers!$A$2:$A$301,C1779)</f>
        <v>1</v>
      </c>
      <c r="V1779">
        <f t="shared" si="83"/>
        <v>0</v>
      </c>
    </row>
    <row r="1780" spans="1:22" ht="14.25" customHeight="1" x14ac:dyDescent="0.35">
      <c r="A1780" s="10" t="s">
        <v>2241</v>
      </c>
      <c r="B1780" s="11">
        <v>45403</v>
      </c>
      <c r="C1780" s="10" t="s">
        <v>508</v>
      </c>
      <c r="D1780" s="10" t="s">
        <v>131</v>
      </c>
      <c r="E1780" s="10" t="s">
        <v>122</v>
      </c>
      <c r="F1780" s="12">
        <v>3</v>
      </c>
      <c r="G1780" s="12">
        <v>2480</v>
      </c>
      <c r="H1780" s="12">
        <v>9.6</v>
      </c>
      <c r="I1780" s="12">
        <v>6725.76</v>
      </c>
      <c r="J1780" s="10" t="s">
        <v>51</v>
      </c>
      <c r="K1780" s="10" t="s">
        <v>97</v>
      </c>
      <c r="L1780" t="str">
        <f>IFERROR(VLOOKUP(D1780,Products!A:F,3,0),"")</f>
        <v>Apparel</v>
      </c>
      <c r="M1780" t="str">
        <f>IFERROR(VLOOKUP(E1780,Sales_Reps!A:E,3,0),"")</f>
        <v>East</v>
      </c>
      <c r="N1780" t="str">
        <f>IFERROR(VLOOKUP(C1780,Customers!A:F,5,0),"")</f>
        <v>Retail</v>
      </c>
      <c r="O1780">
        <f>IFERROR(VLOOKUP(C1780,Customers!A:F,3,0),"")</f>
        <v>25</v>
      </c>
      <c r="P1780">
        <f>IFERROR(VLOOKUP(D1780,Products!A:F,4,0),"")</f>
        <v>1173</v>
      </c>
      <c r="Q1780" t="b">
        <f>IFERROR(VLOOKUP(D1780,Products!A:F,6,0),"")</f>
        <v>1</v>
      </c>
      <c r="R1780">
        <f t="shared" si="81"/>
        <v>0.52701612903225803</v>
      </c>
      <c r="S1780">
        <f t="shared" si="82"/>
        <v>1</v>
      </c>
      <c r="T1780">
        <f>IF(AND(S1780&gt;1,COUNTIF($A$2:A1780,A1780)=1),1,0)</f>
        <v>0</v>
      </c>
      <c r="U1780">
        <f>COUNTIF(Customers!$A$2:$A$301,C1780)</f>
        <v>1</v>
      </c>
      <c r="V1780">
        <f t="shared" si="83"/>
        <v>0</v>
      </c>
    </row>
    <row r="1781" spans="1:22" ht="14.25" customHeight="1" x14ac:dyDescent="0.35">
      <c r="A1781" s="10" t="s">
        <v>2242</v>
      </c>
      <c r="B1781" s="11">
        <v>45644</v>
      </c>
      <c r="C1781" s="10" t="s">
        <v>759</v>
      </c>
      <c r="D1781" s="10" t="s">
        <v>99</v>
      </c>
      <c r="E1781" s="10" t="s">
        <v>202</v>
      </c>
      <c r="F1781" s="12">
        <v>3</v>
      </c>
      <c r="G1781" s="12">
        <v>2640</v>
      </c>
      <c r="H1781" s="12">
        <v>10.199999999999999</v>
      </c>
      <c r="I1781" s="12">
        <v>7112.16</v>
      </c>
      <c r="J1781" s="10" t="s">
        <v>104</v>
      </c>
      <c r="K1781" s="10" t="s">
        <v>58</v>
      </c>
      <c r="L1781" t="str">
        <f>IFERROR(VLOOKUP(D1781,Products!A:F,3,0),"")</f>
        <v>Electronics</v>
      </c>
      <c r="M1781" t="str">
        <f>IFERROR(VLOOKUP(E1781,Sales_Reps!A:E,3,0),"")</f>
        <v>East</v>
      </c>
      <c r="N1781" t="str">
        <f>IFERROR(VLOOKUP(C1781,Customers!A:F,5,0),"")</f>
        <v>Retail</v>
      </c>
      <c r="O1781">
        <f>IFERROR(VLOOKUP(C1781,Customers!A:F,3,0),"")</f>
        <v>22</v>
      </c>
      <c r="P1781">
        <f>IFERROR(VLOOKUP(D1781,Products!A:F,4,0),"")</f>
        <v>1149</v>
      </c>
      <c r="Q1781" t="b">
        <f>IFERROR(VLOOKUP(D1781,Products!A:F,6,0),"")</f>
        <v>1</v>
      </c>
      <c r="R1781">
        <f t="shared" si="81"/>
        <v>0.56477272727272732</v>
      </c>
      <c r="S1781">
        <f t="shared" si="82"/>
        <v>1</v>
      </c>
      <c r="T1781">
        <f>IF(AND(S1781&gt;1,COUNTIF($A$2:A1781,A1781)=1),1,0)</f>
        <v>0</v>
      </c>
      <c r="U1781">
        <f>COUNTIF(Customers!$A$2:$A$301,C1781)</f>
        <v>1</v>
      </c>
      <c r="V1781">
        <f t="shared" si="83"/>
        <v>0</v>
      </c>
    </row>
    <row r="1782" spans="1:22" ht="14.25" customHeight="1" x14ac:dyDescent="0.35">
      <c r="A1782" s="10" t="s">
        <v>2243</v>
      </c>
      <c r="B1782" s="11">
        <v>45504</v>
      </c>
      <c r="C1782" s="10" t="s">
        <v>1463</v>
      </c>
      <c r="D1782" s="10" t="s">
        <v>466</v>
      </c>
      <c r="E1782" s="10" t="s">
        <v>156</v>
      </c>
      <c r="F1782" s="12">
        <v>1</v>
      </c>
      <c r="G1782" s="12">
        <v>1090</v>
      </c>
      <c r="H1782" s="12">
        <v>21.6</v>
      </c>
      <c r="I1782" s="12">
        <v>854.56</v>
      </c>
      <c r="J1782" s="10" t="s">
        <v>104</v>
      </c>
      <c r="K1782" s="10" t="s">
        <v>58</v>
      </c>
      <c r="L1782" t="str">
        <f>IFERROR(VLOOKUP(D1782,Products!A:F,3,0),"")</f>
        <v>Home</v>
      </c>
      <c r="M1782" t="str">
        <f>IFERROR(VLOOKUP(E1782,Sales_Reps!A:E,3,0),"")</f>
        <v>East</v>
      </c>
      <c r="N1782" t="str">
        <f>IFERROR(VLOOKUP(C1782,Customers!A:F,5,0),"")</f>
        <v>Retail</v>
      </c>
      <c r="O1782">
        <f>IFERROR(VLOOKUP(C1782,Customers!A:F,3,0),"")</f>
        <v>26</v>
      </c>
      <c r="P1782">
        <f>IFERROR(VLOOKUP(D1782,Products!A:F,4,0),"")</f>
        <v>464</v>
      </c>
      <c r="Q1782" t="b">
        <f>IFERROR(VLOOKUP(D1782,Products!A:F,6,0),"")</f>
        <v>1</v>
      </c>
      <c r="R1782">
        <f t="shared" si="81"/>
        <v>0.57431192660550456</v>
      </c>
      <c r="S1782">
        <f t="shared" si="82"/>
        <v>1</v>
      </c>
      <c r="T1782">
        <f>IF(AND(S1782&gt;1,COUNTIF($A$2:A1782,A1782)=1),1,0)</f>
        <v>0</v>
      </c>
      <c r="U1782">
        <f>COUNTIF(Customers!$A$2:$A$301,C1782)</f>
        <v>1</v>
      </c>
      <c r="V1782">
        <f t="shared" si="83"/>
        <v>0</v>
      </c>
    </row>
    <row r="1783" spans="1:22" ht="14.25" customHeight="1" x14ac:dyDescent="0.35">
      <c r="A1783" s="10" t="s">
        <v>2244</v>
      </c>
      <c r="B1783" s="11">
        <v>45606</v>
      </c>
      <c r="C1783" s="10" t="s">
        <v>1314</v>
      </c>
      <c r="D1783" s="10" t="s">
        <v>143</v>
      </c>
      <c r="E1783" s="10" t="s">
        <v>261</v>
      </c>
      <c r="F1783" s="12">
        <v>10</v>
      </c>
      <c r="G1783" s="12">
        <v>3350</v>
      </c>
      <c r="H1783" s="12">
        <v>12.1</v>
      </c>
      <c r="I1783" s="12">
        <v>29446.5</v>
      </c>
      <c r="J1783" s="10" t="s">
        <v>51</v>
      </c>
      <c r="K1783" s="10" t="s">
        <v>76</v>
      </c>
      <c r="L1783" t="str">
        <f>IFERROR(VLOOKUP(D1783,Products!A:F,3,0),"")</f>
        <v>Beauty</v>
      </c>
      <c r="M1783" t="str">
        <f>IFERROR(VLOOKUP(E1783,Sales_Reps!A:E,3,0),"")</f>
        <v>North</v>
      </c>
      <c r="N1783" t="str">
        <f>IFERROR(VLOOKUP(C1783,Customers!A:F,5,0),"")</f>
        <v>Retail</v>
      </c>
      <c r="O1783">
        <f>IFERROR(VLOOKUP(C1783,Customers!A:F,3,0),"")</f>
        <v>38</v>
      </c>
      <c r="P1783">
        <f>IFERROR(VLOOKUP(D1783,Products!A:F,4,0),"")</f>
        <v>1728</v>
      </c>
      <c r="Q1783" t="b">
        <f>IFERROR(VLOOKUP(D1783,Products!A:F,6,0),"")</f>
        <v>1</v>
      </c>
      <c r="R1783">
        <f t="shared" si="81"/>
        <v>0.48417910447761192</v>
      </c>
      <c r="S1783">
        <f t="shared" si="82"/>
        <v>1</v>
      </c>
      <c r="T1783">
        <f>IF(AND(S1783&gt;1,COUNTIF($A$2:A1783,A1783)=1),1,0)</f>
        <v>0</v>
      </c>
      <c r="U1783">
        <f>COUNTIF(Customers!$A$2:$A$301,C1783)</f>
        <v>1</v>
      </c>
      <c r="V1783">
        <f t="shared" si="83"/>
        <v>0</v>
      </c>
    </row>
    <row r="1784" spans="1:22" ht="14.25" customHeight="1" x14ac:dyDescent="0.35">
      <c r="A1784" s="10" t="s">
        <v>2245</v>
      </c>
      <c r="B1784" s="11">
        <v>45562</v>
      </c>
      <c r="C1784" s="10" t="s">
        <v>549</v>
      </c>
      <c r="D1784" s="10" t="s">
        <v>205</v>
      </c>
      <c r="E1784" s="10" t="s">
        <v>152</v>
      </c>
      <c r="F1784" s="12">
        <v>4</v>
      </c>
      <c r="G1784" s="12">
        <v>6080</v>
      </c>
      <c r="H1784" s="12">
        <v>26.7</v>
      </c>
      <c r="I1784" s="12">
        <v>17826.560000000001</v>
      </c>
      <c r="J1784" s="10" t="s">
        <v>104</v>
      </c>
      <c r="K1784" s="10" t="s">
        <v>58</v>
      </c>
      <c r="L1784" t="str">
        <f>IFERROR(VLOOKUP(D1784,Products!A:F,3,0),"")</f>
        <v>Beauty</v>
      </c>
      <c r="M1784" t="str">
        <f>IFERROR(VLOOKUP(E1784,Sales_Reps!A:E,3,0),"")</f>
        <v>South</v>
      </c>
      <c r="N1784" t="str">
        <f>IFERROR(VLOOKUP(C1784,Customers!A:F,5,0),"")</f>
        <v>Retail</v>
      </c>
      <c r="O1784">
        <f>IFERROR(VLOOKUP(C1784,Customers!A:F,3,0),"")</f>
        <v>26</v>
      </c>
      <c r="P1784">
        <f>IFERROR(VLOOKUP(D1784,Products!A:F,4,0),"")</f>
        <v>2617</v>
      </c>
      <c r="Q1784" t="b">
        <f>IFERROR(VLOOKUP(D1784,Products!A:F,6,0),"")</f>
        <v>1</v>
      </c>
      <c r="R1784">
        <f t="shared" si="81"/>
        <v>0.56957236842105263</v>
      </c>
      <c r="S1784">
        <f t="shared" si="82"/>
        <v>1</v>
      </c>
      <c r="T1784">
        <f>IF(AND(S1784&gt;1,COUNTIF($A$2:A1784,A1784)=1),1,0)</f>
        <v>0</v>
      </c>
      <c r="U1784">
        <f>COUNTIF(Customers!$A$2:$A$301,C1784)</f>
        <v>1</v>
      </c>
      <c r="V1784">
        <f t="shared" si="83"/>
        <v>0</v>
      </c>
    </row>
    <row r="1785" spans="1:22" ht="14.25" customHeight="1" x14ac:dyDescent="0.35">
      <c r="A1785" s="10" t="s">
        <v>2246</v>
      </c>
      <c r="B1785" s="11">
        <v>45372</v>
      </c>
      <c r="C1785" s="10" t="s">
        <v>661</v>
      </c>
      <c r="D1785" s="10" t="s">
        <v>344</v>
      </c>
      <c r="E1785" s="10" t="s">
        <v>261</v>
      </c>
      <c r="F1785" s="12">
        <v>3</v>
      </c>
      <c r="G1785" s="12">
        <v>960</v>
      </c>
      <c r="H1785" s="12">
        <v>13.2</v>
      </c>
      <c r="I1785" s="12">
        <v>2499.84</v>
      </c>
      <c r="J1785" s="10" t="s">
        <v>51</v>
      </c>
      <c r="K1785" s="10" t="s">
        <v>97</v>
      </c>
      <c r="L1785" t="str">
        <f>IFERROR(VLOOKUP(D1785,Products!A:F,3,0),"")</f>
        <v>Beauty</v>
      </c>
      <c r="M1785" t="str">
        <f>IFERROR(VLOOKUP(E1785,Sales_Reps!A:E,3,0),"")</f>
        <v>North</v>
      </c>
      <c r="N1785" t="str">
        <f>IFERROR(VLOOKUP(C1785,Customers!A:F,5,0),"")</f>
        <v>Retail</v>
      </c>
      <c r="O1785">
        <f>IFERROR(VLOOKUP(C1785,Customers!A:F,3,0),"")</f>
        <v>65</v>
      </c>
      <c r="P1785">
        <f>IFERROR(VLOOKUP(D1785,Products!A:F,4,0),"")</f>
        <v>675</v>
      </c>
      <c r="Q1785" t="b">
        <f>IFERROR(VLOOKUP(D1785,Products!A:F,6,0),"")</f>
        <v>1</v>
      </c>
      <c r="R1785">
        <f t="shared" si="81"/>
        <v>0.296875</v>
      </c>
      <c r="S1785">
        <f t="shared" si="82"/>
        <v>1</v>
      </c>
      <c r="T1785">
        <f>IF(AND(S1785&gt;1,COUNTIF($A$2:A1785,A1785)=1),1,0)</f>
        <v>0</v>
      </c>
      <c r="U1785">
        <f>COUNTIF(Customers!$A$2:$A$301,C1785)</f>
        <v>1</v>
      </c>
      <c r="V1785">
        <f t="shared" si="83"/>
        <v>0</v>
      </c>
    </row>
    <row r="1786" spans="1:22" ht="14.25" customHeight="1" x14ac:dyDescent="0.35">
      <c r="A1786" s="10" t="s">
        <v>2247</v>
      </c>
      <c r="B1786" s="11">
        <v>45610</v>
      </c>
      <c r="C1786" s="10" t="s">
        <v>527</v>
      </c>
      <c r="D1786" s="10" t="s">
        <v>66</v>
      </c>
      <c r="E1786" s="10" t="s">
        <v>50</v>
      </c>
      <c r="F1786" s="12">
        <v>9</v>
      </c>
      <c r="G1786" s="12">
        <v>3660</v>
      </c>
      <c r="H1786" s="12">
        <v>9.3000000000000007</v>
      </c>
      <c r="I1786" s="12">
        <v>29876.58</v>
      </c>
      <c r="J1786" s="10" t="s">
        <v>104</v>
      </c>
      <c r="K1786" s="10" t="s">
        <v>52</v>
      </c>
      <c r="L1786" t="str">
        <f>IFERROR(VLOOKUP(D1786,Products!A:F,3,0),"")</f>
        <v>Grocery</v>
      </c>
      <c r="M1786" t="str">
        <f>IFERROR(VLOOKUP(E1786,Sales_Reps!A:E,3,0),"")</f>
        <v>North</v>
      </c>
      <c r="N1786" t="str">
        <f>IFERROR(VLOOKUP(C1786,Customers!A:F,5,0),"")</f>
        <v>SMB</v>
      </c>
      <c r="O1786">
        <f>IFERROR(VLOOKUP(C1786,Customers!A:F,3,0),"")</f>
        <v>24</v>
      </c>
      <c r="P1786">
        <f>IFERROR(VLOOKUP(D1786,Products!A:F,4,0),"")</f>
        <v>2214</v>
      </c>
      <c r="Q1786" t="b">
        <f>IFERROR(VLOOKUP(D1786,Products!A:F,6,0),"")</f>
        <v>0</v>
      </c>
      <c r="R1786">
        <f t="shared" si="81"/>
        <v>0.39508196721311473</v>
      </c>
      <c r="S1786">
        <f t="shared" si="82"/>
        <v>1</v>
      </c>
      <c r="T1786">
        <f>IF(AND(S1786&gt;1,COUNTIF($A$2:A1786,A1786)=1),1,0)</f>
        <v>0</v>
      </c>
      <c r="U1786">
        <f>COUNTIF(Customers!$A$2:$A$301,C1786)</f>
        <v>1</v>
      </c>
      <c r="V1786">
        <f t="shared" si="83"/>
        <v>0</v>
      </c>
    </row>
    <row r="1787" spans="1:22" ht="14.25" customHeight="1" x14ac:dyDescent="0.35">
      <c r="A1787" s="10" t="s">
        <v>2248</v>
      </c>
      <c r="B1787" s="11">
        <v>45388</v>
      </c>
      <c r="C1787" s="10" t="s">
        <v>369</v>
      </c>
      <c r="D1787" s="10" t="s">
        <v>121</v>
      </c>
      <c r="E1787" s="10" t="s">
        <v>85</v>
      </c>
      <c r="F1787" s="12">
        <v>6</v>
      </c>
      <c r="G1787" s="12">
        <v>3450</v>
      </c>
      <c r="H1787" s="12">
        <v>8.1999999999999993</v>
      </c>
      <c r="I1787" s="12">
        <v>19002.599999999999</v>
      </c>
      <c r="J1787" s="10" t="s">
        <v>51</v>
      </c>
      <c r="K1787" s="10" t="s">
        <v>58</v>
      </c>
      <c r="L1787" t="str">
        <f>IFERROR(VLOOKUP(D1787,Products!A:F,3,0),"")</f>
        <v>Beauty</v>
      </c>
      <c r="M1787" t="str">
        <f>IFERROR(VLOOKUP(E1787,Sales_Reps!A:E,3,0),"")</f>
        <v>East</v>
      </c>
      <c r="N1787" t="str">
        <f>IFERROR(VLOOKUP(C1787,Customers!A:F,5,0),"")</f>
        <v>Corporate</v>
      </c>
      <c r="O1787">
        <f>IFERROR(VLOOKUP(C1787,Customers!A:F,3,0),"")</f>
        <v>24</v>
      </c>
      <c r="P1787">
        <f>IFERROR(VLOOKUP(D1787,Products!A:F,4,0),"")</f>
        <v>2420</v>
      </c>
      <c r="Q1787" t="b">
        <f>IFERROR(VLOOKUP(D1787,Products!A:F,6,0),"")</f>
        <v>1</v>
      </c>
      <c r="R1787">
        <f t="shared" si="81"/>
        <v>0.29855072463768118</v>
      </c>
      <c r="S1787">
        <f t="shared" si="82"/>
        <v>1</v>
      </c>
      <c r="T1787">
        <f>IF(AND(S1787&gt;1,COUNTIF($A$2:A1787,A1787)=1),1,0)</f>
        <v>0</v>
      </c>
      <c r="U1787">
        <f>COUNTIF(Customers!$A$2:$A$301,C1787)</f>
        <v>1</v>
      </c>
      <c r="V1787">
        <f t="shared" si="83"/>
        <v>0</v>
      </c>
    </row>
    <row r="1788" spans="1:22" ht="14.25" customHeight="1" x14ac:dyDescent="0.35">
      <c r="A1788" s="10" t="s">
        <v>2249</v>
      </c>
      <c r="B1788" s="11">
        <v>45421</v>
      </c>
      <c r="C1788" s="10" t="s">
        <v>637</v>
      </c>
      <c r="D1788" s="10" t="s">
        <v>234</v>
      </c>
      <c r="E1788" s="10" t="s">
        <v>156</v>
      </c>
      <c r="F1788" s="12">
        <v>7</v>
      </c>
      <c r="G1788" s="12">
        <v>4610</v>
      </c>
      <c r="H1788" s="12">
        <v>10.4</v>
      </c>
      <c r="I1788" s="12">
        <v>28913.919999999998</v>
      </c>
      <c r="J1788" s="10" t="s">
        <v>51</v>
      </c>
      <c r="K1788" s="10" t="s">
        <v>76</v>
      </c>
      <c r="L1788" t="str">
        <f>IFERROR(VLOOKUP(D1788,Products!A:F,3,0),"")</f>
        <v>Home</v>
      </c>
      <c r="M1788" t="str">
        <f>IFERROR(VLOOKUP(E1788,Sales_Reps!A:E,3,0),"")</f>
        <v>East</v>
      </c>
      <c r="N1788" t="str">
        <f>IFERROR(VLOOKUP(C1788,Customers!A:F,5,0),"")</f>
        <v>Retail</v>
      </c>
      <c r="O1788">
        <f>IFERROR(VLOOKUP(C1788,Customers!A:F,3,0),"")</f>
        <v>35</v>
      </c>
      <c r="P1788">
        <f>IFERROR(VLOOKUP(D1788,Products!A:F,4,0),"")</f>
        <v>1850</v>
      </c>
      <c r="Q1788" t="b">
        <f>IFERROR(VLOOKUP(D1788,Products!A:F,6,0),"")</f>
        <v>1</v>
      </c>
      <c r="R1788">
        <f t="shared" si="81"/>
        <v>0.59869848156182215</v>
      </c>
      <c r="S1788">
        <f t="shared" si="82"/>
        <v>1</v>
      </c>
      <c r="T1788">
        <f>IF(AND(S1788&gt;1,COUNTIF($A$2:A1788,A1788)=1),1,0)</f>
        <v>0</v>
      </c>
      <c r="U1788">
        <f>COUNTIF(Customers!$A$2:$A$301,C1788)</f>
        <v>1</v>
      </c>
      <c r="V1788">
        <f t="shared" si="83"/>
        <v>0</v>
      </c>
    </row>
    <row r="1789" spans="1:22" ht="14.25" customHeight="1" x14ac:dyDescent="0.35">
      <c r="A1789" s="10" t="s">
        <v>2250</v>
      </c>
      <c r="B1789" s="11">
        <v>45529</v>
      </c>
      <c r="C1789" s="10" t="s">
        <v>427</v>
      </c>
      <c r="D1789" s="10" t="s">
        <v>79</v>
      </c>
      <c r="E1789" s="10" t="s">
        <v>168</v>
      </c>
      <c r="F1789" s="12">
        <v>2</v>
      </c>
      <c r="G1789" s="12">
        <v>960</v>
      </c>
      <c r="H1789" s="12">
        <v>16.5</v>
      </c>
      <c r="I1789" s="12">
        <v>1603.2</v>
      </c>
      <c r="J1789" s="10" t="s">
        <v>51</v>
      </c>
      <c r="K1789" s="10" t="s">
        <v>81</v>
      </c>
      <c r="L1789" t="str">
        <f>IFERROR(VLOOKUP(D1789,Products!A:F,3,0),"")</f>
        <v>Sports</v>
      </c>
      <c r="M1789" t="str">
        <f>IFERROR(VLOOKUP(E1789,Sales_Reps!A:E,3,0),"")</f>
        <v>South</v>
      </c>
      <c r="N1789" t="str">
        <f>IFERROR(VLOOKUP(C1789,Customers!A:F,5,0),"")</f>
        <v>Retail</v>
      </c>
      <c r="O1789">
        <f>IFERROR(VLOOKUP(C1789,Customers!A:F,3,0),"")</f>
        <v>55</v>
      </c>
      <c r="P1789">
        <f>IFERROR(VLOOKUP(D1789,Products!A:F,4,0),"")</f>
        <v>705</v>
      </c>
      <c r="Q1789" t="b">
        <f>IFERROR(VLOOKUP(D1789,Products!A:F,6,0),"")</f>
        <v>1</v>
      </c>
      <c r="R1789">
        <f t="shared" si="81"/>
        <v>0.265625</v>
      </c>
      <c r="S1789">
        <f t="shared" si="82"/>
        <v>1</v>
      </c>
      <c r="T1789">
        <f>IF(AND(S1789&gt;1,COUNTIF($A$2:A1789,A1789)=1),1,0)</f>
        <v>0</v>
      </c>
      <c r="U1789">
        <f>COUNTIF(Customers!$A$2:$A$301,C1789)</f>
        <v>1</v>
      </c>
      <c r="V1789">
        <f t="shared" si="83"/>
        <v>0</v>
      </c>
    </row>
    <row r="1790" spans="1:22" ht="14.25" customHeight="1" x14ac:dyDescent="0.35">
      <c r="A1790" s="10" t="s">
        <v>2251</v>
      </c>
      <c r="B1790" s="11">
        <v>45553</v>
      </c>
      <c r="C1790" s="10" t="s">
        <v>386</v>
      </c>
      <c r="D1790" s="10" t="s">
        <v>74</v>
      </c>
      <c r="E1790" s="10" t="s">
        <v>118</v>
      </c>
      <c r="F1790" s="12">
        <v>7</v>
      </c>
      <c r="G1790" s="12">
        <v>370</v>
      </c>
      <c r="H1790" s="12">
        <v>1.4</v>
      </c>
      <c r="I1790" s="12">
        <v>2553.7399999999998</v>
      </c>
      <c r="J1790" s="10" t="s">
        <v>108</v>
      </c>
      <c r="K1790" s="10" t="s">
        <v>58</v>
      </c>
      <c r="L1790" t="str">
        <f>IFERROR(VLOOKUP(D1790,Products!A:F,3,0),"")</f>
        <v>Home</v>
      </c>
      <c r="M1790" t="str">
        <f>IFERROR(VLOOKUP(E1790,Sales_Reps!A:E,3,0),"")</f>
        <v>East</v>
      </c>
      <c r="N1790" t="str">
        <f>IFERROR(VLOOKUP(C1790,Customers!A:F,5,0),"")</f>
        <v>SMB</v>
      </c>
      <c r="O1790">
        <f>IFERROR(VLOOKUP(C1790,Customers!A:F,3,0),"")</f>
        <v>64</v>
      </c>
      <c r="P1790">
        <f>IFERROR(VLOOKUP(D1790,Products!A:F,4,0),"")</f>
        <v>288</v>
      </c>
      <c r="Q1790" t="b">
        <f>IFERROR(VLOOKUP(D1790,Products!A:F,6,0),"")</f>
        <v>1</v>
      </c>
      <c r="R1790">
        <f t="shared" si="81"/>
        <v>0.22162162162162163</v>
      </c>
      <c r="S1790">
        <f t="shared" si="82"/>
        <v>1</v>
      </c>
      <c r="T1790">
        <f>IF(AND(S1790&gt;1,COUNTIF($A$2:A1790,A1790)=1),1,0)</f>
        <v>0</v>
      </c>
      <c r="U1790">
        <f>COUNTIF(Customers!$A$2:$A$301,C1790)</f>
        <v>1</v>
      </c>
      <c r="V1790">
        <f t="shared" si="83"/>
        <v>0</v>
      </c>
    </row>
    <row r="1791" spans="1:22" ht="14.25" customHeight="1" x14ac:dyDescent="0.35">
      <c r="A1791" s="10" t="s">
        <v>2252</v>
      </c>
      <c r="B1791" s="11">
        <v>45535</v>
      </c>
      <c r="C1791" s="10" t="s">
        <v>585</v>
      </c>
      <c r="D1791" s="10" t="s">
        <v>95</v>
      </c>
      <c r="E1791" s="10" t="s">
        <v>103</v>
      </c>
      <c r="F1791" s="12">
        <v>3</v>
      </c>
      <c r="G1791" s="12">
        <v>2270</v>
      </c>
      <c r="H1791" s="12">
        <v>12.6</v>
      </c>
      <c r="I1791" s="12">
        <v>5951.94</v>
      </c>
      <c r="J1791" s="10" t="s">
        <v>51</v>
      </c>
      <c r="K1791" s="10" t="s">
        <v>58</v>
      </c>
      <c r="L1791" t="str">
        <f>IFERROR(VLOOKUP(D1791,Products!A:F,3,0),"")</f>
        <v>Grocery</v>
      </c>
      <c r="M1791" t="str">
        <f>IFERROR(VLOOKUP(E1791,Sales_Reps!A:E,3,0),"")</f>
        <v>North</v>
      </c>
      <c r="N1791" t="str">
        <f>IFERROR(VLOOKUP(C1791,Customers!A:F,5,0),"")</f>
        <v>Corporate</v>
      </c>
      <c r="O1791">
        <f>IFERROR(VLOOKUP(C1791,Customers!A:F,3,0),"")</f>
        <v>22</v>
      </c>
      <c r="P1791">
        <f>IFERROR(VLOOKUP(D1791,Products!A:F,4,0),"")</f>
        <v>1203</v>
      </c>
      <c r="Q1791" t="b">
        <f>IFERROR(VLOOKUP(D1791,Products!A:F,6,0),"")</f>
        <v>1</v>
      </c>
      <c r="R1791">
        <f t="shared" si="81"/>
        <v>0.47004405286343615</v>
      </c>
      <c r="S1791">
        <f t="shared" si="82"/>
        <v>1</v>
      </c>
      <c r="T1791">
        <f>IF(AND(S1791&gt;1,COUNTIF($A$2:A1791,A1791)=1),1,0)</f>
        <v>0</v>
      </c>
      <c r="U1791">
        <f>COUNTIF(Customers!$A$2:$A$301,C1791)</f>
        <v>1</v>
      </c>
      <c r="V1791">
        <f t="shared" si="83"/>
        <v>0</v>
      </c>
    </row>
    <row r="1792" spans="1:22" ht="14.25" customHeight="1" x14ac:dyDescent="0.35">
      <c r="A1792" s="10" t="s">
        <v>595</v>
      </c>
      <c r="B1792" s="11">
        <v>45301</v>
      </c>
      <c r="C1792" s="10" t="s">
        <v>1322</v>
      </c>
      <c r="D1792" s="10" t="s">
        <v>107</v>
      </c>
      <c r="E1792" s="10" t="s">
        <v>62</v>
      </c>
      <c r="F1792" s="12">
        <v>1</v>
      </c>
      <c r="G1792" s="12">
        <v>3250</v>
      </c>
      <c r="H1792" s="12">
        <v>17.8</v>
      </c>
      <c r="I1792" s="12">
        <v>2671.5</v>
      </c>
      <c r="J1792" s="10" t="s">
        <v>51</v>
      </c>
      <c r="K1792" s="10" t="s">
        <v>76</v>
      </c>
      <c r="L1792" t="str">
        <f>IFERROR(VLOOKUP(D1792,Products!A:F,3,0),"")</f>
        <v>Home</v>
      </c>
      <c r="M1792" t="str">
        <f>IFERROR(VLOOKUP(E1792,Sales_Reps!A:E,3,0),"")</f>
        <v>South</v>
      </c>
      <c r="N1792" t="str">
        <f>IFERROR(VLOOKUP(C1792,Customers!A:F,5,0),"")</f>
        <v>Corporate</v>
      </c>
      <c r="O1792">
        <f>IFERROR(VLOOKUP(C1792,Customers!A:F,3,0),"")</f>
        <v>42</v>
      </c>
      <c r="P1792">
        <f>IFERROR(VLOOKUP(D1792,Products!A:F,4,0),"")</f>
        <v>1556</v>
      </c>
      <c r="Q1792" t="b">
        <f>IFERROR(VLOOKUP(D1792,Products!A:F,6,0),"")</f>
        <v>1</v>
      </c>
      <c r="R1792">
        <f t="shared" si="81"/>
        <v>0.52123076923076928</v>
      </c>
      <c r="S1792">
        <f t="shared" si="82"/>
        <v>2</v>
      </c>
      <c r="T1792">
        <f>IF(AND(S1792&gt;1,COUNTIF($A$2:A1792,A1792)=1),1,0)</f>
        <v>0</v>
      </c>
      <c r="U1792">
        <f>COUNTIF(Customers!$A$2:$A$301,C1792)</f>
        <v>1</v>
      </c>
      <c r="V1792">
        <f t="shared" si="83"/>
        <v>0</v>
      </c>
    </row>
    <row r="1793" spans="1:22" ht="14.25" customHeight="1" x14ac:dyDescent="0.35">
      <c r="A1793" s="10" t="s">
        <v>2253</v>
      </c>
      <c r="B1793" s="11">
        <v>45404</v>
      </c>
      <c r="C1793" s="10" t="s">
        <v>1839</v>
      </c>
      <c r="D1793" s="10" t="s">
        <v>256</v>
      </c>
      <c r="E1793" s="10" t="s">
        <v>267</v>
      </c>
      <c r="F1793" s="12">
        <v>5</v>
      </c>
      <c r="G1793" s="12">
        <v>620</v>
      </c>
      <c r="H1793" s="12">
        <v>19.399999999999999</v>
      </c>
      <c r="I1793" s="12">
        <v>2498.6</v>
      </c>
      <c r="J1793" s="10" t="s">
        <v>57</v>
      </c>
      <c r="K1793" s="10" t="s">
        <v>58</v>
      </c>
      <c r="L1793" t="str">
        <f>IFERROR(VLOOKUP(D1793,Products!A:F,3,0),"")</f>
        <v>Apparel</v>
      </c>
      <c r="M1793" t="str">
        <f>IFERROR(VLOOKUP(E1793,Sales_Reps!A:E,3,0),"")</f>
        <v>East</v>
      </c>
      <c r="N1793" t="str">
        <f>IFERROR(VLOOKUP(C1793,Customers!A:F,5,0),"")</f>
        <v>Corporate</v>
      </c>
      <c r="O1793">
        <f>IFERROR(VLOOKUP(C1793,Customers!A:F,3,0),"")</f>
        <v>54</v>
      </c>
      <c r="P1793">
        <f>IFERROR(VLOOKUP(D1793,Products!A:F,4,0),"")</f>
        <v>396</v>
      </c>
      <c r="Q1793" t="b">
        <f>IFERROR(VLOOKUP(D1793,Products!A:F,6,0),"")</f>
        <v>1</v>
      </c>
      <c r="R1793">
        <f t="shared" si="81"/>
        <v>0.36129032258064514</v>
      </c>
      <c r="S1793">
        <f t="shared" si="82"/>
        <v>1</v>
      </c>
      <c r="T1793">
        <f>IF(AND(S1793&gt;1,COUNTIF($A$2:A1793,A1793)=1),1,0)</f>
        <v>0</v>
      </c>
      <c r="U1793">
        <f>COUNTIF(Customers!$A$2:$A$301,C1793)</f>
        <v>1</v>
      </c>
      <c r="V1793">
        <f t="shared" si="83"/>
        <v>0</v>
      </c>
    </row>
    <row r="1794" spans="1:22" ht="14.25" customHeight="1" x14ac:dyDescent="0.35">
      <c r="A1794" s="10" t="s">
        <v>2254</v>
      </c>
      <c r="B1794" s="11">
        <v>45600</v>
      </c>
      <c r="C1794" s="10" t="s">
        <v>354</v>
      </c>
      <c r="D1794" s="10" t="s">
        <v>243</v>
      </c>
      <c r="E1794" s="10" t="s">
        <v>56</v>
      </c>
      <c r="F1794" s="12">
        <v>6</v>
      </c>
      <c r="G1794" s="12">
        <v>2660</v>
      </c>
      <c r="H1794" s="12">
        <v>14.9</v>
      </c>
      <c r="I1794" s="12">
        <v>13581.96</v>
      </c>
      <c r="J1794" s="10" t="s">
        <v>51</v>
      </c>
      <c r="K1794" s="10" t="s">
        <v>52</v>
      </c>
      <c r="L1794" t="str">
        <f>IFERROR(VLOOKUP(D1794,Products!A:F,3,0),"")</f>
        <v>Electronics</v>
      </c>
      <c r="M1794" t="str">
        <f>IFERROR(VLOOKUP(E1794,Sales_Reps!A:E,3,0),"")</f>
        <v>North</v>
      </c>
      <c r="N1794" t="str">
        <f>IFERROR(VLOOKUP(C1794,Customers!A:F,5,0),"")</f>
        <v>SMB</v>
      </c>
      <c r="O1794">
        <f>IFERROR(VLOOKUP(C1794,Customers!A:F,3,0),"")</f>
        <v>54</v>
      </c>
      <c r="P1794">
        <f>IFERROR(VLOOKUP(D1794,Products!A:F,4,0),"")</f>
        <v>1259</v>
      </c>
      <c r="Q1794" t="b">
        <f>IFERROR(VLOOKUP(D1794,Products!A:F,6,0),"")</f>
        <v>0</v>
      </c>
      <c r="R1794">
        <f t="shared" ref="R1794:R1857" si="84">IFERROR((G1794-P1794)/G1794,"")</f>
        <v>0.52669172932330832</v>
      </c>
      <c r="S1794">
        <f t="shared" ref="S1794:S1857" si="85">COUNTIF($A$2:$A$2001,A1794)</f>
        <v>1</v>
      </c>
      <c r="T1794">
        <f>IF(AND(S1794&gt;1,COUNTIF($A$2:A1794,A1794)=1),1,0)</f>
        <v>0</v>
      </c>
      <c r="U1794">
        <f>COUNTIF(Customers!$A$2:$A$301,C1794)</f>
        <v>1</v>
      </c>
      <c r="V1794">
        <f t="shared" ref="V1794:V1857" si="86">IF(AND(K1794="Bengaluru",L1794="Grocery"),I1794,0)</f>
        <v>0</v>
      </c>
    </row>
    <row r="1795" spans="1:22" ht="14.25" customHeight="1" x14ac:dyDescent="0.35">
      <c r="A1795" s="10" t="s">
        <v>2255</v>
      </c>
      <c r="B1795" s="11">
        <v>45526</v>
      </c>
      <c r="C1795" s="10" t="s">
        <v>834</v>
      </c>
      <c r="D1795" s="10" t="s">
        <v>49</v>
      </c>
      <c r="E1795" s="10" t="s">
        <v>179</v>
      </c>
      <c r="F1795" s="12">
        <v>5</v>
      </c>
      <c r="G1795" s="12">
        <v>3620</v>
      </c>
      <c r="H1795" s="12">
        <v>21</v>
      </c>
      <c r="I1795" s="12">
        <v>14299</v>
      </c>
      <c r="J1795" s="10" t="s">
        <v>104</v>
      </c>
      <c r="K1795" s="10" t="s">
        <v>81</v>
      </c>
      <c r="L1795" t="str">
        <f>IFERROR(VLOOKUP(D1795,Products!A:F,3,0),"")</f>
        <v>Apparel</v>
      </c>
      <c r="M1795" t="str">
        <f>IFERROR(VLOOKUP(E1795,Sales_Reps!A:E,3,0),"")</f>
        <v>North</v>
      </c>
      <c r="N1795" t="str">
        <f>IFERROR(VLOOKUP(C1795,Customers!A:F,5,0),"")</f>
        <v>Retail</v>
      </c>
      <c r="O1795">
        <f>IFERROR(VLOOKUP(C1795,Customers!A:F,3,0),"")</f>
        <v>47</v>
      </c>
      <c r="P1795">
        <f>IFERROR(VLOOKUP(D1795,Products!A:F,4,0),"")</f>
        <v>2509</v>
      </c>
      <c r="Q1795" t="b">
        <f>IFERROR(VLOOKUP(D1795,Products!A:F,6,0),"")</f>
        <v>1</v>
      </c>
      <c r="R1795">
        <f t="shared" si="84"/>
        <v>0.3069060773480663</v>
      </c>
      <c r="S1795">
        <f t="shared" si="85"/>
        <v>1</v>
      </c>
      <c r="T1795">
        <f>IF(AND(S1795&gt;1,COUNTIF($A$2:A1795,A1795)=1),1,0)</f>
        <v>0</v>
      </c>
      <c r="U1795">
        <f>COUNTIF(Customers!$A$2:$A$301,C1795)</f>
        <v>1</v>
      </c>
      <c r="V1795">
        <f t="shared" si="86"/>
        <v>0</v>
      </c>
    </row>
    <row r="1796" spans="1:22" ht="14.25" customHeight="1" x14ac:dyDescent="0.35">
      <c r="A1796" s="10" t="s">
        <v>2256</v>
      </c>
      <c r="B1796" s="11">
        <v>45580</v>
      </c>
      <c r="C1796" s="10" t="s">
        <v>1628</v>
      </c>
      <c r="D1796" s="10" t="s">
        <v>201</v>
      </c>
      <c r="E1796" s="10" t="s">
        <v>122</v>
      </c>
      <c r="F1796" s="12">
        <v>1</v>
      </c>
      <c r="G1796" s="12">
        <v>3640</v>
      </c>
      <c r="H1796" s="12">
        <v>15.8</v>
      </c>
      <c r="I1796" s="12">
        <v>3064.88</v>
      </c>
      <c r="J1796" s="10" t="s">
        <v>51</v>
      </c>
      <c r="K1796" s="10" t="s">
        <v>81</v>
      </c>
      <c r="L1796" t="str">
        <f>IFERROR(VLOOKUP(D1796,Products!A:F,3,0),"")</f>
        <v>Apparel</v>
      </c>
      <c r="M1796" t="str">
        <f>IFERROR(VLOOKUP(E1796,Sales_Reps!A:E,3,0),"")</f>
        <v>East</v>
      </c>
      <c r="N1796" t="str">
        <f>IFERROR(VLOOKUP(C1796,Customers!A:F,5,0),"")</f>
        <v>Retail</v>
      </c>
      <c r="O1796">
        <f>IFERROR(VLOOKUP(C1796,Customers!A:F,3,0),"")</f>
        <v>48</v>
      </c>
      <c r="P1796">
        <f>IFERROR(VLOOKUP(D1796,Products!A:F,4,0),"")</f>
        <v>2611</v>
      </c>
      <c r="Q1796" t="b">
        <f>IFERROR(VLOOKUP(D1796,Products!A:F,6,0),"")</f>
        <v>1</v>
      </c>
      <c r="R1796">
        <f t="shared" si="84"/>
        <v>0.28269230769230769</v>
      </c>
      <c r="S1796">
        <f t="shared" si="85"/>
        <v>1</v>
      </c>
      <c r="T1796">
        <f>IF(AND(S1796&gt;1,COUNTIF($A$2:A1796,A1796)=1),1,0)</f>
        <v>0</v>
      </c>
      <c r="U1796">
        <f>COUNTIF(Customers!$A$2:$A$301,C1796)</f>
        <v>1</v>
      </c>
      <c r="V1796">
        <f t="shared" si="86"/>
        <v>0</v>
      </c>
    </row>
    <row r="1797" spans="1:22" ht="14.25" customHeight="1" x14ac:dyDescent="0.35">
      <c r="A1797" s="10" t="s">
        <v>2257</v>
      </c>
      <c r="B1797" s="11">
        <v>45444</v>
      </c>
      <c r="C1797" s="10" t="s">
        <v>726</v>
      </c>
      <c r="D1797" s="10" t="s">
        <v>231</v>
      </c>
      <c r="E1797" s="10" t="s">
        <v>50</v>
      </c>
      <c r="F1797" s="12">
        <v>1</v>
      </c>
      <c r="G1797" s="12">
        <v>1220</v>
      </c>
      <c r="H1797" s="12">
        <v>0.6</v>
      </c>
      <c r="I1797" s="12">
        <v>1212.68</v>
      </c>
      <c r="J1797" s="10" t="s">
        <v>108</v>
      </c>
      <c r="K1797" s="10" t="s">
        <v>97</v>
      </c>
      <c r="L1797" t="str">
        <f>IFERROR(VLOOKUP(D1797,Products!A:F,3,0),"")</f>
        <v>Electronics</v>
      </c>
      <c r="M1797" t="str">
        <f>IFERROR(VLOOKUP(E1797,Sales_Reps!A:E,3,0),"")</f>
        <v>North</v>
      </c>
      <c r="N1797" t="str">
        <f>IFERROR(VLOOKUP(C1797,Customers!A:F,5,0),"")</f>
        <v>Retail</v>
      </c>
      <c r="O1797">
        <f>IFERROR(VLOOKUP(C1797,Customers!A:F,3,0),"")</f>
        <v>52</v>
      </c>
      <c r="P1797">
        <f>IFERROR(VLOOKUP(D1797,Products!A:F,4,0),"")</f>
        <v>517</v>
      </c>
      <c r="Q1797" t="b">
        <f>IFERROR(VLOOKUP(D1797,Products!A:F,6,0),"")</f>
        <v>1</v>
      </c>
      <c r="R1797">
        <f t="shared" si="84"/>
        <v>0.57622950819672136</v>
      </c>
      <c r="S1797">
        <f t="shared" si="85"/>
        <v>1</v>
      </c>
      <c r="T1797">
        <f>IF(AND(S1797&gt;1,COUNTIF($A$2:A1797,A1797)=1),1,0)</f>
        <v>0</v>
      </c>
      <c r="U1797">
        <f>COUNTIF(Customers!$A$2:$A$301,C1797)</f>
        <v>1</v>
      </c>
      <c r="V1797">
        <f t="shared" si="86"/>
        <v>0</v>
      </c>
    </row>
    <row r="1798" spans="1:22" ht="14.25" customHeight="1" x14ac:dyDescent="0.35">
      <c r="A1798" s="10" t="s">
        <v>2258</v>
      </c>
      <c r="B1798" s="11">
        <v>45350</v>
      </c>
      <c r="C1798" s="10" t="s">
        <v>117</v>
      </c>
      <c r="D1798" s="10" t="s">
        <v>131</v>
      </c>
      <c r="E1798" s="10" t="s">
        <v>261</v>
      </c>
      <c r="F1798" s="12">
        <v>10</v>
      </c>
      <c r="G1798" s="12">
        <v>2480</v>
      </c>
      <c r="H1798" s="12">
        <v>0.6</v>
      </c>
      <c r="I1798" s="12">
        <v>24651.200000000001</v>
      </c>
      <c r="J1798" s="10" t="s">
        <v>51</v>
      </c>
      <c r="K1798" s="10" t="s">
        <v>81</v>
      </c>
      <c r="L1798" t="str">
        <f>IFERROR(VLOOKUP(D1798,Products!A:F,3,0),"")</f>
        <v>Apparel</v>
      </c>
      <c r="M1798" t="str">
        <f>IFERROR(VLOOKUP(E1798,Sales_Reps!A:E,3,0),"")</f>
        <v>North</v>
      </c>
      <c r="N1798" t="str">
        <f>IFERROR(VLOOKUP(C1798,Customers!A:F,5,0),"")</f>
        <v>SMB</v>
      </c>
      <c r="O1798">
        <f>IFERROR(VLOOKUP(C1798,Customers!A:F,3,0),"")</f>
        <v>46</v>
      </c>
      <c r="P1798">
        <f>IFERROR(VLOOKUP(D1798,Products!A:F,4,0),"")</f>
        <v>1173</v>
      </c>
      <c r="Q1798" t="b">
        <f>IFERROR(VLOOKUP(D1798,Products!A:F,6,0),"")</f>
        <v>1</v>
      </c>
      <c r="R1798">
        <f t="shared" si="84"/>
        <v>0.52701612903225803</v>
      </c>
      <c r="S1798">
        <f t="shared" si="85"/>
        <v>1</v>
      </c>
      <c r="T1798">
        <f>IF(AND(S1798&gt;1,COUNTIF($A$2:A1798,A1798)=1),1,0)</f>
        <v>0</v>
      </c>
      <c r="U1798">
        <f>COUNTIF(Customers!$A$2:$A$301,C1798)</f>
        <v>1</v>
      </c>
      <c r="V1798">
        <f t="shared" si="86"/>
        <v>0</v>
      </c>
    </row>
    <row r="1799" spans="1:22" ht="14.25" customHeight="1" x14ac:dyDescent="0.35">
      <c r="A1799" s="10" t="s">
        <v>2259</v>
      </c>
      <c r="B1799" s="11">
        <v>45634</v>
      </c>
      <c r="C1799" s="10" t="s">
        <v>566</v>
      </c>
      <c r="D1799" s="10" t="s">
        <v>140</v>
      </c>
      <c r="E1799" s="10" t="s">
        <v>307</v>
      </c>
      <c r="F1799" s="12">
        <v>9</v>
      </c>
      <c r="G1799" s="12">
        <v>1650</v>
      </c>
      <c r="H1799" s="12">
        <v>26.8</v>
      </c>
      <c r="I1799" s="12">
        <v>10870.2</v>
      </c>
      <c r="J1799" s="10" t="s">
        <v>51</v>
      </c>
      <c r="K1799" s="10" t="s">
        <v>58</v>
      </c>
      <c r="L1799" t="str">
        <f>IFERROR(VLOOKUP(D1799,Products!A:F,3,0),"")</f>
        <v>Beauty</v>
      </c>
      <c r="M1799" t="str">
        <f>IFERROR(VLOOKUP(E1799,Sales_Reps!A:E,3,0),"")</f>
        <v>West</v>
      </c>
      <c r="N1799" t="str">
        <f>IFERROR(VLOOKUP(C1799,Customers!A:F,5,0),"")</f>
        <v>Retail</v>
      </c>
      <c r="O1799">
        <f>IFERROR(VLOOKUP(C1799,Customers!A:F,3,0),"")</f>
        <v>61</v>
      </c>
      <c r="P1799">
        <f>IFERROR(VLOOKUP(D1799,Products!A:F,4,0),"")</f>
        <v>1222</v>
      </c>
      <c r="Q1799" t="b">
        <f>IFERROR(VLOOKUP(D1799,Products!A:F,6,0),"")</f>
        <v>1</v>
      </c>
      <c r="R1799">
        <f t="shared" si="84"/>
        <v>0.2593939393939394</v>
      </c>
      <c r="S1799">
        <f t="shared" si="85"/>
        <v>1</v>
      </c>
      <c r="T1799">
        <f>IF(AND(S1799&gt;1,COUNTIF($A$2:A1799,A1799)=1),1,0)</f>
        <v>0</v>
      </c>
      <c r="U1799">
        <f>COUNTIF(Customers!$A$2:$A$301,C1799)</f>
        <v>1</v>
      </c>
      <c r="V1799">
        <f t="shared" si="86"/>
        <v>0</v>
      </c>
    </row>
    <row r="1800" spans="1:22" ht="14.25" customHeight="1" x14ac:dyDescent="0.35">
      <c r="A1800" s="10" t="s">
        <v>2260</v>
      </c>
      <c r="B1800" s="11">
        <v>45560</v>
      </c>
      <c r="C1800" s="10" t="s">
        <v>681</v>
      </c>
      <c r="D1800" s="10" t="s">
        <v>240</v>
      </c>
      <c r="E1800" s="10" t="s">
        <v>71</v>
      </c>
      <c r="F1800" s="12">
        <v>10</v>
      </c>
      <c r="G1800" s="12">
        <v>3020</v>
      </c>
      <c r="H1800" s="12">
        <v>2.6</v>
      </c>
      <c r="I1800" s="12">
        <v>29414.799999999999</v>
      </c>
      <c r="J1800" s="10" t="s">
        <v>51</v>
      </c>
      <c r="K1800" s="10" t="s">
        <v>58</v>
      </c>
      <c r="L1800" t="str">
        <f>IFERROR(VLOOKUP(D1800,Products!A:F,3,0),"")</f>
        <v>Beauty</v>
      </c>
      <c r="M1800" t="str">
        <f>IFERROR(VLOOKUP(E1800,Sales_Reps!A:E,3,0),"")</f>
        <v>North</v>
      </c>
      <c r="N1800" t="str">
        <f>IFERROR(VLOOKUP(C1800,Customers!A:F,5,0),"")</f>
        <v>Retail</v>
      </c>
      <c r="O1800">
        <f>IFERROR(VLOOKUP(C1800,Customers!A:F,3,0),"")</f>
        <v>24</v>
      </c>
      <c r="P1800">
        <f>IFERROR(VLOOKUP(D1800,Products!A:F,4,0),"")</f>
        <v>1626</v>
      </c>
      <c r="Q1800" t="b">
        <f>IFERROR(VLOOKUP(D1800,Products!A:F,6,0),"")</f>
        <v>1</v>
      </c>
      <c r="R1800">
        <f t="shared" si="84"/>
        <v>0.46158940397350995</v>
      </c>
      <c r="S1800">
        <f t="shared" si="85"/>
        <v>1</v>
      </c>
      <c r="T1800">
        <f>IF(AND(S1800&gt;1,COUNTIF($A$2:A1800,A1800)=1),1,0)</f>
        <v>0</v>
      </c>
      <c r="U1800">
        <f>COUNTIF(Customers!$A$2:$A$301,C1800)</f>
        <v>1</v>
      </c>
      <c r="V1800">
        <f t="shared" si="86"/>
        <v>0</v>
      </c>
    </row>
    <row r="1801" spans="1:22" ht="14.25" customHeight="1" x14ac:dyDescent="0.35">
      <c r="A1801" s="10" t="s">
        <v>2261</v>
      </c>
      <c r="B1801" s="11">
        <v>45544</v>
      </c>
      <c r="C1801" s="10" t="s">
        <v>834</v>
      </c>
      <c r="D1801" s="10" t="s">
        <v>416</v>
      </c>
      <c r="E1801" s="10" t="s">
        <v>62</v>
      </c>
      <c r="F1801" s="12">
        <v>5</v>
      </c>
      <c r="G1801" s="12">
        <v>3450</v>
      </c>
      <c r="H1801" s="12">
        <v>25.3</v>
      </c>
      <c r="I1801" s="12">
        <v>12885.75</v>
      </c>
      <c r="J1801" s="10" t="s">
        <v>51</v>
      </c>
      <c r="K1801" s="10" t="s">
        <v>81</v>
      </c>
      <c r="L1801" t="str">
        <f>IFERROR(VLOOKUP(D1801,Products!A:F,3,0),"")</f>
        <v>Apparel</v>
      </c>
      <c r="M1801" t="str">
        <f>IFERROR(VLOOKUP(E1801,Sales_Reps!A:E,3,0),"")</f>
        <v>South</v>
      </c>
      <c r="N1801" t="str">
        <f>IFERROR(VLOOKUP(C1801,Customers!A:F,5,0),"")</f>
        <v>Retail</v>
      </c>
      <c r="O1801">
        <f>IFERROR(VLOOKUP(C1801,Customers!A:F,3,0),"")</f>
        <v>47</v>
      </c>
      <c r="P1801">
        <f>IFERROR(VLOOKUP(D1801,Products!A:F,4,0),"")</f>
        <v>1748</v>
      </c>
      <c r="Q1801" t="b">
        <f>IFERROR(VLOOKUP(D1801,Products!A:F,6,0),"")</f>
        <v>1</v>
      </c>
      <c r="R1801">
        <f t="shared" si="84"/>
        <v>0.49333333333333335</v>
      </c>
      <c r="S1801">
        <f t="shared" si="85"/>
        <v>1</v>
      </c>
      <c r="T1801">
        <f>IF(AND(S1801&gt;1,COUNTIF($A$2:A1801,A1801)=1),1,0)</f>
        <v>0</v>
      </c>
      <c r="U1801">
        <f>COUNTIF(Customers!$A$2:$A$301,C1801)</f>
        <v>1</v>
      </c>
      <c r="V1801">
        <f t="shared" si="86"/>
        <v>0</v>
      </c>
    </row>
    <row r="1802" spans="1:22" ht="14.25" customHeight="1" x14ac:dyDescent="0.35">
      <c r="A1802" s="10" t="s">
        <v>2262</v>
      </c>
      <c r="B1802" s="11">
        <v>45457</v>
      </c>
      <c r="C1802" s="10" t="s">
        <v>172</v>
      </c>
      <c r="D1802" s="10" t="s">
        <v>231</v>
      </c>
      <c r="E1802" s="10" t="s">
        <v>85</v>
      </c>
      <c r="F1802" s="12">
        <v>7</v>
      </c>
      <c r="G1802" s="12">
        <v>1220</v>
      </c>
      <c r="H1802" s="12">
        <v>13.1</v>
      </c>
      <c r="I1802" s="12">
        <v>7421.26</v>
      </c>
      <c r="J1802" s="10" t="s">
        <v>51</v>
      </c>
      <c r="K1802" s="10" t="s">
        <v>97</v>
      </c>
      <c r="L1802" t="str">
        <f>IFERROR(VLOOKUP(D1802,Products!A:F,3,0),"")</f>
        <v>Electronics</v>
      </c>
      <c r="M1802" t="str">
        <f>IFERROR(VLOOKUP(E1802,Sales_Reps!A:E,3,0),"")</f>
        <v>East</v>
      </c>
      <c r="N1802" t="str">
        <f>IFERROR(VLOOKUP(C1802,Customers!A:F,5,0),"")</f>
        <v>Retail</v>
      </c>
      <c r="O1802">
        <f>IFERROR(VLOOKUP(C1802,Customers!A:F,3,0),"")</f>
        <v>26</v>
      </c>
      <c r="P1802">
        <f>IFERROR(VLOOKUP(D1802,Products!A:F,4,0),"")</f>
        <v>517</v>
      </c>
      <c r="Q1802" t="b">
        <f>IFERROR(VLOOKUP(D1802,Products!A:F,6,0),"")</f>
        <v>1</v>
      </c>
      <c r="R1802">
        <f t="shared" si="84"/>
        <v>0.57622950819672136</v>
      </c>
      <c r="S1802">
        <f t="shared" si="85"/>
        <v>1</v>
      </c>
      <c r="T1802">
        <f>IF(AND(S1802&gt;1,COUNTIF($A$2:A1802,A1802)=1),1,0)</f>
        <v>0</v>
      </c>
      <c r="U1802">
        <f>COUNTIF(Customers!$A$2:$A$301,C1802)</f>
        <v>1</v>
      </c>
      <c r="V1802">
        <f t="shared" si="86"/>
        <v>0</v>
      </c>
    </row>
    <row r="1803" spans="1:22" ht="14.25" customHeight="1" x14ac:dyDescent="0.35">
      <c r="A1803" s="10" t="s">
        <v>2263</v>
      </c>
      <c r="B1803" s="11">
        <v>45578</v>
      </c>
      <c r="C1803" s="10" t="s">
        <v>170</v>
      </c>
      <c r="D1803" s="10" t="s">
        <v>198</v>
      </c>
      <c r="E1803" s="10" t="s">
        <v>56</v>
      </c>
      <c r="F1803" s="12">
        <v>10</v>
      </c>
      <c r="G1803" s="12">
        <v>3780</v>
      </c>
      <c r="H1803" s="12">
        <v>23.7</v>
      </c>
      <c r="I1803" s="12">
        <v>28841.4</v>
      </c>
      <c r="J1803" s="10" t="s">
        <v>51</v>
      </c>
      <c r="K1803" s="10" t="s">
        <v>97</v>
      </c>
      <c r="L1803" t="str">
        <f>IFERROR(VLOOKUP(D1803,Products!A:F,3,0),"")</f>
        <v>Grocery</v>
      </c>
      <c r="M1803" t="str">
        <f>IFERROR(VLOOKUP(E1803,Sales_Reps!A:E,3,0),"")</f>
        <v>North</v>
      </c>
      <c r="N1803" t="str">
        <f>IFERROR(VLOOKUP(C1803,Customers!A:F,5,0),"")</f>
        <v>SMB</v>
      </c>
      <c r="O1803">
        <f>IFERROR(VLOOKUP(C1803,Customers!A:F,3,0),"")</f>
        <v>40</v>
      </c>
      <c r="P1803">
        <f>IFERROR(VLOOKUP(D1803,Products!A:F,4,0),"")</f>
        <v>2436</v>
      </c>
      <c r="Q1803" t="b">
        <f>IFERROR(VLOOKUP(D1803,Products!A:F,6,0),"")</f>
        <v>1</v>
      </c>
      <c r="R1803">
        <f t="shared" si="84"/>
        <v>0.35555555555555557</v>
      </c>
      <c r="S1803">
        <f t="shared" si="85"/>
        <v>1</v>
      </c>
      <c r="T1803">
        <f>IF(AND(S1803&gt;1,COUNTIF($A$2:A1803,A1803)=1),1,0)</f>
        <v>0</v>
      </c>
      <c r="U1803">
        <f>COUNTIF(Customers!$A$2:$A$301,C1803)</f>
        <v>1</v>
      </c>
      <c r="V1803">
        <f t="shared" si="86"/>
        <v>0</v>
      </c>
    </row>
    <row r="1804" spans="1:22" ht="14.25" customHeight="1" x14ac:dyDescent="0.35">
      <c r="A1804" s="10" t="s">
        <v>2264</v>
      </c>
      <c r="B1804" s="11">
        <v>45405</v>
      </c>
      <c r="C1804" s="10" t="s">
        <v>384</v>
      </c>
      <c r="D1804" s="10" t="s">
        <v>243</v>
      </c>
      <c r="E1804" s="10" t="s">
        <v>261</v>
      </c>
      <c r="F1804" s="12">
        <v>8</v>
      </c>
      <c r="G1804" s="12">
        <v>2660</v>
      </c>
      <c r="H1804" s="12">
        <v>16.100000000000001</v>
      </c>
      <c r="I1804" s="12">
        <v>17853.919999999998</v>
      </c>
      <c r="J1804" s="10" t="s">
        <v>51</v>
      </c>
      <c r="K1804" s="10" t="s">
        <v>63</v>
      </c>
      <c r="L1804" t="str">
        <f>IFERROR(VLOOKUP(D1804,Products!A:F,3,0),"")</f>
        <v>Electronics</v>
      </c>
      <c r="M1804" t="str">
        <f>IFERROR(VLOOKUP(E1804,Sales_Reps!A:E,3,0),"")</f>
        <v>North</v>
      </c>
      <c r="N1804" t="str">
        <f>IFERROR(VLOOKUP(C1804,Customers!A:F,5,0),"")</f>
        <v>Retail</v>
      </c>
      <c r="O1804">
        <f>IFERROR(VLOOKUP(C1804,Customers!A:F,3,0),"")</f>
        <v>44</v>
      </c>
      <c r="P1804">
        <f>IFERROR(VLOOKUP(D1804,Products!A:F,4,0),"")</f>
        <v>1259</v>
      </c>
      <c r="Q1804" t="b">
        <f>IFERROR(VLOOKUP(D1804,Products!A:F,6,0),"")</f>
        <v>0</v>
      </c>
      <c r="R1804">
        <f t="shared" si="84"/>
        <v>0.52669172932330832</v>
      </c>
      <c r="S1804">
        <f t="shared" si="85"/>
        <v>1</v>
      </c>
      <c r="T1804">
        <f>IF(AND(S1804&gt;1,COUNTIF($A$2:A1804,A1804)=1),1,0)</f>
        <v>0</v>
      </c>
      <c r="U1804">
        <f>COUNTIF(Customers!$A$2:$A$301,C1804)</f>
        <v>1</v>
      </c>
      <c r="V1804">
        <f t="shared" si="86"/>
        <v>0</v>
      </c>
    </row>
    <row r="1805" spans="1:22" ht="14.25" customHeight="1" x14ac:dyDescent="0.35">
      <c r="A1805" s="10" t="s">
        <v>2265</v>
      </c>
      <c r="B1805" s="11">
        <v>45338</v>
      </c>
      <c r="C1805" s="10" t="s">
        <v>276</v>
      </c>
      <c r="D1805" s="10" t="s">
        <v>466</v>
      </c>
      <c r="E1805" s="10" t="s">
        <v>71</v>
      </c>
      <c r="F1805" s="12">
        <v>6</v>
      </c>
      <c r="G1805" s="12">
        <v>1090</v>
      </c>
      <c r="H1805" s="12">
        <v>20</v>
      </c>
      <c r="I1805" s="12">
        <v>5232</v>
      </c>
      <c r="J1805" s="10" t="s">
        <v>57</v>
      </c>
      <c r="K1805" s="10" t="s">
        <v>97</v>
      </c>
      <c r="L1805" t="str">
        <f>IFERROR(VLOOKUP(D1805,Products!A:F,3,0),"")</f>
        <v>Home</v>
      </c>
      <c r="M1805" t="str">
        <f>IFERROR(VLOOKUP(E1805,Sales_Reps!A:E,3,0),"")</f>
        <v>North</v>
      </c>
      <c r="N1805" t="str">
        <f>IFERROR(VLOOKUP(C1805,Customers!A:F,5,0),"")</f>
        <v>Retail</v>
      </c>
      <c r="O1805">
        <f>IFERROR(VLOOKUP(C1805,Customers!A:F,3,0),"")</f>
        <v>46</v>
      </c>
      <c r="P1805">
        <f>IFERROR(VLOOKUP(D1805,Products!A:F,4,0),"")</f>
        <v>464</v>
      </c>
      <c r="Q1805" t="b">
        <f>IFERROR(VLOOKUP(D1805,Products!A:F,6,0),"")</f>
        <v>1</v>
      </c>
      <c r="R1805">
        <f t="shared" si="84"/>
        <v>0.57431192660550456</v>
      </c>
      <c r="S1805">
        <f t="shared" si="85"/>
        <v>1</v>
      </c>
      <c r="T1805">
        <f>IF(AND(S1805&gt;1,COUNTIF($A$2:A1805,A1805)=1),1,0)</f>
        <v>0</v>
      </c>
      <c r="U1805">
        <f>COUNTIF(Customers!$A$2:$A$301,C1805)</f>
        <v>1</v>
      </c>
      <c r="V1805">
        <f t="shared" si="86"/>
        <v>0</v>
      </c>
    </row>
    <row r="1806" spans="1:22" ht="14.25" customHeight="1" x14ac:dyDescent="0.35">
      <c r="A1806" s="10" t="s">
        <v>2266</v>
      </c>
      <c r="B1806" s="11">
        <v>45324</v>
      </c>
      <c r="C1806" s="10" t="s">
        <v>2267</v>
      </c>
      <c r="D1806" s="10" t="s">
        <v>167</v>
      </c>
      <c r="E1806" s="10" t="s">
        <v>310</v>
      </c>
      <c r="F1806" s="12">
        <v>2</v>
      </c>
      <c r="G1806" s="12">
        <v>660</v>
      </c>
      <c r="H1806" s="12">
        <v>18.7</v>
      </c>
      <c r="I1806" s="12">
        <v>1073.1600000000001</v>
      </c>
      <c r="J1806" s="10" t="s">
        <v>51</v>
      </c>
      <c r="K1806" s="10" t="s">
        <v>76</v>
      </c>
      <c r="L1806" t="str">
        <f>IFERROR(VLOOKUP(D1806,Products!A:F,3,0),"")</f>
        <v>Home</v>
      </c>
      <c r="M1806" t="str">
        <f>IFERROR(VLOOKUP(E1806,Sales_Reps!A:E,3,0),"")</f>
        <v>South</v>
      </c>
      <c r="N1806" t="str">
        <f>IFERROR(VLOOKUP(C1806,Customers!A:F,5,0),"")</f>
        <v/>
      </c>
      <c r="O1806" t="str">
        <f>IFERROR(VLOOKUP(C1806,Customers!A:F,3,0),"")</f>
        <v/>
      </c>
      <c r="P1806">
        <f>IFERROR(VLOOKUP(D1806,Products!A:F,4,0),"")</f>
        <v>329</v>
      </c>
      <c r="Q1806" t="b">
        <f>IFERROR(VLOOKUP(D1806,Products!A:F,6,0),"")</f>
        <v>1</v>
      </c>
      <c r="R1806">
        <f t="shared" si="84"/>
        <v>0.50151515151515147</v>
      </c>
      <c r="S1806">
        <f t="shared" si="85"/>
        <v>1</v>
      </c>
      <c r="T1806">
        <f>IF(AND(S1806&gt;1,COUNTIF($A$2:A1806,A1806)=1),1,0)</f>
        <v>0</v>
      </c>
      <c r="U1806">
        <f>COUNTIF(Customers!$A$2:$A$301,C1806)</f>
        <v>0</v>
      </c>
      <c r="V1806">
        <f t="shared" si="86"/>
        <v>0</v>
      </c>
    </row>
    <row r="1807" spans="1:22" ht="14.25" customHeight="1" x14ac:dyDescent="0.35">
      <c r="A1807" s="10" t="s">
        <v>2268</v>
      </c>
      <c r="B1807" s="11">
        <v>45332</v>
      </c>
      <c r="C1807" s="10" t="s">
        <v>1036</v>
      </c>
      <c r="D1807" s="10" t="s">
        <v>466</v>
      </c>
      <c r="E1807" s="10" t="s">
        <v>152</v>
      </c>
      <c r="F1807" s="12">
        <v>7</v>
      </c>
      <c r="G1807" s="12">
        <v>1090</v>
      </c>
      <c r="H1807" s="12">
        <v>19.399999999999999</v>
      </c>
      <c r="I1807" s="12">
        <v>6149.78</v>
      </c>
      <c r="J1807" s="10" t="s">
        <v>57</v>
      </c>
      <c r="K1807" s="10" t="s">
        <v>76</v>
      </c>
      <c r="L1807" t="str">
        <f>IFERROR(VLOOKUP(D1807,Products!A:F,3,0),"")</f>
        <v>Home</v>
      </c>
      <c r="M1807" t="str">
        <f>IFERROR(VLOOKUP(E1807,Sales_Reps!A:E,3,0),"")</f>
        <v>South</v>
      </c>
      <c r="N1807" t="str">
        <f>IFERROR(VLOOKUP(C1807,Customers!A:F,5,0),"")</f>
        <v>SMB</v>
      </c>
      <c r="O1807">
        <f>IFERROR(VLOOKUP(C1807,Customers!A:F,3,0),"")</f>
        <v>53</v>
      </c>
      <c r="P1807">
        <f>IFERROR(VLOOKUP(D1807,Products!A:F,4,0),"")</f>
        <v>464</v>
      </c>
      <c r="Q1807" t="b">
        <f>IFERROR(VLOOKUP(D1807,Products!A:F,6,0),"")</f>
        <v>1</v>
      </c>
      <c r="R1807">
        <f t="shared" si="84"/>
        <v>0.57431192660550456</v>
      </c>
      <c r="S1807">
        <f t="shared" si="85"/>
        <v>1</v>
      </c>
      <c r="T1807">
        <f>IF(AND(S1807&gt;1,COUNTIF($A$2:A1807,A1807)=1),1,0)</f>
        <v>0</v>
      </c>
      <c r="U1807">
        <f>COUNTIF(Customers!$A$2:$A$301,C1807)</f>
        <v>1</v>
      </c>
      <c r="V1807">
        <f t="shared" si="86"/>
        <v>0</v>
      </c>
    </row>
    <row r="1808" spans="1:22" ht="14.25" customHeight="1" x14ac:dyDescent="0.35">
      <c r="A1808" s="10" t="s">
        <v>2269</v>
      </c>
      <c r="B1808" s="11">
        <v>45429</v>
      </c>
      <c r="C1808" s="10" t="s">
        <v>274</v>
      </c>
      <c r="D1808" s="10" t="s">
        <v>302</v>
      </c>
      <c r="E1808" s="10" t="s">
        <v>152</v>
      </c>
      <c r="F1808" s="12">
        <v>3</v>
      </c>
      <c r="G1808" s="12">
        <v>2210</v>
      </c>
      <c r="H1808" s="12">
        <v>11</v>
      </c>
      <c r="I1808" s="12">
        <v>5900.7</v>
      </c>
      <c r="J1808" s="10" t="s">
        <v>51</v>
      </c>
      <c r="K1808" s="10" t="s">
        <v>81</v>
      </c>
      <c r="L1808" t="str">
        <f>IFERROR(VLOOKUP(D1808,Products!A:F,3,0),"")</f>
        <v>Grocery</v>
      </c>
      <c r="M1808" t="str">
        <f>IFERROR(VLOOKUP(E1808,Sales_Reps!A:E,3,0),"")</f>
        <v>South</v>
      </c>
      <c r="N1808" t="str">
        <f>IFERROR(VLOOKUP(C1808,Customers!A:F,5,0),"")</f>
        <v>Retail</v>
      </c>
      <c r="O1808">
        <f>IFERROR(VLOOKUP(C1808,Customers!A:F,3,0),"")</f>
        <v>42</v>
      </c>
      <c r="P1808">
        <f>IFERROR(VLOOKUP(D1808,Products!A:F,4,0),"")</f>
        <v>1010</v>
      </c>
      <c r="Q1808" t="b">
        <f>IFERROR(VLOOKUP(D1808,Products!A:F,6,0),"")</f>
        <v>1</v>
      </c>
      <c r="R1808">
        <f t="shared" si="84"/>
        <v>0.54298642533936647</v>
      </c>
      <c r="S1808">
        <f t="shared" si="85"/>
        <v>1</v>
      </c>
      <c r="T1808">
        <f>IF(AND(S1808&gt;1,COUNTIF($A$2:A1808,A1808)=1),1,0)</f>
        <v>0</v>
      </c>
      <c r="U1808">
        <f>COUNTIF(Customers!$A$2:$A$301,C1808)</f>
        <v>1</v>
      </c>
      <c r="V1808">
        <f t="shared" si="86"/>
        <v>5900.7</v>
      </c>
    </row>
    <row r="1809" spans="1:22" ht="14.25" customHeight="1" x14ac:dyDescent="0.35">
      <c r="A1809" s="10" t="s">
        <v>2270</v>
      </c>
      <c r="B1809" s="11">
        <v>45420</v>
      </c>
      <c r="C1809" s="10" t="s">
        <v>142</v>
      </c>
      <c r="D1809" s="10" t="s">
        <v>372</v>
      </c>
      <c r="E1809" s="10" t="s">
        <v>193</v>
      </c>
      <c r="F1809" s="12">
        <v>2</v>
      </c>
      <c r="G1809" s="12">
        <v>3970</v>
      </c>
      <c r="H1809" s="12">
        <v>24.9</v>
      </c>
      <c r="I1809" s="12">
        <v>5962.94</v>
      </c>
      <c r="J1809" s="10" t="s">
        <v>51</v>
      </c>
      <c r="K1809" s="10" t="s">
        <v>58</v>
      </c>
      <c r="L1809" t="str">
        <f>IFERROR(VLOOKUP(D1809,Products!A:F,3,0),"")</f>
        <v>Electronics</v>
      </c>
      <c r="M1809" t="str">
        <f>IFERROR(VLOOKUP(E1809,Sales_Reps!A:E,3,0),"")</f>
        <v>West</v>
      </c>
      <c r="N1809" t="str">
        <f>IFERROR(VLOOKUP(C1809,Customers!A:F,5,0),"")</f>
        <v>Corporate</v>
      </c>
      <c r="O1809">
        <f>IFERROR(VLOOKUP(C1809,Customers!A:F,3,0),"")</f>
        <v>55</v>
      </c>
      <c r="P1809">
        <f>IFERROR(VLOOKUP(D1809,Products!A:F,4,0),"")</f>
        <v>2865</v>
      </c>
      <c r="Q1809" t="b">
        <f>IFERROR(VLOOKUP(D1809,Products!A:F,6,0),"")</f>
        <v>1</v>
      </c>
      <c r="R1809">
        <f t="shared" si="84"/>
        <v>0.27833753148614609</v>
      </c>
      <c r="S1809">
        <f t="shared" si="85"/>
        <v>1</v>
      </c>
      <c r="T1809">
        <f>IF(AND(S1809&gt;1,COUNTIF($A$2:A1809,A1809)=1),1,0)</f>
        <v>0</v>
      </c>
      <c r="U1809">
        <f>COUNTIF(Customers!$A$2:$A$301,C1809)</f>
        <v>1</v>
      </c>
      <c r="V1809">
        <f t="shared" si="86"/>
        <v>0</v>
      </c>
    </row>
    <row r="1810" spans="1:22" ht="14.25" customHeight="1" x14ac:dyDescent="0.35">
      <c r="A1810" s="10" t="s">
        <v>2271</v>
      </c>
      <c r="B1810" s="11">
        <v>45403</v>
      </c>
      <c r="C1810" s="10" t="s">
        <v>471</v>
      </c>
      <c r="D1810" s="10" t="s">
        <v>234</v>
      </c>
      <c r="E1810" s="10" t="s">
        <v>122</v>
      </c>
      <c r="F1810" s="12">
        <v>7</v>
      </c>
      <c r="G1810" s="12">
        <v>4610</v>
      </c>
      <c r="H1810" s="12">
        <v>6.3</v>
      </c>
      <c r="I1810" s="12">
        <v>30236.99</v>
      </c>
      <c r="J1810" s="10" t="s">
        <v>51</v>
      </c>
      <c r="K1810" s="10" t="s">
        <v>52</v>
      </c>
      <c r="L1810" t="str">
        <f>IFERROR(VLOOKUP(D1810,Products!A:F,3,0),"")</f>
        <v>Home</v>
      </c>
      <c r="M1810" t="str">
        <f>IFERROR(VLOOKUP(E1810,Sales_Reps!A:E,3,0),"")</f>
        <v>East</v>
      </c>
      <c r="N1810" t="str">
        <f>IFERROR(VLOOKUP(C1810,Customers!A:F,5,0),"")</f>
        <v>Retail</v>
      </c>
      <c r="O1810">
        <f>IFERROR(VLOOKUP(C1810,Customers!A:F,3,0),"")</f>
        <v>59</v>
      </c>
      <c r="P1810">
        <f>IFERROR(VLOOKUP(D1810,Products!A:F,4,0),"")</f>
        <v>1850</v>
      </c>
      <c r="Q1810" t="b">
        <f>IFERROR(VLOOKUP(D1810,Products!A:F,6,0),"")</f>
        <v>1</v>
      </c>
      <c r="R1810">
        <f t="shared" si="84"/>
        <v>0.59869848156182215</v>
      </c>
      <c r="S1810">
        <f t="shared" si="85"/>
        <v>1</v>
      </c>
      <c r="T1810">
        <f>IF(AND(S1810&gt;1,COUNTIF($A$2:A1810,A1810)=1),1,0)</f>
        <v>0</v>
      </c>
      <c r="U1810">
        <f>COUNTIF(Customers!$A$2:$A$301,C1810)</f>
        <v>1</v>
      </c>
      <c r="V1810">
        <f t="shared" si="86"/>
        <v>0</v>
      </c>
    </row>
    <row r="1811" spans="1:22" ht="14.25" customHeight="1" x14ac:dyDescent="0.35">
      <c r="A1811" s="10" t="s">
        <v>2272</v>
      </c>
      <c r="B1811" s="11">
        <v>45403</v>
      </c>
      <c r="C1811" s="10" t="s">
        <v>486</v>
      </c>
      <c r="D1811" s="10" t="s">
        <v>344</v>
      </c>
      <c r="E1811" s="10" t="s">
        <v>165</v>
      </c>
      <c r="F1811" s="12">
        <v>10</v>
      </c>
      <c r="G1811" s="12">
        <v>960</v>
      </c>
      <c r="H1811" s="12">
        <v>14.6</v>
      </c>
      <c r="I1811" s="12">
        <v>8198.4</v>
      </c>
      <c r="J1811" s="10" t="s">
        <v>51</v>
      </c>
      <c r="K1811" s="10" t="s">
        <v>63</v>
      </c>
      <c r="L1811" t="str">
        <f>IFERROR(VLOOKUP(D1811,Products!A:F,3,0),"")</f>
        <v>Beauty</v>
      </c>
      <c r="M1811" t="str">
        <f>IFERROR(VLOOKUP(E1811,Sales_Reps!A:E,3,0),"")</f>
        <v>West</v>
      </c>
      <c r="N1811" t="str">
        <f>IFERROR(VLOOKUP(C1811,Customers!A:F,5,0),"")</f>
        <v>SMB</v>
      </c>
      <c r="O1811">
        <f>IFERROR(VLOOKUP(C1811,Customers!A:F,3,0),"")</f>
        <v>55</v>
      </c>
      <c r="P1811">
        <f>IFERROR(VLOOKUP(D1811,Products!A:F,4,0),"")</f>
        <v>675</v>
      </c>
      <c r="Q1811" t="b">
        <f>IFERROR(VLOOKUP(D1811,Products!A:F,6,0),"")</f>
        <v>1</v>
      </c>
      <c r="R1811">
        <f t="shared" si="84"/>
        <v>0.296875</v>
      </c>
      <c r="S1811">
        <f t="shared" si="85"/>
        <v>1</v>
      </c>
      <c r="T1811">
        <f>IF(AND(S1811&gt;1,COUNTIF($A$2:A1811,A1811)=1),1,0)</f>
        <v>0</v>
      </c>
      <c r="U1811">
        <f>COUNTIF(Customers!$A$2:$A$301,C1811)</f>
        <v>1</v>
      </c>
      <c r="V1811">
        <f t="shared" si="86"/>
        <v>0</v>
      </c>
    </row>
    <row r="1812" spans="1:22" ht="14.25" customHeight="1" x14ac:dyDescent="0.35">
      <c r="A1812" s="10" t="s">
        <v>2273</v>
      </c>
      <c r="B1812" s="11">
        <v>45600</v>
      </c>
      <c r="C1812" s="10" t="s">
        <v>195</v>
      </c>
      <c r="D1812" s="10" t="s">
        <v>240</v>
      </c>
      <c r="E1812" s="10" t="s">
        <v>310</v>
      </c>
      <c r="F1812" s="12">
        <v>8</v>
      </c>
      <c r="G1812" s="12">
        <v>3020</v>
      </c>
      <c r="H1812" s="12">
        <v>14.5</v>
      </c>
      <c r="I1812" s="12">
        <v>20656.8</v>
      </c>
      <c r="J1812" s="10" t="s">
        <v>51</v>
      </c>
      <c r="K1812" s="10" t="s">
        <v>81</v>
      </c>
      <c r="L1812" t="str">
        <f>IFERROR(VLOOKUP(D1812,Products!A:F,3,0),"")</f>
        <v>Beauty</v>
      </c>
      <c r="M1812" t="str">
        <f>IFERROR(VLOOKUP(E1812,Sales_Reps!A:E,3,0),"")</f>
        <v>South</v>
      </c>
      <c r="N1812" t="str">
        <f>IFERROR(VLOOKUP(C1812,Customers!A:F,5,0),"")</f>
        <v>SMB</v>
      </c>
      <c r="O1812">
        <f>IFERROR(VLOOKUP(C1812,Customers!A:F,3,0),"")</f>
        <v>64</v>
      </c>
      <c r="P1812">
        <f>IFERROR(VLOOKUP(D1812,Products!A:F,4,0),"")</f>
        <v>1626</v>
      </c>
      <c r="Q1812" t="b">
        <f>IFERROR(VLOOKUP(D1812,Products!A:F,6,0),"")</f>
        <v>1</v>
      </c>
      <c r="R1812">
        <f t="shared" si="84"/>
        <v>0.46158940397350995</v>
      </c>
      <c r="S1812">
        <f t="shared" si="85"/>
        <v>1</v>
      </c>
      <c r="T1812">
        <f>IF(AND(S1812&gt;1,COUNTIF($A$2:A1812,A1812)=1),1,0)</f>
        <v>0</v>
      </c>
      <c r="U1812">
        <f>COUNTIF(Customers!$A$2:$A$301,C1812)</f>
        <v>1</v>
      </c>
      <c r="V1812">
        <f t="shared" si="86"/>
        <v>0</v>
      </c>
    </row>
    <row r="1813" spans="1:22" ht="14.25" customHeight="1" x14ac:dyDescent="0.35">
      <c r="A1813" s="10" t="s">
        <v>2274</v>
      </c>
      <c r="B1813" s="11">
        <v>45629</v>
      </c>
      <c r="C1813" s="10" t="s">
        <v>106</v>
      </c>
      <c r="D1813" s="10" t="s">
        <v>131</v>
      </c>
      <c r="E1813" s="10" t="s">
        <v>165</v>
      </c>
      <c r="F1813" s="12">
        <v>7</v>
      </c>
      <c r="G1813" s="12">
        <v>2480</v>
      </c>
      <c r="H1813" s="12">
        <v>17.3</v>
      </c>
      <c r="I1813" s="12">
        <v>14356.72</v>
      </c>
      <c r="J1813" s="10" t="s">
        <v>51</v>
      </c>
      <c r="K1813" s="10" t="s">
        <v>52</v>
      </c>
      <c r="L1813" t="str">
        <f>IFERROR(VLOOKUP(D1813,Products!A:F,3,0),"")</f>
        <v>Apparel</v>
      </c>
      <c r="M1813" t="str">
        <f>IFERROR(VLOOKUP(E1813,Sales_Reps!A:E,3,0),"")</f>
        <v>West</v>
      </c>
      <c r="N1813" t="str">
        <f>IFERROR(VLOOKUP(C1813,Customers!A:F,5,0),"")</f>
        <v>SMB</v>
      </c>
      <c r="O1813">
        <f>IFERROR(VLOOKUP(C1813,Customers!A:F,3,0),"")</f>
        <v>39</v>
      </c>
      <c r="P1813">
        <f>IFERROR(VLOOKUP(D1813,Products!A:F,4,0),"")</f>
        <v>1173</v>
      </c>
      <c r="Q1813" t="b">
        <f>IFERROR(VLOOKUP(D1813,Products!A:F,6,0),"")</f>
        <v>1</v>
      </c>
      <c r="R1813">
        <f t="shared" si="84"/>
        <v>0.52701612903225803</v>
      </c>
      <c r="S1813">
        <f t="shared" si="85"/>
        <v>1</v>
      </c>
      <c r="T1813">
        <f>IF(AND(S1813&gt;1,COUNTIF($A$2:A1813,A1813)=1),1,0)</f>
        <v>0</v>
      </c>
      <c r="U1813">
        <f>COUNTIF(Customers!$A$2:$A$301,C1813)</f>
        <v>1</v>
      </c>
      <c r="V1813">
        <f t="shared" si="86"/>
        <v>0</v>
      </c>
    </row>
    <row r="1814" spans="1:22" ht="14.25" customHeight="1" x14ac:dyDescent="0.35">
      <c r="A1814" s="10" t="s">
        <v>2275</v>
      </c>
      <c r="B1814" s="11">
        <v>45330</v>
      </c>
      <c r="C1814" s="10" t="s">
        <v>556</v>
      </c>
      <c r="D1814" s="10" t="s">
        <v>212</v>
      </c>
      <c r="E1814" s="10" t="s">
        <v>216</v>
      </c>
      <c r="F1814" s="12">
        <v>10</v>
      </c>
      <c r="G1814" s="12">
        <v>3870</v>
      </c>
      <c r="H1814" s="12">
        <v>22.4</v>
      </c>
      <c r="I1814" s="12">
        <v>30031.200000000001</v>
      </c>
      <c r="J1814" s="10" t="s">
        <v>57</v>
      </c>
      <c r="K1814" s="10" t="s">
        <v>97</v>
      </c>
      <c r="L1814" t="str">
        <f>IFERROR(VLOOKUP(D1814,Products!A:F,3,0),"")</f>
        <v>Electronics</v>
      </c>
      <c r="M1814" t="str">
        <f>IFERROR(VLOOKUP(E1814,Sales_Reps!A:E,3,0),"")</f>
        <v>South</v>
      </c>
      <c r="N1814" t="str">
        <f>IFERROR(VLOOKUP(C1814,Customers!A:F,5,0),"")</f>
        <v>Retail</v>
      </c>
      <c r="O1814">
        <f>IFERROR(VLOOKUP(C1814,Customers!A:F,3,0),"")</f>
        <v>22</v>
      </c>
      <c r="P1814">
        <f>IFERROR(VLOOKUP(D1814,Products!A:F,4,0),"")</f>
        <v>1559</v>
      </c>
      <c r="Q1814" t="b">
        <f>IFERROR(VLOOKUP(D1814,Products!A:F,6,0),"")</f>
        <v>1</v>
      </c>
      <c r="R1814">
        <f t="shared" si="84"/>
        <v>0.59715762273901807</v>
      </c>
      <c r="S1814">
        <f t="shared" si="85"/>
        <v>1</v>
      </c>
      <c r="T1814">
        <f>IF(AND(S1814&gt;1,COUNTIF($A$2:A1814,A1814)=1),1,0)</f>
        <v>0</v>
      </c>
      <c r="U1814">
        <f>COUNTIF(Customers!$A$2:$A$301,C1814)</f>
        <v>1</v>
      </c>
      <c r="V1814">
        <f t="shared" si="86"/>
        <v>0</v>
      </c>
    </row>
    <row r="1815" spans="1:22" ht="14.25" customHeight="1" x14ac:dyDescent="0.35">
      <c r="A1815" s="10" t="s">
        <v>2276</v>
      </c>
      <c r="B1815" s="11">
        <v>45551</v>
      </c>
      <c r="C1815" s="10" t="s">
        <v>842</v>
      </c>
      <c r="D1815" s="10" t="s">
        <v>167</v>
      </c>
      <c r="E1815" s="10" t="s">
        <v>249</v>
      </c>
      <c r="F1815" s="12">
        <v>6</v>
      </c>
      <c r="G1815" s="12">
        <v>660</v>
      </c>
      <c r="H1815" s="12">
        <v>27.3</v>
      </c>
      <c r="I1815" s="12">
        <v>2878.92</v>
      </c>
      <c r="J1815" s="10" t="s">
        <v>51</v>
      </c>
      <c r="K1815" s="10" t="s">
        <v>76</v>
      </c>
      <c r="L1815" t="str">
        <f>IFERROR(VLOOKUP(D1815,Products!A:F,3,0),"")</f>
        <v>Home</v>
      </c>
      <c r="M1815" t="str">
        <f>IFERROR(VLOOKUP(E1815,Sales_Reps!A:E,3,0),"")</f>
        <v>East</v>
      </c>
      <c r="N1815" t="str">
        <f>IFERROR(VLOOKUP(C1815,Customers!A:F,5,0),"")</f>
        <v>Corporate</v>
      </c>
      <c r="O1815">
        <f>IFERROR(VLOOKUP(C1815,Customers!A:F,3,0),"")</f>
        <v>62</v>
      </c>
      <c r="P1815">
        <f>IFERROR(VLOOKUP(D1815,Products!A:F,4,0),"")</f>
        <v>329</v>
      </c>
      <c r="Q1815" t="b">
        <f>IFERROR(VLOOKUP(D1815,Products!A:F,6,0),"")</f>
        <v>1</v>
      </c>
      <c r="R1815">
        <f t="shared" si="84"/>
        <v>0.50151515151515147</v>
      </c>
      <c r="S1815">
        <f t="shared" si="85"/>
        <v>1</v>
      </c>
      <c r="T1815">
        <f>IF(AND(S1815&gt;1,COUNTIF($A$2:A1815,A1815)=1),1,0)</f>
        <v>0</v>
      </c>
      <c r="U1815">
        <f>COUNTIF(Customers!$A$2:$A$301,C1815)</f>
        <v>1</v>
      </c>
      <c r="V1815">
        <f t="shared" si="86"/>
        <v>0</v>
      </c>
    </row>
    <row r="1816" spans="1:22" ht="14.25" customHeight="1" x14ac:dyDescent="0.35">
      <c r="A1816" s="10" t="s">
        <v>2277</v>
      </c>
      <c r="B1816" s="11">
        <v>45321</v>
      </c>
      <c r="C1816" s="10" t="s">
        <v>2278</v>
      </c>
      <c r="D1816" s="10" t="s">
        <v>212</v>
      </c>
      <c r="E1816" s="10" t="s">
        <v>165</v>
      </c>
      <c r="F1816" s="12">
        <v>3</v>
      </c>
      <c r="G1816" s="12">
        <v>3870</v>
      </c>
      <c r="H1816" s="12">
        <v>7.6</v>
      </c>
      <c r="I1816" s="12">
        <v>10727.64</v>
      </c>
      <c r="J1816" s="10" t="s">
        <v>104</v>
      </c>
      <c r="K1816" s="10" t="s">
        <v>58</v>
      </c>
      <c r="L1816" t="str">
        <f>IFERROR(VLOOKUP(D1816,Products!A:F,3,0),"")</f>
        <v>Electronics</v>
      </c>
      <c r="M1816" t="str">
        <f>IFERROR(VLOOKUP(E1816,Sales_Reps!A:E,3,0),"")</f>
        <v>West</v>
      </c>
      <c r="N1816" t="str">
        <f>IFERROR(VLOOKUP(C1816,Customers!A:F,5,0),"")</f>
        <v/>
      </c>
      <c r="O1816" t="str">
        <f>IFERROR(VLOOKUP(C1816,Customers!A:F,3,0),"")</f>
        <v/>
      </c>
      <c r="P1816">
        <f>IFERROR(VLOOKUP(D1816,Products!A:F,4,0),"")</f>
        <v>1559</v>
      </c>
      <c r="Q1816" t="b">
        <f>IFERROR(VLOOKUP(D1816,Products!A:F,6,0),"")</f>
        <v>1</v>
      </c>
      <c r="R1816">
        <f t="shared" si="84"/>
        <v>0.59715762273901807</v>
      </c>
      <c r="S1816">
        <f t="shared" si="85"/>
        <v>1</v>
      </c>
      <c r="T1816">
        <f>IF(AND(S1816&gt;1,COUNTIF($A$2:A1816,A1816)=1),1,0)</f>
        <v>0</v>
      </c>
      <c r="U1816">
        <f>COUNTIF(Customers!$A$2:$A$301,C1816)</f>
        <v>0</v>
      </c>
      <c r="V1816">
        <f t="shared" si="86"/>
        <v>0</v>
      </c>
    </row>
    <row r="1817" spans="1:22" ht="14.25" customHeight="1" x14ac:dyDescent="0.35">
      <c r="A1817" s="10" t="s">
        <v>2279</v>
      </c>
      <c r="B1817" s="11">
        <v>45542</v>
      </c>
      <c r="C1817" s="10" t="s">
        <v>48</v>
      </c>
      <c r="D1817" s="10" t="s">
        <v>131</v>
      </c>
      <c r="E1817" s="10" t="s">
        <v>67</v>
      </c>
      <c r="F1817" s="12">
        <v>10</v>
      </c>
      <c r="G1817" s="12">
        <v>2480</v>
      </c>
      <c r="H1817" s="12">
        <v>21.5</v>
      </c>
      <c r="I1817" s="12">
        <v>19468</v>
      </c>
      <c r="J1817" s="10" t="s">
        <v>57</v>
      </c>
      <c r="K1817" s="10" t="s">
        <v>52</v>
      </c>
      <c r="L1817" t="str">
        <f>IFERROR(VLOOKUP(D1817,Products!A:F,3,0),"")</f>
        <v>Apparel</v>
      </c>
      <c r="M1817" t="str">
        <f>IFERROR(VLOOKUP(E1817,Sales_Reps!A:E,3,0),"")</f>
        <v>North</v>
      </c>
      <c r="N1817" t="str">
        <f>IFERROR(VLOOKUP(C1817,Customers!A:F,5,0),"")</f>
        <v>SMB</v>
      </c>
      <c r="O1817">
        <f>IFERROR(VLOOKUP(C1817,Customers!A:F,3,0),"")</f>
        <v>44</v>
      </c>
      <c r="P1817">
        <f>IFERROR(VLOOKUP(D1817,Products!A:F,4,0),"")</f>
        <v>1173</v>
      </c>
      <c r="Q1817" t="b">
        <f>IFERROR(VLOOKUP(D1817,Products!A:F,6,0),"")</f>
        <v>1</v>
      </c>
      <c r="R1817">
        <f t="shared" si="84"/>
        <v>0.52701612903225803</v>
      </c>
      <c r="S1817">
        <f t="shared" si="85"/>
        <v>1</v>
      </c>
      <c r="T1817">
        <f>IF(AND(S1817&gt;1,COUNTIF($A$2:A1817,A1817)=1),1,0)</f>
        <v>0</v>
      </c>
      <c r="U1817">
        <f>COUNTIF(Customers!$A$2:$A$301,C1817)</f>
        <v>1</v>
      </c>
      <c r="V1817">
        <f t="shared" si="86"/>
        <v>0</v>
      </c>
    </row>
    <row r="1818" spans="1:22" ht="14.25" customHeight="1" x14ac:dyDescent="0.35">
      <c r="A1818" s="10" t="s">
        <v>2280</v>
      </c>
      <c r="B1818" s="11">
        <v>45643</v>
      </c>
      <c r="C1818" s="10" t="s">
        <v>566</v>
      </c>
      <c r="D1818" s="10" t="s">
        <v>99</v>
      </c>
      <c r="E1818" s="10" t="s">
        <v>179</v>
      </c>
      <c r="F1818" s="12">
        <v>8</v>
      </c>
      <c r="G1818" s="12">
        <v>2640</v>
      </c>
      <c r="H1818" s="12">
        <v>22.3</v>
      </c>
      <c r="I1818" s="12">
        <v>16410.240000000002</v>
      </c>
      <c r="J1818" s="10" t="s">
        <v>51</v>
      </c>
      <c r="K1818" s="10" t="s">
        <v>58</v>
      </c>
      <c r="L1818" t="str">
        <f>IFERROR(VLOOKUP(D1818,Products!A:F,3,0),"")</f>
        <v>Electronics</v>
      </c>
      <c r="M1818" t="str">
        <f>IFERROR(VLOOKUP(E1818,Sales_Reps!A:E,3,0),"")</f>
        <v>North</v>
      </c>
      <c r="N1818" t="str">
        <f>IFERROR(VLOOKUP(C1818,Customers!A:F,5,0),"")</f>
        <v>Retail</v>
      </c>
      <c r="O1818">
        <f>IFERROR(VLOOKUP(C1818,Customers!A:F,3,0),"")</f>
        <v>61</v>
      </c>
      <c r="P1818">
        <f>IFERROR(VLOOKUP(D1818,Products!A:F,4,0),"")</f>
        <v>1149</v>
      </c>
      <c r="Q1818" t="b">
        <f>IFERROR(VLOOKUP(D1818,Products!A:F,6,0),"")</f>
        <v>1</v>
      </c>
      <c r="R1818">
        <f t="shared" si="84"/>
        <v>0.56477272727272732</v>
      </c>
      <c r="S1818">
        <f t="shared" si="85"/>
        <v>1</v>
      </c>
      <c r="T1818">
        <f>IF(AND(S1818&gt;1,COUNTIF($A$2:A1818,A1818)=1),1,0)</f>
        <v>0</v>
      </c>
      <c r="U1818">
        <f>COUNTIF(Customers!$A$2:$A$301,C1818)</f>
        <v>1</v>
      </c>
      <c r="V1818">
        <f t="shared" si="86"/>
        <v>0</v>
      </c>
    </row>
    <row r="1819" spans="1:22" ht="14.25" customHeight="1" x14ac:dyDescent="0.35">
      <c r="A1819" s="10" t="s">
        <v>2281</v>
      </c>
      <c r="B1819" s="11">
        <v>45559</v>
      </c>
      <c r="C1819" s="10" t="s">
        <v>1157</v>
      </c>
      <c r="D1819" s="10" t="s">
        <v>91</v>
      </c>
      <c r="E1819" s="10" t="s">
        <v>179</v>
      </c>
      <c r="F1819" s="12">
        <v>8</v>
      </c>
      <c r="G1819" s="12">
        <v>970</v>
      </c>
      <c r="H1819" s="12">
        <v>13.1</v>
      </c>
      <c r="I1819" s="12">
        <v>6743.44</v>
      </c>
      <c r="J1819" s="10" t="s">
        <v>51</v>
      </c>
      <c r="K1819" s="10" t="s">
        <v>97</v>
      </c>
      <c r="L1819" t="str">
        <f>IFERROR(VLOOKUP(D1819,Products!A:F,3,0),"")</f>
        <v>Grocery</v>
      </c>
      <c r="M1819" t="str">
        <f>IFERROR(VLOOKUP(E1819,Sales_Reps!A:E,3,0),"")</f>
        <v>North</v>
      </c>
      <c r="N1819" t="str">
        <f>IFERROR(VLOOKUP(C1819,Customers!A:F,5,0),"")</f>
        <v>SMB</v>
      </c>
      <c r="O1819">
        <f>IFERROR(VLOOKUP(C1819,Customers!A:F,3,0),"")</f>
        <v>25</v>
      </c>
      <c r="P1819">
        <f>IFERROR(VLOOKUP(D1819,Products!A:F,4,0),"")</f>
        <v>434</v>
      </c>
      <c r="Q1819" t="b">
        <f>IFERROR(VLOOKUP(D1819,Products!A:F,6,0),"")</f>
        <v>1</v>
      </c>
      <c r="R1819">
        <f t="shared" si="84"/>
        <v>0.5525773195876289</v>
      </c>
      <c r="S1819">
        <f t="shared" si="85"/>
        <v>1</v>
      </c>
      <c r="T1819">
        <f>IF(AND(S1819&gt;1,COUNTIF($A$2:A1819,A1819)=1),1,0)</f>
        <v>0</v>
      </c>
      <c r="U1819">
        <f>COUNTIF(Customers!$A$2:$A$301,C1819)</f>
        <v>1</v>
      </c>
      <c r="V1819">
        <f t="shared" si="86"/>
        <v>0</v>
      </c>
    </row>
    <row r="1820" spans="1:22" ht="14.25" customHeight="1" x14ac:dyDescent="0.35">
      <c r="A1820" s="10" t="s">
        <v>2282</v>
      </c>
      <c r="B1820" s="11">
        <v>45416</v>
      </c>
      <c r="C1820" s="10" t="s">
        <v>561</v>
      </c>
      <c r="D1820" s="10" t="s">
        <v>79</v>
      </c>
      <c r="E1820" s="10" t="s">
        <v>179</v>
      </c>
      <c r="F1820" s="12">
        <v>6</v>
      </c>
      <c r="G1820" s="12">
        <v>960</v>
      </c>
      <c r="H1820" s="12">
        <v>3.2</v>
      </c>
      <c r="I1820" s="12">
        <v>5575.68</v>
      </c>
      <c r="J1820" s="10" t="s">
        <v>51</v>
      </c>
      <c r="K1820" s="10" t="s">
        <v>76</v>
      </c>
      <c r="L1820" t="str">
        <f>IFERROR(VLOOKUP(D1820,Products!A:F,3,0),"")</f>
        <v>Sports</v>
      </c>
      <c r="M1820" t="str">
        <f>IFERROR(VLOOKUP(E1820,Sales_Reps!A:E,3,0),"")</f>
        <v>North</v>
      </c>
      <c r="N1820" t="str">
        <f>IFERROR(VLOOKUP(C1820,Customers!A:F,5,0),"")</f>
        <v>Retail</v>
      </c>
      <c r="O1820">
        <f>IFERROR(VLOOKUP(C1820,Customers!A:F,3,0),"")</f>
        <v>39</v>
      </c>
      <c r="P1820">
        <f>IFERROR(VLOOKUP(D1820,Products!A:F,4,0),"")</f>
        <v>705</v>
      </c>
      <c r="Q1820" t="b">
        <f>IFERROR(VLOOKUP(D1820,Products!A:F,6,0),"")</f>
        <v>1</v>
      </c>
      <c r="R1820">
        <f t="shared" si="84"/>
        <v>0.265625</v>
      </c>
      <c r="S1820">
        <f t="shared" si="85"/>
        <v>1</v>
      </c>
      <c r="T1820">
        <f>IF(AND(S1820&gt;1,COUNTIF($A$2:A1820,A1820)=1),1,0)</f>
        <v>0</v>
      </c>
      <c r="U1820">
        <f>COUNTIF(Customers!$A$2:$A$301,C1820)</f>
        <v>1</v>
      </c>
      <c r="V1820">
        <f t="shared" si="86"/>
        <v>0</v>
      </c>
    </row>
    <row r="1821" spans="1:22" ht="14.25" customHeight="1" x14ac:dyDescent="0.35">
      <c r="A1821" s="10" t="s">
        <v>2283</v>
      </c>
      <c r="B1821" s="11">
        <v>45469</v>
      </c>
      <c r="C1821" s="10" t="s">
        <v>1493</v>
      </c>
      <c r="D1821" s="10" t="s">
        <v>259</v>
      </c>
      <c r="E1821" s="10" t="s">
        <v>71</v>
      </c>
      <c r="F1821" s="12">
        <v>9</v>
      </c>
      <c r="G1821" s="12">
        <v>2030</v>
      </c>
      <c r="H1821" s="12">
        <v>12.6</v>
      </c>
      <c r="I1821" s="12">
        <v>15967.98</v>
      </c>
      <c r="J1821" s="10" t="s">
        <v>104</v>
      </c>
      <c r="K1821" s="10" t="s">
        <v>58</v>
      </c>
      <c r="L1821" t="str">
        <f>IFERROR(VLOOKUP(D1821,Products!A:F,3,0),"")</f>
        <v>Home</v>
      </c>
      <c r="M1821" t="str">
        <f>IFERROR(VLOOKUP(E1821,Sales_Reps!A:E,3,0),"")</f>
        <v>North</v>
      </c>
      <c r="N1821" t="str">
        <f>IFERROR(VLOOKUP(C1821,Customers!A:F,5,0),"")</f>
        <v>Retail</v>
      </c>
      <c r="O1821">
        <f>IFERROR(VLOOKUP(C1821,Customers!A:F,3,0),"")</f>
        <v>31</v>
      </c>
      <c r="P1821">
        <f>IFERROR(VLOOKUP(D1821,Products!A:F,4,0),"")</f>
        <v>1143</v>
      </c>
      <c r="Q1821" t="b">
        <f>IFERROR(VLOOKUP(D1821,Products!A:F,6,0),"")</f>
        <v>1</v>
      </c>
      <c r="R1821">
        <f t="shared" si="84"/>
        <v>0.43694581280788175</v>
      </c>
      <c r="S1821">
        <f t="shared" si="85"/>
        <v>1</v>
      </c>
      <c r="T1821">
        <f>IF(AND(S1821&gt;1,COUNTIF($A$2:A1821,A1821)=1),1,0)</f>
        <v>0</v>
      </c>
      <c r="U1821">
        <f>COUNTIF(Customers!$A$2:$A$301,C1821)</f>
        <v>1</v>
      </c>
      <c r="V1821">
        <f t="shared" si="86"/>
        <v>0</v>
      </c>
    </row>
    <row r="1822" spans="1:22" ht="14.25" customHeight="1" x14ac:dyDescent="0.35">
      <c r="A1822" s="10" t="s">
        <v>1989</v>
      </c>
      <c r="B1822" s="11">
        <v>45387</v>
      </c>
      <c r="C1822" s="10" t="s">
        <v>197</v>
      </c>
      <c r="D1822" s="10" t="s">
        <v>350</v>
      </c>
      <c r="E1822" s="10" t="s">
        <v>80</v>
      </c>
      <c r="F1822" s="12">
        <v>10</v>
      </c>
      <c r="G1822" s="12">
        <v>2290</v>
      </c>
      <c r="H1822" s="12">
        <v>22.2</v>
      </c>
      <c r="I1822" s="12">
        <v>17816.2</v>
      </c>
      <c r="J1822" s="10" t="s">
        <v>51</v>
      </c>
      <c r="K1822" s="10" t="s">
        <v>52</v>
      </c>
      <c r="L1822" t="str">
        <f>IFERROR(VLOOKUP(D1822,Products!A:F,3,0),"")</f>
        <v>Beauty</v>
      </c>
      <c r="M1822" t="str">
        <f>IFERROR(VLOOKUP(E1822,Sales_Reps!A:E,3,0),"")</f>
        <v>West</v>
      </c>
      <c r="N1822" t="str">
        <f>IFERROR(VLOOKUP(C1822,Customers!A:F,5,0),"")</f>
        <v>SMB</v>
      </c>
      <c r="O1822">
        <f>IFERROR(VLOOKUP(C1822,Customers!A:F,3,0),"")</f>
        <v>29</v>
      </c>
      <c r="P1822">
        <f>IFERROR(VLOOKUP(D1822,Products!A:F,4,0),"")</f>
        <v>1219</v>
      </c>
      <c r="Q1822" t="b">
        <f>IFERROR(VLOOKUP(D1822,Products!A:F,6,0),"")</f>
        <v>1</v>
      </c>
      <c r="R1822">
        <f t="shared" si="84"/>
        <v>0.46768558951965067</v>
      </c>
      <c r="S1822">
        <f t="shared" si="85"/>
        <v>2</v>
      </c>
      <c r="T1822">
        <f>IF(AND(S1822&gt;1,COUNTIF($A$2:A1822,A1822)=1),1,0)</f>
        <v>0</v>
      </c>
      <c r="U1822">
        <f>COUNTIF(Customers!$A$2:$A$301,C1822)</f>
        <v>1</v>
      </c>
      <c r="V1822">
        <f t="shared" si="86"/>
        <v>0</v>
      </c>
    </row>
    <row r="1823" spans="1:22" ht="14.25" customHeight="1" x14ac:dyDescent="0.35">
      <c r="A1823" s="10" t="s">
        <v>2284</v>
      </c>
      <c r="B1823" s="11">
        <v>45373</v>
      </c>
      <c r="C1823" s="10" t="s">
        <v>1463</v>
      </c>
      <c r="D1823" s="10" t="s">
        <v>55</v>
      </c>
      <c r="E1823" s="10" t="s">
        <v>307</v>
      </c>
      <c r="F1823" s="12">
        <v>7</v>
      </c>
      <c r="G1823" s="12">
        <v>820</v>
      </c>
      <c r="H1823" s="12">
        <v>6.4</v>
      </c>
      <c r="I1823" s="12">
        <v>5372.64</v>
      </c>
      <c r="J1823" s="10" t="s">
        <v>108</v>
      </c>
      <c r="K1823" s="10" t="s">
        <v>58</v>
      </c>
      <c r="L1823" t="str">
        <f>IFERROR(VLOOKUP(D1823,Products!A:F,3,0),"")</f>
        <v>Apparel</v>
      </c>
      <c r="M1823" t="str">
        <f>IFERROR(VLOOKUP(E1823,Sales_Reps!A:E,3,0),"")</f>
        <v>West</v>
      </c>
      <c r="N1823" t="str">
        <f>IFERROR(VLOOKUP(C1823,Customers!A:F,5,0),"")</f>
        <v>Retail</v>
      </c>
      <c r="O1823">
        <f>IFERROR(VLOOKUP(C1823,Customers!A:F,3,0),"")</f>
        <v>26</v>
      </c>
      <c r="P1823">
        <f>IFERROR(VLOOKUP(D1823,Products!A:F,4,0),"")</f>
        <v>391</v>
      </c>
      <c r="Q1823" t="b">
        <f>IFERROR(VLOOKUP(D1823,Products!A:F,6,0),"")</f>
        <v>1</v>
      </c>
      <c r="R1823">
        <f t="shared" si="84"/>
        <v>0.52317073170731709</v>
      </c>
      <c r="S1823">
        <f t="shared" si="85"/>
        <v>1</v>
      </c>
      <c r="T1823">
        <f>IF(AND(S1823&gt;1,COUNTIF($A$2:A1823,A1823)=1),1,0)</f>
        <v>0</v>
      </c>
      <c r="U1823">
        <f>COUNTIF(Customers!$A$2:$A$301,C1823)</f>
        <v>1</v>
      </c>
      <c r="V1823">
        <f t="shared" si="86"/>
        <v>0</v>
      </c>
    </row>
    <row r="1824" spans="1:22" ht="14.25" customHeight="1" x14ac:dyDescent="0.35">
      <c r="A1824" s="10" t="s">
        <v>2285</v>
      </c>
      <c r="B1824" s="11">
        <v>45614</v>
      </c>
      <c r="C1824" s="10" t="s">
        <v>297</v>
      </c>
      <c r="D1824" s="10" t="s">
        <v>128</v>
      </c>
      <c r="E1824" s="10" t="s">
        <v>134</v>
      </c>
      <c r="F1824" s="12">
        <v>5</v>
      </c>
      <c r="G1824" s="12">
        <v>1080</v>
      </c>
      <c r="H1824" s="12">
        <v>6</v>
      </c>
      <c r="I1824" s="12">
        <v>5076</v>
      </c>
      <c r="J1824" s="10" t="s">
        <v>51</v>
      </c>
      <c r="K1824" s="10" t="s">
        <v>97</v>
      </c>
      <c r="L1824" t="str">
        <f>IFERROR(VLOOKUP(D1824,Products!A:F,3,0),"")</f>
        <v>Home</v>
      </c>
      <c r="M1824" t="str">
        <f>IFERROR(VLOOKUP(E1824,Sales_Reps!A:E,3,0),"")</f>
        <v>West</v>
      </c>
      <c r="N1824" t="str">
        <f>IFERROR(VLOOKUP(C1824,Customers!A:F,5,0),"")</f>
        <v>SMB</v>
      </c>
      <c r="O1824">
        <f>IFERROR(VLOOKUP(C1824,Customers!A:F,3,0),"")</f>
        <v>65</v>
      </c>
      <c r="P1824">
        <f>IFERROR(VLOOKUP(D1824,Products!A:F,4,0),"")</f>
        <v>519</v>
      </c>
      <c r="Q1824" t="b">
        <f>IFERROR(VLOOKUP(D1824,Products!A:F,6,0),"")</f>
        <v>1</v>
      </c>
      <c r="R1824">
        <f t="shared" si="84"/>
        <v>0.51944444444444449</v>
      </c>
      <c r="S1824">
        <f t="shared" si="85"/>
        <v>1</v>
      </c>
      <c r="T1824">
        <f>IF(AND(S1824&gt;1,COUNTIF($A$2:A1824,A1824)=1),1,0)</f>
        <v>0</v>
      </c>
      <c r="U1824">
        <f>COUNTIF(Customers!$A$2:$A$301,C1824)</f>
        <v>1</v>
      </c>
      <c r="V1824">
        <f t="shared" si="86"/>
        <v>0</v>
      </c>
    </row>
    <row r="1825" spans="1:22" ht="14.25" customHeight="1" x14ac:dyDescent="0.35">
      <c r="A1825" s="10" t="s">
        <v>2286</v>
      </c>
      <c r="B1825" s="11">
        <v>45310</v>
      </c>
      <c r="C1825" s="10" t="s">
        <v>443</v>
      </c>
      <c r="D1825" s="10" t="s">
        <v>111</v>
      </c>
      <c r="E1825" s="10" t="s">
        <v>92</v>
      </c>
      <c r="F1825" s="12">
        <v>4</v>
      </c>
      <c r="G1825" s="12">
        <v>190</v>
      </c>
      <c r="H1825" s="12">
        <v>6.3</v>
      </c>
      <c r="I1825" s="12">
        <v>712.12</v>
      </c>
      <c r="J1825" s="10" t="s">
        <v>108</v>
      </c>
      <c r="K1825" s="10" t="s">
        <v>52</v>
      </c>
      <c r="L1825" t="str">
        <f>IFERROR(VLOOKUP(D1825,Products!A:F,3,0),"")</f>
        <v>Sports</v>
      </c>
      <c r="M1825" t="str">
        <f>IFERROR(VLOOKUP(E1825,Sales_Reps!A:E,3,0),"")</f>
        <v>West</v>
      </c>
      <c r="N1825" t="str">
        <f>IFERROR(VLOOKUP(C1825,Customers!A:F,5,0),"")</f>
        <v>SMB</v>
      </c>
      <c r="O1825">
        <f>IFERROR(VLOOKUP(C1825,Customers!A:F,3,0),"")</f>
        <v>49</v>
      </c>
      <c r="P1825">
        <f>IFERROR(VLOOKUP(D1825,Products!A:F,4,0),"")</f>
        <v>147</v>
      </c>
      <c r="Q1825" t="b">
        <f>IFERROR(VLOOKUP(D1825,Products!A:F,6,0),"")</f>
        <v>1</v>
      </c>
      <c r="R1825">
        <f t="shared" si="84"/>
        <v>0.22631578947368422</v>
      </c>
      <c r="S1825">
        <f t="shared" si="85"/>
        <v>1</v>
      </c>
      <c r="T1825">
        <f>IF(AND(S1825&gt;1,COUNTIF($A$2:A1825,A1825)=1),1,0)</f>
        <v>0</v>
      </c>
      <c r="U1825">
        <f>COUNTIF(Customers!$A$2:$A$301,C1825)</f>
        <v>1</v>
      </c>
      <c r="V1825">
        <f t="shared" si="86"/>
        <v>0</v>
      </c>
    </row>
    <row r="1826" spans="1:22" ht="14.25" customHeight="1" x14ac:dyDescent="0.35">
      <c r="A1826" s="10" t="s">
        <v>2287</v>
      </c>
      <c r="B1826" s="11">
        <v>45319</v>
      </c>
      <c r="C1826" s="10" t="s">
        <v>236</v>
      </c>
      <c r="D1826" s="10" t="s">
        <v>319</v>
      </c>
      <c r="E1826" s="10" t="s">
        <v>193</v>
      </c>
      <c r="F1826" s="12">
        <v>6</v>
      </c>
      <c r="G1826" s="12">
        <v>2510</v>
      </c>
      <c r="H1826" s="12">
        <v>11.5</v>
      </c>
      <c r="I1826" s="12">
        <v>13328.1</v>
      </c>
      <c r="J1826" s="10" t="s">
        <v>51</v>
      </c>
      <c r="K1826" s="10" t="s">
        <v>58</v>
      </c>
      <c r="L1826" t="str">
        <f>IFERROR(VLOOKUP(D1826,Products!A:F,3,0),"")</f>
        <v>Apparel</v>
      </c>
      <c r="M1826" t="str">
        <f>IFERROR(VLOOKUP(E1826,Sales_Reps!A:E,3,0),"")</f>
        <v>West</v>
      </c>
      <c r="N1826" t="str">
        <f>IFERROR(VLOOKUP(C1826,Customers!A:F,5,0),"")</f>
        <v>SMB</v>
      </c>
      <c r="O1826">
        <f>IFERROR(VLOOKUP(C1826,Customers!A:F,3,0),"")</f>
        <v>55</v>
      </c>
      <c r="P1826">
        <f>IFERROR(VLOOKUP(D1826,Products!A:F,4,0),"")</f>
        <v>1075</v>
      </c>
      <c r="Q1826" t="b">
        <f>IFERROR(VLOOKUP(D1826,Products!A:F,6,0),"")</f>
        <v>0</v>
      </c>
      <c r="R1826">
        <f t="shared" si="84"/>
        <v>0.57171314741035861</v>
      </c>
      <c r="S1826">
        <f t="shared" si="85"/>
        <v>1</v>
      </c>
      <c r="T1826">
        <f>IF(AND(S1826&gt;1,COUNTIF($A$2:A1826,A1826)=1),1,0)</f>
        <v>0</v>
      </c>
      <c r="U1826">
        <f>COUNTIF(Customers!$A$2:$A$301,C1826)</f>
        <v>1</v>
      </c>
      <c r="V1826">
        <f t="shared" si="86"/>
        <v>0</v>
      </c>
    </row>
    <row r="1827" spans="1:22" ht="14.25" customHeight="1" x14ac:dyDescent="0.35">
      <c r="A1827" s="10" t="s">
        <v>2288</v>
      </c>
      <c r="B1827" s="11">
        <v>45299</v>
      </c>
      <c r="C1827" s="10" t="s">
        <v>69</v>
      </c>
      <c r="D1827" s="10" t="s">
        <v>623</v>
      </c>
      <c r="E1827" s="10" t="s">
        <v>152</v>
      </c>
      <c r="F1827" s="12">
        <v>2</v>
      </c>
      <c r="G1827" s="12">
        <v>3560</v>
      </c>
      <c r="H1827" s="12">
        <v>10.5</v>
      </c>
      <c r="I1827" s="12">
        <v>6372.4</v>
      </c>
      <c r="J1827" s="10" t="s">
        <v>51</v>
      </c>
      <c r="K1827" s="10" t="s">
        <v>58</v>
      </c>
      <c r="L1827" t="str">
        <f>IFERROR(VLOOKUP(D1827,Products!A:F,3,0),"")</f>
        <v>Apparel</v>
      </c>
      <c r="M1827" t="str">
        <f>IFERROR(VLOOKUP(E1827,Sales_Reps!A:E,3,0),"")</f>
        <v>South</v>
      </c>
      <c r="N1827" t="str">
        <f>IFERROR(VLOOKUP(C1827,Customers!A:F,5,0),"")</f>
        <v>Retail</v>
      </c>
      <c r="O1827">
        <f>IFERROR(VLOOKUP(C1827,Customers!A:F,3,0),"")</f>
        <v>36</v>
      </c>
      <c r="P1827">
        <f>IFERROR(VLOOKUP(D1827,Products!A:F,4,0),"")</f>
        <v>2629</v>
      </c>
      <c r="Q1827" t="b">
        <f>IFERROR(VLOOKUP(D1827,Products!A:F,6,0),"")</f>
        <v>1</v>
      </c>
      <c r="R1827">
        <f t="shared" si="84"/>
        <v>0.26151685393258428</v>
      </c>
      <c r="S1827">
        <f t="shared" si="85"/>
        <v>1</v>
      </c>
      <c r="T1827">
        <f>IF(AND(S1827&gt;1,COUNTIF($A$2:A1827,A1827)=1),1,0)</f>
        <v>0</v>
      </c>
      <c r="U1827">
        <f>COUNTIF(Customers!$A$2:$A$301,C1827)</f>
        <v>1</v>
      </c>
      <c r="V1827">
        <f t="shared" si="86"/>
        <v>0</v>
      </c>
    </row>
    <row r="1828" spans="1:22" ht="14.25" customHeight="1" x14ac:dyDescent="0.35">
      <c r="A1828" s="10" t="s">
        <v>2289</v>
      </c>
      <c r="B1828" s="11">
        <v>45556</v>
      </c>
      <c r="C1828" s="10" t="s">
        <v>805</v>
      </c>
      <c r="D1828" s="10" t="s">
        <v>55</v>
      </c>
      <c r="E1828" s="10" t="s">
        <v>216</v>
      </c>
      <c r="F1828" s="12">
        <v>3</v>
      </c>
      <c r="G1828" s="12">
        <v>820</v>
      </c>
      <c r="H1828" s="12">
        <v>13</v>
      </c>
      <c r="I1828" s="12">
        <v>2140.1999999999998</v>
      </c>
      <c r="J1828" s="10" t="s">
        <v>104</v>
      </c>
      <c r="K1828" s="10" t="s">
        <v>81</v>
      </c>
      <c r="L1828" t="str">
        <f>IFERROR(VLOOKUP(D1828,Products!A:F,3,0),"")</f>
        <v>Apparel</v>
      </c>
      <c r="M1828" t="str">
        <f>IFERROR(VLOOKUP(E1828,Sales_Reps!A:E,3,0),"")</f>
        <v>South</v>
      </c>
      <c r="N1828" t="str">
        <f>IFERROR(VLOOKUP(C1828,Customers!A:F,5,0),"")</f>
        <v>Corporate</v>
      </c>
      <c r="O1828">
        <f>IFERROR(VLOOKUP(C1828,Customers!A:F,3,0),"")</f>
        <v>41</v>
      </c>
      <c r="P1828">
        <f>IFERROR(VLOOKUP(D1828,Products!A:F,4,0),"")</f>
        <v>391</v>
      </c>
      <c r="Q1828" t="b">
        <f>IFERROR(VLOOKUP(D1828,Products!A:F,6,0),"")</f>
        <v>1</v>
      </c>
      <c r="R1828">
        <f t="shared" si="84"/>
        <v>0.52317073170731709</v>
      </c>
      <c r="S1828">
        <f t="shared" si="85"/>
        <v>1</v>
      </c>
      <c r="T1828">
        <f>IF(AND(S1828&gt;1,COUNTIF($A$2:A1828,A1828)=1),1,0)</f>
        <v>0</v>
      </c>
      <c r="U1828">
        <f>COUNTIF(Customers!$A$2:$A$301,C1828)</f>
        <v>1</v>
      </c>
      <c r="V1828">
        <f t="shared" si="86"/>
        <v>0</v>
      </c>
    </row>
    <row r="1829" spans="1:22" ht="14.25" customHeight="1" x14ac:dyDescent="0.35">
      <c r="A1829" s="10" t="s">
        <v>2290</v>
      </c>
      <c r="B1829" s="11">
        <v>45500</v>
      </c>
      <c r="C1829" s="10" t="s">
        <v>1322</v>
      </c>
      <c r="D1829" s="10" t="s">
        <v>201</v>
      </c>
      <c r="E1829" s="10" t="s">
        <v>112</v>
      </c>
      <c r="F1829" s="12">
        <v>6</v>
      </c>
      <c r="G1829" s="12">
        <v>3640</v>
      </c>
      <c r="H1829" s="12">
        <v>14</v>
      </c>
      <c r="I1829" s="12">
        <v>18782.400000000001</v>
      </c>
      <c r="J1829" s="10" t="s">
        <v>51</v>
      </c>
      <c r="K1829" s="10" t="s">
        <v>76</v>
      </c>
      <c r="L1829" t="str">
        <f>IFERROR(VLOOKUP(D1829,Products!A:F,3,0),"")</f>
        <v>Apparel</v>
      </c>
      <c r="M1829" t="str">
        <f>IFERROR(VLOOKUP(E1829,Sales_Reps!A:E,3,0),"")</f>
        <v>North</v>
      </c>
      <c r="N1829" t="str">
        <f>IFERROR(VLOOKUP(C1829,Customers!A:F,5,0),"")</f>
        <v>Corporate</v>
      </c>
      <c r="O1829">
        <f>IFERROR(VLOOKUP(C1829,Customers!A:F,3,0),"")</f>
        <v>42</v>
      </c>
      <c r="P1829">
        <f>IFERROR(VLOOKUP(D1829,Products!A:F,4,0),"")</f>
        <v>2611</v>
      </c>
      <c r="Q1829" t="b">
        <f>IFERROR(VLOOKUP(D1829,Products!A:F,6,0),"")</f>
        <v>1</v>
      </c>
      <c r="R1829">
        <f t="shared" si="84"/>
        <v>0.28269230769230769</v>
      </c>
      <c r="S1829">
        <f t="shared" si="85"/>
        <v>1</v>
      </c>
      <c r="T1829">
        <f>IF(AND(S1829&gt;1,COUNTIF($A$2:A1829,A1829)=1),1,0)</f>
        <v>0</v>
      </c>
      <c r="U1829">
        <f>COUNTIF(Customers!$A$2:$A$301,C1829)</f>
        <v>1</v>
      </c>
      <c r="V1829">
        <f t="shared" si="86"/>
        <v>0</v>
      </c>
    </row>
    <row r="1830" spans="1:22" ht="14.25" customHeight="1" x14ac:dyDescent="0.35">
      <c r="A1830" s="10" t="s">
        <v>2291</v>
      </c>
      <c r="B1830" s="11">
        <v>45370</v>
      </c>
      <c r="C1830" s="10" t="s">
        <v>124</v>
      </c>
      <c r="D1830" s="10" t="s">
        <v>66</v>
      </c>
      <c r="E1830" s="10" t="s">
        <v>85</v>
      </c>
      <c r="F1830" s="12">
        <v>5</v>
      </c>
      <c r="G1830" s="12">
        <v>3660</v>
      </c>
      <c r="H1830" s="12">
        <v>28.7</v>
      </c>
      <c r="I1830" s="12">
        <v>13047.9</v>
      </c>
      <c r="J1830" s="10" t="s">
        <v>51</v>
      </c>
      <c r="K1830" s="10" t="s">
        <v>76</v>
      </c>
      <c r="L1830" t="str">
        <f>IFERROR(VLOOKUP(D1830,Products!A:F,3,0),"")</f>
        <v>Grocery</v>
      </c>
      <c r="M1830" t="str">
        <f>IFERROR(VLOOKUP(E1830,Sales_Reps!A:E,3,0),"")</f>
        <v>East</v>
      </c>
      <c r="N1830" t="str">
        <f>IFERROR(VLOOKUP(C1830,Customers!A:F,5,0),"")</f>
        <v>Retail</v>
      </c>
      <c r="O1830">
        <f>IFERROR(VLOOKUP(C1830,Customers!A:F,3,0),"")</f>
        <v>54</v>
      </c>
      <c r="P1830">
        <f>IFERROR(VLOOKUP(D1830,Products!A:F,4,0),"")</f>
        <v>2214</v>
      </c>
      <c r="Q1830" t="b">
        <f>IFERROR(VLOOKUP(D1830,Products!A:F,6,0),"")</f>
        <v>0</v>
      </c>
      <c r="R1830">
        <f t="shared" si="84"/>
        <v>0.39508196721311473</v>
      </c>
      <c r="S1830">
        <f t="shared" si="85"/>
        <v>1</v>
      </c>
      <c r="T1830">
        <f>IF(AND(S1830&gt;1,COUNTIF($A$2:A1830,A1830)=1),1,0)</f>
        <v>0</v>
      </c>
      <c r="U1830">
        <f>COUNTIF(Customers!$A$2:$A$301,C1830)</f>
        <v>1</v>
      </c>
      <c r="V1830">
        <f t="shared" si="86"/>
        <v>0</v>
      </c>
    </row>
    <row r="1831" spans="1:22" ht="14.25" customHeight="1" x14ac:dyDescent="0.35">
      <c r="A1831" s="10" t="s">
        <v>2292</v>
      </c>
      <c r="B1831" s="11">
        <v>45521</v>
      </c>
      <c r="C1831" s="10" t="s">
        <v>197</v>
      </c>
      <c r="D1831" s="10" t="s">
        <v>159</v>
      </c>
      <c r="E1831" s="10" t="s">
        <v>134</v>
      </c>
      <c r="F1831" s="12">
        <v>2</v>
      </c>
      <c r="G1831" s="12">
        <v>2860</v>
      </c>
      <c r="H1831" s="12">
        <v>21.1</v>
      </c>
      <c r="I1831" s="12">
        <v>4513.08</v>
      </c>
      <c r="J1831" s="10" t="s">
        <v>51</v>
      </c>
      <c r="K1831" s="10" t="s">
        <v>52</v>
      </c>
      <c r="L1831" t="str">
        <f>IFERROR(VLOOKUP(D1831,Products!A:F,3,0),"")</f>
        <v>Sports</v>
      </c>
      <c r="M1831" t="str">
        <f>IFERROR(VLOOKUP(E1831,Sales_Reps!A:E,3,0),"")</f>
        <v>West</v>
      </c>
      <c r="N1831" t="str">
        <f>IFERROR(VLOOKUP(C1831,Customers!A:F,5,0),"")</f>
        <v>SMB</v>
      </c>
      <c r="O1831">
        <f>IFERROR(VLOOKUP(C1831,Customers!A:F,3,0),"")</f>
        <v>29</v>
      </c>
      <c r="P1831">
        <f>IFERROR(VLOOKUP(D1831,Products!A:F,4,0),"")</f>
        <v>2028</v>
      </c>
      <c r="Q1831" t="b">
        <f>IFERROR(VLOOKUP(D1831,Products!A:F,6,0),"")</f>
        <v>1</v>
      </c>
      <c r="R1831">
        <f t="shared" si="84"/>
        <v>0.29090909090909089</v>
      </c>
      <c r="S1831">
        <f t="shared" si="85"/>
        <v>1</v>
      </c>
      <c r="T1831">
        <f>IF(AND(S1831&gt;1,COUNTIF($A$2:A1831,A1831)=1),1,0)</f>
        <v>0</v>
      </c>
      <c r="U1831">
        <f>COUNTIF(Customers!$A$2:$A$301,C1831)</f>
        <v>1</v>
      </c>
      <c r="V1831">
        <f t="shared" si="86"/>
        <v>0</v>
      </c>
    </row>
    <row r="1832" spans="1:22" ht="14.25" customHeight="1" x14ac:dyDescent="0.35">
      <c r="A1832" s="10" t="s">
        <v>2293</v>
      </c>
      <c r="B1832" s="11">
        <v>45481</v>
      </c>
      <c r="C1832" s="10" t="s">
        <v>602</v>
      </c>
      <c r="D1832" s="10" t="s">
        <v>137</v>
      </c>
      <c r="E1832" s="10" t="s">
        <v>85</v>
      </c>
      <c r="F1832" s="12">
        <v>1</v>
      </c>
      <c r="G1832" s="12">
        <v>2720</v>
      </c>
      <c r="H1832" s="12">
        <v>22.1</v>
      </c>
      <c r="I1832" s="12">
        <v>2118.88</v>
      </c>
      <c r="J1832" s="10" t="s">
        <v>51</v>
      </c>
      <c r="K1832" s="10" t="s">
        <v>63</v>
      </c>
      <c r="L1832" t="str">
        <f>IFERROR(VLOOKUP(D1832,Products!A:F,3,0),"")</f>
        <v>Apparel</v>
      </c>
      <c r="M1832" t="str">
        <f>IFERROR(VLOOKUP(E1832,Sales_Reps!A:E,3,0),"")</f>
        <v>East</v>
      </c>
      <c r="N1832" t="str">
        <f>IFERROR(VLOOKUP(C1832,Customers!A:F,5,0),"")</f>
        <v>Retail</v>
      </c>
      <c r="O1832">
        <f>IFERROR(VLOOKUP(C1832,Customers!A:F,3,0),"")</f>
        <v>43</v>
      </c>
      <c r="P1832">
        <f>IFERROR(VLOOKUP(D1832,Products!A:F,4,0),"")</f>
        <v>1962</v>
      </c>
      <c r="Q1832" t="b">
        <f>IFERROR(VLOOKUP(D1832,Products!A:F,6,0),"")</f>
        <v>1</v>
      </c>
      <c r="R1832">
        <f t="shared" si="84"/>
        <v>0.2786764705882353</v>
      </c>
      <c r="S1832">
        <f t="shared" si="85"/>
        <v>1</v>
      </c>
      <c r="T1832">
        <f>IF(AND(S1832&gt;1,COUNTIF($A$2:A1832,A1832)=1),1,0)</f>
        <v>0</v>
      </c>
      <c r="U1832">
        <f>COUNTIF(Customers!$A$2:$A$301,C1832)</f>
        <v>1</v>
      </c>
      <c r="V1832">
        <f t="shared" si="86"/>
        <v>0</v>
      </c>
    </row>
    <row r="1833" spans="1:22" ht="14.25" customHeight="1" x14ac:dyDescent="0.35">
      <c r="A1833" s="10" t="s">
        <v>2294</v>
      </c>
      <c r="B1833" s="11">
        <v>45633</v>
      </c>
      <c r="C1833" s="10" t="s">
        <v>859</v>
      </c>
      <c r="D1833" s="10" t="s">
        <v>159</v>
      </c>
      <c r="E1833" s="10" t="s">
        <v>103</v>
      </c>
      <c r="F1833" s="12">
        <v>6</v>
      </c>
      <c r="G1833" s="12">
        <v>2860</v>
      </c>
      <c r="H1833" s="12">
        <v>10.5</v>
      </c>
      <c r="I1833" s="12">
        <v>15358.2</v>
      </c>
      <c r="J1833" s="10" t="s">
        <v>104</v>
      </c>
      <c r="K1833" s="10" t="s">
        <v>81</v>
      </c>
      <c r="L1833" t="str">
        <f>IFERROR(VLOOKUP(D1833,Products!A:F,3,0),"")</f>
        <v>Sports</v>
      </c>
      <c r="M1833" t="str">
        <f>IFERROR(VLOOKUP(E1833,Sales_Reps!A:E,3,0),"")</f>
        <v>North</v>
      </c>
      <c r="N1833" t="str">
        <f>IFERROR(VLOOKUP(C1833,Customers!A:F,5,0),"")</f>
        <v>Retail</v>
      </c>
      <c r="O1833">
        <f>IFERROR(VLOOKUP(C1833,Customers!A:F,3,0),"")</f>
        <v>46</v>
      </c>
      <c r="P1833">
        <f>IFERROR(VLOOKUP(D1833,Products!A:F,4,0),"")</f>
        <v>2028</v>
      </c>
      <c r="Q1833" t="b">
        <f>IFERROR(VLOOKUP(D1833,Products!A:F,6,0),"")</f>
        <v>1</v>
      </c>
      <c r="R1833">
        <f t="shared" si="84"/>
        <v>0.29090909090909089</v>
      </c>
      <c r="S1833">
        <f t="shared" si="85"/>
        <v>1</v>
      </c>
      <c r="T1833">
        <f>IF(AND(S1833&gt;1,COUNTIF($A$2:A1833,A1833)=1),1,0)</f>
        <v>0</v>
      </c>
      <c r="U1833">
        <f>COUNTIF(Customers!$A$2:$A$301,C1833)</f>
        <v>1</v>
      </c>
      <c r="V1833">
        <f t="shared" si="86"/>
        <v>0</v>
      </c>
    </row>
    <row r="1834" spans="1:22" ht="14.25" customHeight="1" x14ac:dyDescent="0.35">
      <c r="A1834" s="10" t="s">
        <v>2295</v>
      </c>
      <c r="B1834" s="11">
        <v>45305</v>
      </c>
      <c r="C1834" s="10" t="s">
        <v>519</v>
      </c>
      <c r="D1834" s="10" t="s">
        <v>319</v>
      </c>
      <c r="E1834" s="10" t="s">
        <v>156</v>
      </c>
      <c r="F1834" s="12">
        <v>1</v>
      </c>
      <c r="G1834" s="12">
        <v>2510</v>
      </c>
      <c r="H1834" s="12">
        <v>12</v>
      </c>
      <c r="I1834" s="12">
        <v>2208.8000000000002</v>
      </c>
      <c r="J1834" s="10" t="s">
        <v>51</v>
      </c>
      <c r="K1834" s="10" t="s">
        <v>76</v>
      </c>
      <c r="L1834" t="str">
        <f>IFERROR(VLOOKUP(D1834,Products!A:F,3,0),"")</f>
        <v>Apparel</v>
      </c>
      <c r="M1834" t="str">
        <f>IFERROR(VLOOKUP(E1834,Sales_Reps!A:E,3,0),"")</f>
        <v>East</v>
      </c>
      <c r="N1834" t="str">
        <f>IFERROR(VLOOKUP(C1834,Customers!A:F,5,0),"")</f>
        <v>Retail</v>
      </c>
      <c r="O1834">
        <f>IFERROR(VLOOKUP(C1834,Customers!A:F,3,0),"")</f>
        <v>37</v>
      </c>
      <c r="P1834">
        <f>IFERROR(VLOOKUP(D1834,Products!A:F,4,0),"")</f>
        <v>1075</v>
      </c>
      <c r="Q1834" t="b">
        <f>IFERROR(VLOOKUP(D1834,Products!A:F,6,0),"")</f>
        <v>0</v>
      </c>
      <c r="R1834">
        <f t="shared" si="84"/>
        <v>0.57171314741035861</v>
      </c>
      <c r="S1834">
        <f t="shared" si="85"/>
        <v>1</v>
      </c>
      <c r="T1834">
        <f>IF(AND(S1834&gt;1,COUNTIF($A$2:A1834,A1834)=1),1,0)</f>
        <v>0</v>
      </c>
      <c r="U1834">
        <f>COUNTIF(Customers!$A$2:$A$301,C1834)</f>
        <v>1</v>
      </c>
      <c r="V1834">
        <f t="shared" si="86"/>
        <v>0</v>
      </c>
    </row>
    <row r="1835" spans="1:22" ht="14.25" customHeight="1" x14ac:dyDescent="0.35">
      <c r="A1835" s="10" t="s">
        <v>2296</v>
      </c>
      <c r="B1835" s="11">
        <v>45593</v>
      </c>
      <c r="C1835" s="10" t="s">
        <v>546</v>
      </c>
      <c r="D1835" s="10" t="s">
        <v>319</v>
      </c>
      <c r="E1835" s="10" t="s">
        <v>156</v>
      </c>
      <c r="F1835" s="12">
        <v>4</v>
      </c>
      <c r="G1835" s="12">
        <v>2510</v>
      </c>
      <c r="H1835" s="12">
        <v>23.2</v>
      </c>
      <c r="I1835" s="12">
        <v>7710.72</v>
      </c>
      <c r="J1835" s="10" t="s">
        <v>51</v>
      </c>
      <c r="K1835" s="10" t="s">
        <v>58</v>
      </c>
      <c r="L1835" t="str">
        <f>IFERROR(VLOOKUP(D1835,Products!A:F,3,0),"")</f>
        <v>Apparel</v>
      </c>
      <c r="M1835" t="str">
        <f>IFERROR(VLOOKUP(E1835,Sales_Reps!A:E,3,0),"")</f>
        <v>East</v>
      </c>
      <c r="N1835" t="str">
        <f>IFERROR(VLOOKUP(C1835,Customers!A:F,5,0),"")</f>
        <v>SMB</v>
      </c>
      <c r="O1835">
        <f>IFERROR(VLOOKUP(C1835,Customers!A:F,3,0),"")</f>
        <v>59</v>
      </c>
      <c r="P1835">
        <f>IFERROR(VLOOKUP(D1835,Products!A:F,4,0),"")</f>
        <v>1075</v>
      </c>
      <c r="Q1835" t="b">
        <f>IFERROR(VLOOKUP(D1835,Products!A:F,6,0),"")</f>
        <v>0</v>
      </c>
      <c r="R1835">
        <f t="shared" si="84"/>
        <v>0.57171314741035861</v>
      </c>
      <c r="S1835">
        <f t="shared" si="85"/>
        <v>1</v>
      </c>
      <c r="T1835">
        <f>IF(AND(S1835&gt;1,COUNTIF($A$2:A1835,A1835)=1),1,0)</f>
        <v>0</v>
      </c>
      <c r="U1835">
        <f>COUNTIF(Customers!$A$2:$A$301,C1835)</f>
        <v>1</v>
      </c>
      <c r="V1835">
        <f t="shared" si="86"/>
        <v>0</v>
      </c>
    </row>
    <row r="1836" spans="1:22" ht="14.25" customHeight="1" x14ac:dyDescent="0.35">
      <c r="A1836" s="10" t="s">
        <v>2297</v>
      </c>
      <c r="B1836" s="11">
        <v>45555</v>
      </c>
      <c r="C1836" s="10" t="s">
        <v>1029</v>
      </c>
      <c r="D1836" s="10" t="s">
        <v>344</v>
      </c>
      <c r="E1836" s="10" t="s">
        <v>56</v>
      </c>
      <c r="F1836" s="12">
        <v>8</v>
      </c>
      <c r="G1836" s="12">
        <v>960</v>
      </c>
      <c r="H1836" s="12">
        <v>20.3</v>
      </c>
      <c r="I1836" s="12">
        <v>6120.96</v>
      </c>
      <c r="J1836" s="10" t="s">
        <v>57</v>
      </c>
      <c r="K1836" s="10" t="s">
        <v>58</v>
      </c>
      <c r="L1836" t="str">
        <f>IFERROR(VLOOKUP(D1836,Products!A:F,3,0),"")</f>
        <v>Beauty</v>
      </c>
      <c r="M1836" t="str">
        <f>IFERROR(VLOOKUP(E1836,Sales_Reps!A:E,3,0),"")</f>
        <v>North</v>
      </c>
      <c r="N1836" t="str">
        <f>IFERROR(VLOOKUP(C1836,Customers!A:F,5,0),"")</f>
        <v>Retail</v>
      </c>
      <c r="O1836">
        <f>IFERROR(VLOOKUP(C1836,Customers!A:F,3,0),"")</f>
        <v>49</v>
      </c>
      <c r="P1836">
        <f>IFERROR(VLOOKUP(D1836,Products!A:F,4,0),"")</f>
        <v>675</v>
      </c>
      <c r="Q1836" t="b">
        <f>IFERROR(VLOOKUP(D1836,Products!A:F,6,0),"")</f>
        <v>1</v>
      </c>
      <c r="R1836">
        <f t="shared" si="84"/>
        <v>0.296875</v>
      </c>
      <c r="S1836">
        <f t="shared" si="85"/>
        <v>1</v>
      </c>
      <c r="T1836">
        <f>IF(AND(S1836&gt;1,COUNTIF($A$2:A1836,A1836)=1),1,0)</f>
        <v>0</v>
      </c>
      <c r="U1836">
        <f>COUNTIF(Customers!$A$2:$A$301,C1836)</f>
        <v>1</v>
      </c>
      <c r="V1836">
        <f t="shared" si="86"/>
        <v>0</v>
      </c>
    </row>
    <row r="1837" spans="1:22" ht="14.25" customHeight="1" x14ac:dyDescent="0.35">
      <c r="A1837" s="10" t="s">
        <v>2298</v>
      </c>
      <c r="B1837" s="11">
        <v>45406</v>
      </c>
      <c r="C1837" s="10" t="s">
        <v>2017</v>
      </c>
      <c r="D1837" s="10" t="s">
        <v>88</v>
      </c>
      <c r="E1837" s="10" t="s">
        <v>96</v>
      </c>
      <c r="F1837" s="12">
        <v>3</v>
      </c>
      <c r="G1837" s="12">
        <v>5490</v>
      </c>
      <c r="H1837" s="12">
        <v>25.2</v>
      </c>
      <c r="I1837" s="12">
        <v>12319.56</v>
      </c>
      <c r="J1837" s="10" t="s">
        <v>51</v>
      </c>
      <c r="K1837" s="10" t="s">
        <v>97</v>
      </c>
      <c r="L1837" t="str">
        <f>IFERROR(VLOOKUP(D1837,Products!A:F,3,0),"")</f>
        <v>Home</v>
      </c>
      <c r="M1837" t="str">
        <f>IFERROR(VLOOKUP(E1837,Sales_Reps!A:E,3,0),"")</f>
        <v>South</v>
      </c>
      <c r="N1837" t="str">
        <f>IFERROR(VLOOKUP(C1837,Customers!A:F,5,0),"")</f>
        <v>SMB</v>
      </c>
      <c r="O1837">
        <f>IFERROR(VLOOKUP(C1837,Customers!A:F,3,0),"")</f>
        <v>39</v>
      </c>
      <c r="P1837">
        <f>IFERROR(VLOOKUP(D1837,Products!A:F,4,0),"")</f>
        <v>2549</v>
      </c>
      <c r="Q1837" t="b">
        <f>IFERROR(VLOOKUP(D1837,Products!A:F,6,0),"")</f>
        <v>1</v>
      </c>
      <c r="R1837">
        <f t="shared" si="84"/>
        <v>0.53570127504553733</v>
      </c>
      <c r="S1837">
        <f t="shared" si="85"/>
        <v>1</v>
      </c>
      <c r="T1837">
        <f>IF(AND(S1837&gt;1,COUNTIF($A$2:A1837,A1837)=1),1,0)</f>
        <v>0</v>
      </c>
      <c r="U1837">
        <f>COUNTIF(Customers!$A$2:$A$301,C1837)</f>
        <v>1</v>
      </c>
      <c r="V1837">
        <f t="shared" si="86"/>
        <v>0</v>
      </c>
    </row>
    <row r="1838" spans="1:22" ht="14.25" customHeight="1" x14ac:dyDescent="0.35">
      <c r="A1838" s="10" t="s">
        <v>2299</v>
      </c>
      <c r="B1838" s="11">
        <v>45647</v>
      </c>
      <c r="C1838" s="10" t="s">
        <v>909</v>
      </c>
      <c r="D1838" s="10" t="s">
        <v>319</v>
      </c>
      <c r="E1838" s="10" t="s">
        <v>67</v>
      </c>
      <c r="F1838" s="12">
        <v>2</v>
      </c>
      <c r="G1838" s="12">
        <v>2510</v>
      </c>
      <c r="H1838" s="12">
        <v>28.2</v>
      </c>
      <c r="I1838" s="12">
        <v>3604.36</v>
      </c>
      <c r="J1838" s="10" t="s">
        <v>51</v>
      </c>
      <c r="K1838" s="10" t="s">
        <v>52</v>
      </c>
      <c r="L1838" t="str">
        <f>IFERROR(VLOOKUP(D1838,Products!A:F,3,0),"")</f>
        <v>Apparel</v>
      </c>
      <c r="M1838" t="str">
        <f>IFERROR(VLOOKUP(E1838,Sales_Reps!A:E,3,0),"")</f>
        <v>North</v>
      </c>
      <c r="N1838" t="str">
        <f>IFERROR(VLOOKUP(C1838,Customers!A:F,5,0),"")</f>
        <v>Retail</v>
      </c>
      <c r="O1838">
        <f>IFERROR(VLOOKUP(C1838,Customers!A:F,3,0),"")</f>
        <v>54</v>
      </c>
      <c r="P1838">
        <f>IFERROR(VLOOKUP(D1838,Products!A:F,4,0),"")</f>
        <v>1075</v>
      </c>
      <c r="Q1838" t="b">
        <f>IFERROR(VLOOKUP(D1838,Products!A:F,6,0),"")</f>
        <v>0</v>
      </c>
      <c r="R1838">
        <f t="shared" si="84"/>
        <v>0.57171314741035861</v>
      </c>
      <c r="S1838">
        <f t="shared" si="85"/>
        <v>1</v>
      </c>
      <c r="T1838">
        <f>IF(AND(S1838&gt;1,COUNTIF($A$2:A1838,A1838)=1),1,0)</f>
        <v>0</v>
      </c>
      <c r="U1838">
        <f>COUNTIF(Customers!$A$2:$A$301,C1838)</f>
        <v>1</v>
      </c>
      <c r="V1838">
        <f t="shared" si="86"/>
        <v>0</v>
      </c>
    </row>
    <row r="1839" spans="1:22" ht="14.25" customHeight="1" x14ac:dyDescent="0.35">
      <c r="A1839" s="10" t="s">
        <v>2300</v>
      </c>
      <c r="B1839" s="11">
        <v>45386</v>
      </c>
      <c r="C1839" s="10" t="s">
        <v>761</v>
      </c>
      <c r="D1839" s="10" t="s">
        <v>55</v>
      </c>
      <c r="E1839" s="10" t="s">
        <v>237</v>
      </c>
      <c r="F1839" s="12">
        <v>1</v>
      </c>
      <c r="G1839" s="12">
        <v>820</v>
      </c>
      <c r="H1839" s="12">
        <v>4.7</v>
      </c>
      <c r="I1839" s="12">
        <v>781.46</v>
      </c>
      <c r="J1839" s="10" t="s">
        <v>51</v>
      </c>
      <c r="K1839" s="10" t="s">
        <v>63</v>
      </c>
      <c r="L1839" t="str">
        <f>IFERROR(VLOOKUP(D1839,Products!A:F,3,0),"")</f>
        <v>Apparel</v>
      </c>
      <c r="M1839" t="str">
        <f>IFERROR(VLOOKUP(E1839,Sales_Reps!A:E,3,0),"")</f>
        <v>South</v>
      </c>
      <c r="N1839" t="str">
        <f>IFERROR(VLOOKUP(C1839,Customers!A:F,5,0),"")</f>
        <v>Retail</v>
      </c>
      <c r="O1839">
        <f>IFERROR(VLOOKUP(C1839,Customers!A:F,3,0),"")</f>
        <v>63</v>
      </c>
      <c r="P1839">
        <f>IFERROR(VLOOKUP(D1839,Products!A:F,4,0),"")</f>
        <v>391</v>
      </c>
      <c r="Q1839" t="b">
        <f>IFERROR(VLOOKUP(D1839,Products!A:F,6,0),"")</f>
        <v>1</v>
      </c>
      <c r="R1839">
        <f t="shared" si="84"/>
        <v>0.52317073170731709</v>
      </c>
      <c r="S1839">
        <f t="shared" si="85"/>
        <v>1</v>
      </c>
      <c r="T1839">
        <f>IF(AND(S1839&gt;1,COUNTIF($A$2:A1839,A1839)=1),1,0)</f>
        <v>0</v>
      </c>
      <c r="U1839">
        <f>COUNTIF(Customers!$A$2:$A$301,C1839)</f>
        <v>1</v>
      </c>
      <c r="V1839">
        <f t="shared" si="86"/>
        <v>0</v>
      </c>
    </row>
    <row r="1840" spans="1:22" ht="14.25" customHeight="1" x14ac:dyDescent="0.35">
      <c r="A1840" s="10" t="s">
        <v>2301</v>
      </c>
      <c r="B1840" s="11">
        <v>45453</v>
      </c>
      <c r="C1840" s="10" t="s">
        <v>314</v>
      </c>
      <c r="D1840" s="10" t="s">
        <v>246</v>
      </c>
      <c r="E1840" s="10" t="s">
        <v>267</v>
      </c>
      <c r="F1840" s="12">
        <v>6</v>
      </c>
      <c r="G1840" s="12">
        <v>300</v>
      </c>
      <c r="H1840" s="12">
        <v>13.3</v>
      </c>
      <c r="I1840" s="12">
        <v>1560.6</v>
      </c>
      <c r="J1840" s="10" t="s">
        <v>51</v>
      </c>
      <c r="K1840" s="10" t="s">
        <v>76</v>
      </c>
      <c r="L1840" t="str">
        <f>IFERROR(VLOOKUP(D1840,Products!A:F,3,0),"")</f>
        <v>Electronics</v>
      </c>
      <c r="M1840" t="str">
        <f>IFERROR(VLOOKUP(E1840,Sales_Reps!A:E,3,0),"")</f>
        <v>East</v>
      </c>
      <c r="N1840" t="str">
        <f>IFERROR(VLOOKUP(C1840,Customers!A:F,5,0),"")</f>
        <v>SMB</v>
      </c>
      <c r="O1840">
        <f>IFERROR(VLOOKUP(C1840,Customers!A:F,3,0),"")</f>
        <v>22</v>
      </c>
      <c r="P1840">
        <f>IFERROR(VLOOKUP(D1840,Products!A:F,4,0),"")</f>
        <v>128</v>
      </c>
      <c r="Q1840" t="b">
        <f>IFERROR(VLOOKUP(D1840,Products!A:F,6,0),"")</f>
        <v>1</v>
      </c>
      <c r="R1840">
        <f t="shared" si="84"/>
        <v>0.57333333333333336</v>
      </c>
      <c r="S1840">
        <f t="shared" si="85"/>
        <v>1</v>
      </c>
      <c r="T1840">
        <f>IF(AND(S1840&gt;1,COUNTIF($A$2:A1840,A1840)=1),1,0)</f>
        <v>0</v>
      </c>
      <c r="U1840">
        <f>COUNTIF(Customers!$A$2:$A$301,C1840)</f>
        <v>1</v>
      </c>
      <c r="V1840">
        <f t="shared" si="86"/>
        <v>0</v>
      </c>
    </row>
    <row r="1841" spans="1:22" ht="14.25" customHeight="1" x14ac:dyDescent="0.35">
      <c r="A1841" s="10" t="s">
        <v>2302</v>
      </c>
      <c r="B1841" s="11">
        <v>45492</v>
      </c>
      <c r="C1841" s="10" t="s">
        <v>69</v>
      </c>
      <c r="D1841" s="10" t="s">
        <v>143</v>
      </c>
      <c r="E1841" s="10" t="s">
        <v>310</v>
      </c>
      <c r="F1841" s="12">
        <v>4</v>
      </c>
      <c r="G1841" s="12">
        <v>3350</v>
      </c>
      <c r="H1841" s="12">
        <v>5.8</v>
      </c>
      <c r="I1841" s="12">
        <v>12622.8</v>
      </c>
      <c r="J1841" s="10" t="s">
        <v>57</v>
      </c>
      <c r="K1841" s="10" t="s">
        <v>58</v>
      </c>
      <c r="L1841" t="str">
        <f>IFERROR(VLOOKUP(D1841,Products!A:F,3,0),"")</f>
        <v>Beauty</v>
      </c>
      <c r="M1841" t="str">
        <f>IFERROR(VLOOKUP(E1841,Sales_Reps!A:E,3,0),"")</f>
        <v>South</v>
      </c>
      <c r="N1841" t="str">
        <f>IFERROR(VLOOKUP(C1841,Customers!A:F,5,0),"")</f>
        <v>Retail</v>
      </c>
      <c r="O1841">
        <f>IFERROR(VLOOKUP(C1841,Customers!A:F,3,0),"")</f>
        <v>36</v>
      </c>
      <c r="P1841">
        <f>IFERROR(VLOOKUP(D1841,Products!A:F,4,0),"")</f>
        <v>1728</v>
      </c>
      <c r="Q1841" t="b">
        <f>IFERROR(VLOOKUP(D1841,Products!A:F,6,0),"")</f>
        <v>1</v>
      </c>
      <c r="R1841">
        <f t="shared" si="84"/>
        <v>0.48417910447761192</v>
      </c>
      <c r="S1841">
        <f t="shared" si="85"/>
        <v>1</v>
      </c>
      <c r="T1841">
        <f>IF(AND(S1841&gt;1,COUNTIF($A$2:A1841,A1841)=1),1,0)</f>
        <v>0</v>
      </c>
      <c r="U1841">
        <f>COUNTIF(Customers!$A$2:$A$301,C1841)</f>
        <v>1</v>
      </c>
      <c r="V1841">
        <f t="shared" si="86"/>
        <v>0</v>
      </c>
    </row>
    <row r="1842" spans="1:22" ht="14.25" customHeight="1" x14ac:dyDescent="0.35">
      <c r="A1842" s="10" t="s">
        <v>2303</v>
      </c>
      <c r="B1842" s="11">
        <v>45605</v>
      </c>
      <c r="C1842" s="10" t="s">
        <v>1780</v>
      </c>
      <c r="D1842" s="10" t="s">
        <v>107</v>
      </c>
      <c r="E1842" s="10" t="s">
        <v>75</v>
      </c>
      <c r="F1842" s="12">
        <v>3</v>
      </c>
      <c r="G1842" s="12">
        <v>3250</v>
      </c>
      <c r="H1842" s="12">
        <v>19.600000000000001</v>
      </c>
      <c r="I1842" s="12">
        <v>7839</v>
      </c>
      <c r="J1842" s="10" t="s">
        <v>57</v>
      </c>
      <c r="K1842" s="10" t="s">
        <v>63</v>
      </c>
      <c r="L1842" t="str">
        <f>IFERROR(VLOOKUP(D1842,Products!A:F,3,0),"")</f>
        <v>Home</v>
      </c>
      <c r="M1842" t="str">
        <f>IFERROR(VLOOKUP(E1842,Sales_Reps!A:E,3,0),"")</f>
        <v>West</v>
      </c>
      <c r="N1842" t="str">
        <f>IFERROR(VLOOKUP(C1842,Customers!A:F,5,0),"")</f>
        <v>Retail</v>
      </c>
      <c r="O1842">
        <f>IFERROR(VLOOKUP(C1842,Customers!A:F,3,0),"")</f>
        <v>62</v>
      </c>
      <c r="P1842">
        <f>IFERROR(VLOOKUP(D1842,Products!A:F,4,0),"")</f>
        <v>1556</v>
      </c>
      <c r="Q1842" t="b">
        <f>IFERROR(VLOOKUP(D1842,Products!A:F,6,0),"")</f>
        <v>1</v>
      </c>
      <c r="R1842">
        <f t="shared" si="84"/>
        <v>0.52123076923076928</v>
      </c>
      <c r="S1842">
        <f t="shared" si="85"/>
        <v>1</v>
      </c>
      <c r="T1842">
        <f>IF(AND(S1842&gt;1,COUNTIF($A$2:A1842,A1842)=1),1,0)</f>
        <v>0</v>
      </c>
      <c r="U1842">
        <f>COUNTIF(Customers!$A$2:$A$301,C1842)</f>
        <v>1</v>
      </c>
      <c r="V1842">
        <f t="shared" si="86"/>
        <v>0</v>
      </c>
    </row>
    <row r="1843" spans="1:22" ht="14.25" customHeight="1" x14ac:dyDescent="0.35">
      <c r="A1843" s="10" t="s">
        <v>2304</v>
      </c>
      <c r="B1843" s="11">
        <v>45344</v>
      </c>
      <c r="C1843" s="10" t="s">
        <v>117</v>
      </c>
      <c r="D1843" s="10" t="s">
        <v>140</v>
      </c>
      <c r="E1843" s="10" t="s">
        <v>307</v>
      </c>
      <c r="F1843" s="12">
        <v>10</v>
      </c>
      <c r="G1843" s="12">
        <v>1650</v>
      </c>
      <c r="H1843" s="12">
        <v>22.5</v>
      </c>
      <c r="I1843" s="12">
        <v>12787.5</v>
      </c>
      <c r="J1843" s="10" t="s">
        <v>104</v>
      </c>
      <c r="K1843" s="10" t="s">
        <v>81</v>
      </c>
      <c r="L1843" t="str">
        <f>IFERROR(VLOOKUP(D1843,Products!A:F,3,0),"")</f>
        <v>Beauty</v>
      </c>
      <c r="M1843" t="str">
        <f>IFERROR(VLOOKUP(E1843,Sales_Reps!A:E,3,0),"")</f>
        <v>West</v>
      </c>
      <c r="N1843" t="str">
        <f>IFERROR(VLOOKUP(C1843,Customers!A:F,5,0),"")</f>
        <v>SMB</v>
      </c>
      <c r="O1843">
        <f>IFERROR(VLOOKUP(C1843,Customers!A:F,3,0),"")</f>
        <v>46</v>
      </c>
      <c r="P1843">
        <f>IFERROR(VLOOKUP(D1843,Products!A:F,4,0),"")</f>
        <v>1222</v>
      </c>
      <c r="Q1843" t="b">
        <f>IFERROR(VLOOKUP(D1843,Products!A:F,6,0),"")</f>
        <v>1</v>
      </c>
      <c r="R1843">
        <f t="shared" si="84"/>
        <v>0.2593939393939394</v>
      </c>
      <c r="S1843">
        <f t="shared" si="85"/>
        <v>1</v>
      </c>
      <c r="T1843">
        <f>IF(AND(S1843&gt;1,COUNTIF($A$2:A1843,A1843)=1),1,0)</f>
        <v>0</v>
      </c>
      <c r="U1843">
        <f>COUNTIF(Customers!$A$2:$A$301,C1843)</f>
        <v>1</v>
      </c>
      <c r="V1843">
        <f t="shared" si="86"/>
        <v>0</v>
      </c>
    </row>
    <row r="1844" spans="1:22" ht="14.25" customHeight="1" x14ac:dyDescent="0.35">
      <c r="A1844" s="10" t="s">
        <v>2305</v>
      </c>
      <c r="B1844" s="11">
        <v>45506</v>
      </c>
      <c r="C1844" s="10" t="s">
        <v>716</v>
      </c>
      <c r="D1844" s="10" t="s">
        <v>231</v>
      </c>
      <c r="E1844" s="10" t="s">
        <v>165</v>
      </c>
      <c r="F1844" s="12">
        <v>2</v>
      </c>
      <c r="G1844" s="12">
        <v>1220</v>
      </c>
      <c r="H1844" s="12">
        <v>10.5</v>
      </c>
      <c r="I1844" s="12">
        <v>2183.8000000000002</v>
      </c>
      <c r="J1844" s="10" t="s">
        <v>51</v>
      </c>
      <c r="K1844" s="10" t="s">
        <v>81</v>
      </c>
      <c r="L1844" t="str">
        <f>IFERROR(VLOOKUP(D1844,Products!A:F,3,0),"")</f>
        <v>Electronics</v>
      </c>
      <c r="M1844" t="str">
        <f>IFERROR(VLOOKUP(E1844,Sales_Reps!A:E,3,0),"")</f>
        <v>West</v>
      </c>
      <c r="N1844" t="str">
        <f>IFERROR(VLOOKUP(C1844,Customers!A:F,5,0),"")</f>
        <v>Retail</v>
      </c>
      <c r="O1844">
        <f>IFERROR(VLOOKUP(C1844,Customers!A:F,3,0),"")</f>
        <v>32</v>
      </c>
      <c r="P1844">
        <f>IFERROR(VLOOKUP(D1844,Products!A:F,4,0),"")</f>
        <v>517</v>
      </c>
      <c r="Q1844" t="b">
        <f>IFERROR(VLOOKUP(D1844,Products!A:F,6,0),"")</f>
        <v>1</v>
      </c>
      <c r="R1844">
        <f t="shared" si="84"/>
        <v>0.57622950819672136</v>
      </c>
      <c r="S1844">
        <f t="shared" si="85"/>
        <v>1</v>
      </c>
      <c r="T1844">
        <f>IF(AND(S1844&gt;1,COUNTIF($A$2:A1844,A1844)=1),1,0)</f>
        <v>0</v>
      </c>
      <c r="U1844">
        <f>COUNTIF(Customers!$A$2:$A$301,C1844)</f>
        <v>1</v>
      </c>
      <c r="V1844">
        <f t="shared" si="86"/>
        <v>0</v>
      </c>
    </row>
    <row r="1845" spans="1:22" ht="14.25" customHeight="1" x14ac:dyDescent="0.35">
      <c r="A1845" s="10" t="s">
        <v>2306</v>
      </c>
      <c r="B1845" s="11">
        <v>45521</v>
      </c>
      <c r="C1845" s="10" t="s">
        <v>276</v>
      </c>
      <c r="D1845" s="10" t="s">
        <v>344</v>
      </c>
      <c r="E1845" s="10" t="s">
        <v>165</v>
      </c>
      <c r="F1845" s="12">
        <v>7</v>
      </c>
      <c r="G1845" s="12">
        <v>960</v>
      </c>
      <c r="H1845" s="12">
        <v>5.4</v>
      </c>
      <c r="I1845" s="12">
        <v>6357.12</v>
      </c>
      <c r="J1845" s="10" t="s">
        <v>108</v>
      </c>
      <c r="K1845" s="10" t="s">
        <v>97</v>
      </c>
      <c r="L1845" t="str">
        <f>IFERROR(VLOOKUP(D1845,Products!A:F,3,0),"")</f>
        <v>Beauty</v>
      </c>
      <c r="M1845" t="str">
        <f>IFERROR(VLOOKUP(E1845,Sales_Reps!A:E,3,0),"")</f>
        <v>West</v>
      </c>
      <c r="N1845" t="str">
        <f>IFERROR(VLOOKUP(C1845,Customers!A:F,5,0),"")</f>
        <v>Retail</v>
      </c>
      <c r="O1845">
        <f>IFERROR(VLOOKUP(C1845,Customers!A:F,3,0),"")</f>
        <v>46</v>
      </c>
      <c r="P1845">
        <f>IFERROR(VLOOKUP(D1845,Products!A:F,4,0),"")</f>
        <v>675</v>
      </c>
      <c r="Q1845" t="b">
        <f>IFERROR(VLOOKUP(D1845,Products!A:F,6,0),"")</f>
        <v>1</v>
      </c>
      <c r="R1845">
        <f t="shared" si="84"/>
        <v>0.296875</v>
      </c>
      <c r="S1845">
        <f t="shared" si="85"/>
        <v>1</v>
      </c>
      <c r="T1845">
        <f>IF(AND(S1845&gt;1,COUNTIF($A$2:A1845,A1845)=1),1,0)</f>
        <v>0</v>
      </c>
      <c r="U1845">
        <f>COUNTIF(Customers!$A$2:$A$301,C1845)</f>
        <v>1</v>
      </c>
      <c r="V1845">
        <f t="shared" si="86"/>
        <v>0</v>
      </c>
    </row>
    <row r="1846" spans="1:22" ht="14.25" customHeight="1" x14ac:dyDescent="0.35">
      <c r="A1846" s="10" t="s">
        <v>2307</v>
      </c>
      <c r="B1846" s="11">
        <v>45389</v>
      </c>
      <c r="C1846" s="10" t="s">
        <v>869</v>
      </c>
      <c r="D1846" s="10" t="s">
        <v>148</v>
      </c>
      <c r="E1846" s="10" t="s">
        <v>62</v>
      </c>
      <c r="F1846" s="12">
        <v>3</v>
      </c>
      <c r="G1846" s="12">
        <v>4880</v>
      </c>
      <c r="H1846" s="12">
        <v>17.100000000000001</v>
      </c>
      <c r="I1846" s="12">
        <v>12136.56</v>
      </c>
      <c r="J1846" s="10" t="s">
        <v>51</v>
      </c>
      <c r="K1846" s="10" t="s">
        <v>76</v>
      </c>
      <c r="L1846" t="str">
        <f>IFERROR(VLOOKUP(D1846,Products!A:F,3,0),"")</f>
        <v>Beauty</v>
      </c>
      <c r="M1846" t="str">
        <f>IFERROR(VLOOKUP(E1846,Sales_Reps!A:E,3,0),"")</f>
        <v>South</v>
      </c>
      <c r="N1846" t="str">
        <f>IFERROR(VLOOKUP(C1846,Customers!A:F,5,0),"")</f>
        <v>SMB</v>
      </c>
      <c r="O1846">
        <f>IFERROR(VLOOKUP(C1846,Customers!A:F,3,0),"")</f>
        <v>43</v>
      </c>
      <c r="P1846">
        <f>IFERROR(VLOOKUP(D1846,Products!A:F,4,0),"")</f>
        <v>2768</v>
      </c>
      <c r="Q1846" t="b">
        <f>IFERROR(VLOOKUP(D1846,Products!A:F,6,0),"")</f>
        <v>1</v>
      </c>
      <c r="R1846">
        <f t="shared" si="84"/>
        <v>0.43278688524590164</v>
      </c>
      <c r="S1846">
        <f t="shared" si="85"/>
        <v>1</v>
      </c>
      <c r="T1846">
        <f>IF(AND(S1846&gt;1,COUNTIF($A$2:A1846,A1846)=1),1,0)</f>
        <v>0</v>
      </c>
      <c r="U1846">
        <f>COUNTIF(Customers!$A$2:$A$301,C1846)</f>
        <v>1</v>
      </c>
      <c r="V1846">
        <f t="shared" si="86"/>
        <v>0</v>
      </c>
    </row>
    <row r="1847" spans="1:22" ht="14.25" customHeight="1" x14ac:dyDescent="0.35">
      <c r="A1847" s="10" t="s">
        <v>2308</v>
      </c>
      <c r="B1847" s="11">
        <v>45390</v>
      </c>
      <c r="C1847" s="10" t="s">
        <v>546</v>
      </c>
      <c r="D1847" s="10" t="s">
        <v>95</v>
      </c>
      <c r="E1847" s="10" t="s">
        <v>92</v>
      </c>
      <c r="F1847" s="12">
        <v>5</v>
      </c>
      <c r="G1847" s="12">
        <v>2270</v>
      </c>
      <c r="H1847" s="12">
        <v>12.4</v>
      </c>
      <c r="I1847" s="12">
        <v>9942.6</v>
      </c>
      <c r="J1847" s="10" t="s">
        <v>51</v>
      </c>
      <c r="K1847" s="10" t="s">
        <v>58</v>
      </c>
      <c r="L1847" t="str">
        <f>IFERROR(VLOOKUP(D1847,Products!A:F,3,0),"")</f>
        <v>Grocery</v>
      </c>
      <c r="M1847" t="str">
        <f>IFERROR(VLOOKUP(E1847,Sales_Reps!A:E,3,0),"")</f>
        <v>West</v>
      </c>
      <c r="N1847" t="str">
        <f>IFERROR(VLOOKUP(C1847,Customers!A:F,5,0),"")</f>
        <v>SMB</v>
      </c>
      <c r="O1847">
        <f>IFERROR(VLOOKUP(C1847,Customers!A:F,3,0),"")</f>
        <v>59</v>
      </c>
      <c r="P1847">
        <f>IFERROR(VLOOKUP(D1847,Products!A:F,4,0),"")</f>
        <v>1203</v>
      </c>
      <c r="Q1847" t="b">
        <f>IFERROR(VLOOKUP(D1847,Products!A:F,6,0),"")</f>
        <v>1</v>
      </c>
      <c r="R1847">
        <f t="shared" si="84"/>
        <v>0.47004405286343615</v>
      </c>
      <c r="S1847">
        <f t="shared" si="85"/>
        <v>1</v>
      </c>
      <c r="T1847">
        <f>IF(AND(S1847&gt;1,COUNTIF($A$2:A1847,A1847)=1),1,0)</f>
        <v>0</v>
      </c>
      <c r="U1847">
        <f>COUNTIF(Customers!$A$2:$A$301,C1847)</f>
        <v>1</v>
      </c>
      <c r="V1847">
        <f t="shared" si="86"/>
        <v>0</v>
      </c>
    </row>
    <row r="1848" spans="1:22" ht="14.25" customHeight="1" x14ac:dyDescent="0.35">
      <c r="A1848" s="10" t="s">
        <v>2309</v>
      </c>
      <c r="B1848" s="11">
        <v>45413</v>
      </c>
      <c r="C1848" s="10" t="s">
        <v>577</v>
      </c>
      <c r="D1848" s="10" t="s">
        <v>466</v>
      </c>
      <c r="E1848" s="10" t="s">
        <v>92</v>
      </c>
      <c r="F1848" s="12">
        <v>1</v>
      </c>
      <c r="G1848" s="12">
        <v>1090</v>
      </c>
      <c r="H1848" s="12">
        <v>17.3</v>
      </c>
      <c r="I1848" s="12">
        <v>901.43</v>
      </c>
      <c r="J1848" s="10" t="s">
        <v>51</v>
      </c>
      <c r="K1848" s="10" t="s">
        <v>76</v>
      </c>
      <c r="L1848" t="str">
        <f>IFERROR(VLOOKUP(D1848,Products!A:F,3,0),"")</f>
        <v>Home</v>
      </c>
      <c r="M1848" t="str">
        <f>IFERROR(VLOOKUP(E1848,Sales_Reps!A:E,3,0),"")</f>
        <v>West</v>
      </c>
      <c r="N1848" t="str">
        <f>IFERROR(VLOOKUP(C1848,Customers!A:F,5,0),"")</f>
        <v>Retail</v>
      </c>
      <c r="O1848">
        <f>IFERROR(VLOOKUP(C1848,Customers!A:F,3,0),"")</f>
        <v>44</v>
      </c>
      <c r="P1848">
        <f>IFERROR(VLOOKUP(D1848,Products!A:F,4,0),"")</f>
        <v>464</v>
      </c>
      <c r="Q1848" t="b">
        <f>IFERROR(VLOOKUP(D1848,Products!A:F,6,0),"")</f>
        <v>1</v>
      </c>
      <c r="R1848">
        <f t="shared" si="84"/>
        <v>0.57431192660550456</v>
      </c>
      <c r="S1848">
        <f t="shared" si="85"/>
        <v>1</v>
      </c>
      <c r="T1848">
        <f>IF(AND(S1848&gt;1,COUNTIF($A$2:A1848,A1848)=1),1,0)</f>
        <v>0</v>
      </c>
      <c r="U1848">
        <f>COUNTIF(Customers!$A$2:$A$301,C1848)</f>
        <v>1</v>
      </c>
      <c r="V1848">
        <f t="shared" si="86"/>
        <v>0</v>
      </c>
    </row>
    <row r="1849" spans="1:22" ht="14.25" customHeight="1" x14ac:dyDescent="0.35">
      <c r="A1849" s="10" t="s">
        <v>2310</v>
      </c>
      <c r="B1849" s="11">
        <v>45535</v>
      </c>
      <c r="C1849" s="10" t="s">
        <v>288</v>
      </c>
      <c r="D1849" s="10" t="s">
        <v>407</v>
      </c>
      <c r="E1849" s="10" t="s">
        <v>193</v>
      </c>
      <c r="F1849" s="12">
        <v>8</v>
      </c>
      <c r="G1849" s="12">
        <v>5080</v>
      </c>
      <c r="H1849" s="12">
        <v>0.9</v>
      </c>
      <c r="I1849" s="12">
        <v>40274.239999999998</v>
      </c>
      <c r="J1849" s="10" t="s">
        <v>51</v>
      </c>
      <c r="K1849" s="10" t="s">
        <v>97</v>
      </c>
      <c r="L1849" t="str">
        <f>IFERROR(VLOOKUP(D1849,Products!A:F,3,0),"")</f>
        <v>Home</v>
      </c>
      <c r="M1849" t="str">
        <f>IFERROR(VLOOKUP(E1849,Sales_Reps!A:E,3,0),"")</f>
        <v>West</v>
      </c>
      <c r="N1849" t="str">
        <f>IFERROR(VLOOKUP(C1849,Customers!A:F,5,0),"")</f>
        <v>Retail</v>
      </c>
      <c r="O1849">
        <f>IFERROR(VLOOKUP(C1849,Customers!A:F,3,0),"")</f>
        <v>28</v>
      </c>
      <c r="P1849">
        <f>IFERROR(VLOOKUP(D1849,Products!A:F,4,0),"")</f>
        <v>2459</v>
      </c>
      <c r="Q1849" t="b">
        <f>IFERROR(VLOOKUP(D1849,Products!A:F,6,0),"")</f>
        <v>1</v>
      </c>
      <c r="R1849">
        <f t="shared" si="84"/>
        <v>0.51594488188976373</v>
      </c>
      <c r="S1849">
        <f t="shared" si="85"/>
        <v>1</v>
      </c>
      <c r="T1849">
        <f>IF(AND(S1849&gt;1,COUNTIF($A$2:A1849,A1849)=1),1,0)</f>
        <v>0</v>
      </c>
      <c r="U1849">
        <f>COUNTIF(Customers!$A$2:$A$301,C1849)</f>
        <v>1</v>
      </c>
      <c r="V1849">
        <f t="shared" si="86"/>
        <v>0</v>
      </c>
    </row>
    <row r="1850" spans="1:22" ht="14.25" customHeight="1" x14ac:dyDescent="0.35">
      <c r="A1850" s="10" t="s">
        <v>2311</v>
      </c>
      <c r="B1850" s="11">
        <v>45569</v>
      </c>
      <c r="C1850" s="10" t="s">
        <v>820</v>
      </c>
      <c r="D1850" s="10" t="s">
        <v>234</v>
      </c>
      <c r="E1850" s="10" t="s">
        <v>202</v>
      </c>
      <c r="F1850" s="12">
        <v>7</v>
      </c>
      <c r="G1850" s="12">
        <v>4610</v>
      </c>
      <c r="H1850" s="12">
        <v>0.9</v>
      </c>
      <c r="I1850" s="12">
        <v>31979.57</v>
      </c>
      <c r="J1850" s="10" t="s">
        <v>51</v>
      </c>
      <c r="K1850" s="10" t="s">
        <v>52</v>
      </c>
      <c r="L1850" t="str">
        <f>IFERROR(VLOOKUP(D1850,Products!A:F,3,0),"")</f>
        <v>Home</v>
      </c>
      <c r="M1850" t="str">
        <f>IFERROR(VLOOKUP(E1850,Sales_Reps!A:E,3,0),"")</f>
        <v>East</v>
      </c>
      <c r="N1850" t="str">
        <f>IFERROR(VLOOKUP(C1850,Customers!A:F,5,0),"")</f>
        <v>SMB</v>
      </c>
      <c r="O1850">
        <f>IFERROR(VLOOKUP(C1850,Customers!A:F,3,0),"")</f>
        <v>59</v>
      </c>
      <c r="P1850">
        <f>IFERROR(VLOOKUP(D1850,Products!A:F,4,0),"")</f>
        <v>1850</v>
      </c>
      <c r="Q1850" t="b">
        <f>IFERROR(VLOOKUP(D1850,Products!A:F,6,0),"")</f>
        <v>1</v>
      </c>
      <c r="R1850">
        <f t="shared" si="84"/>
        <v>0.59869848156182215</v>
      </c>
      <c r="S1850">
        <f t="shared" si="85"/>
        <v>1</v>
      </c>
      <c r="T1850">
        <f>IF(AND(S1850&gt;1,COUNTIF($A$2:A1850,A1850)=1),1,0)</f>
        <v>0</v>
      </c>
      <c r="U1850">
        <f>COUNTIF(Customers!$A$2:$A$301,C1850)</f>
        <v>1</v>
      </c>
      <c r="V1850">
        <f t="shared" si="86"/>
        <v>0</v>
      </c>
    </row>
    <row r="1851" spans="1:22" ht="14.25" customHeight="1" x14ac:dyDescent="0.35">
      <c r="A1851" s="10" t="s">
        <v>2312</v>
      </c>
      <c r="B1851" s="11">
        <v>45527</v>
      </c>
      <c r="C1851" s="10" t="s">
        <v>465</v>
      </c>
      <c r="D1851" s="10" t="s">
        <v>240</v>
      </c>
      <c r="E1851" s="10" t="s">
        <v>92</v>
      </c>
      <c r="F1851" s="12">
        <v>1</v>
      </c>
      <c r="G1851" s="12">
        <v>3020</v>
      </c>
      <c r="H1851" s="12">
        <v>10.3</v>
      </c>
      <c r="I1851" s="12">
        <v>2708.94</v>
      </c>
      <c r="J1851" s="10" t="s">
        <v>51</v>
      </c>
      <c r="K1851" s="10" t="s">
        <v>97</v>
      </c>
      <c r="L1851" t="str">
        <f>IFERROR(VLOOKUP(D1851,Products!A:F,3,0),"")</f>
        <v>Beauty</v>
      </c>
      <c r="M1851" t="str">
        <f>IFERROR(VLOOKUP(E1851,Sales_Reps!A:E,3,0),"")</f>
        <v>West</v>
      </c>
      <c r="N1851" t="str">
        <f>IFERROR(VLOOKUP(C1851,Customers!A:F,5,0),"")</f>
        <v>SMB</v>
      </c>
      <c r="O1851">
        <f>IFERROR(VLOOKUP(C1851,Customers!A:F,3,0),"")</f>
        <v>65</v>
      </c>
      <c r="P1851">
        <f>IFERROR(VLOOKUP(D1851,Products!A:F,4,0),"")</f>
        <v>1626</v>
      </c>
      <c r="Q1851" t="b">
        <f>IFERROR(VLOOKUP(D1851,Products!A:F,6,0),"")</f>
        <v>1</v>
      </c>
      <c r="R1851">
        <f t="shared" si="84"/>
        <v>0.46158940397350995</v>
      </c>
      <c r="S1851">
        <f t="shared" si="85"/>
        <v>1</v>
      </c>
      <c r="T1851">
        <f>IF(AND(S1851&gt;1,COUNTIF($A$2:A1851,A1851)=1),1,0)</f>
        <v>0</v>
      </c>
      <c r="U1851">
        <f>COUNTIF(Customers!$A$2:$A$301,C1851)</f>
        <v>1</v>
      </c>
      <c r="V1851">
        <f t="shared" si="86"/>
        <v>0</v>
      </c>
    </row>
    <row r="1852" spans="1:22" ht="14.25" customHeight="1" x14ac:dyDescent="0.35">
      <c r="A1852" s="10" t="s">
        <v>2313</v>
      </c>
      <c r="B1852" s="11">
        <v>45453</v>
      </c>
      <c r="C1852" s="10" t="s">
        <v>602</v>
      </c>
      <c r="D1852" s="10" t="s">
        <v>209</v>
      </c>
      <c r="E1852" s="10" t="s">
        <v>92</v>
      </c>
      <c r="F1852" s="12">
        <v>6</v>
      </c>
      <c r="G1852" s="12">
        <v>2270</v>
      </c>
      <c r="H1852" s="12">
        <v>23.1</v>
      </c>
      <c r="I1852" s="12">
        <v>10473.780000000001</v>
      </c>
      <c r="J1852" s="10" t="s">
        <v>51</v>
      </c>
      <c r="K1852" s="10" t="s">
        <v>63</v>
      </c>
      <c r="L1852" t="str">
        <f>IFERROR(VLOOKUP(D1852,Products!A:F,3,0),"")</f>
        <v>Grocery</v>
      </c>
      <c r="M1852" t="str">
        <f>IFERROR(VLOOKUP(E1852,Sales_Reps!A:E,3,0),"")</f>
        <v>West</v>
      </c>
      <c r="N1852" t="str">
        <f>IFERROR(VLOOKUP(C1852,Customers!A:F,5,0),"")</f>
        <v>Retail</v>
      </c>
      <c r="O1852">
        <f>IFERROR(VLOOKUP(C1852,Customers!A:F,3,0),"")</f>
        <v>43</v>
      </c>
      <c r="P1852">
        <f>IFERROR(VLOOKUP(D1852,Products!A:F,4,0),"")</f>
        <v>1412</v>
      </c>
      <c r="Q1852" t="b">
        <f>IFERROR(VLOOKUP(D1852,Products!A:F,6,0),"")</f>
        <v>1</v>
      </c>
      <c r="R1852">
        <f t="shared" si="84"/>
        <v>0.37797356828193834</v>
      </c>
      <c r="S1852">
        <f t="shared" si="85"/>
        <v>1</v>
      </c>
      <c r="T1852">
        <f>IF(AND(S1852&gt;1,COUNTIF($A$2:A1852,A1852)=1),1,0)</f>
        <v>0</v>
      </c>
      <c r="U1852">
        <f>COUNTIF(Customers!$A$2:$A$301,C1852)</f>
        <v>1</v>
      </c>
      <c r="V1852">
        <f t="shared" si="86"/>
        <v>0</v>
      </c>
    </row>
    <row r="1853" spans="1:22" ht="14.25" customHeight="1" x14ac:dyDescent="0.35">
      <c r="A1853" s="10" t="s">
        <v>2314</v>
      </c>
      <c r="B1853" s="11">
        <v>45605</v>
      </c>
      <c r="C1853" s="10" t="s">
        <v>106</v>
      </c>
      <c r="D1853" s="10" t="s">
        <v>228</v>
      </c>
      <c r="E1853" s="10" t="s">
        <v>96</v>
      </c>
      <c r="F1853" s="12">
        <v>6</v>
      </c>
      <c r="G1853" s="12">
        <v>4070</v>
      </c>
      <c r="H1853" s="12">
        <v>28.9</v>
      </c>
      <c r="I1853" s="12">
        <v>17362.62</v>
      </c>
      <c r="J1853" s="10" t="s">
        <v>51</v>
      </c>
      <c r="K1853" s="10" t="s">
        <v>52</v>
      </c>
      <c r="L1853" t="str">
        <f>IFERROR(VLOOKUP(D1853,Products!A:F,3,0),"")</f>
        <v>Grocery</v>
      </c>
      <c r="M1853" t="str">
        <f>IFERROR(VLOOKUP(E1853,Sales_Reps!A:E,3,0),"")</f>
        <v>South</v>
      </c>
      <c r="N1853" t="str">
        <f>IFERROR(VLOOKUP(C1853,Customers!A:F,5,0),"")</f>
        <v>SMB</v>
      </c>
      <c r="O1853">
        <f>IFERROR(VLOOKUP(C1853,Customers!A:F,3,0),"")</f>
        <v>39</v>
      </c>
      <c r="P1853">
        <f>IFERROR(VLOOKUP(D1853,Products!A:F,4,0),"")</f>
        <v>2027</v>
      </c>
      <c r="Q1853" t="b">
        <f>IFERROR(VLOOKUP(D1853,Products!A:F,6,0),"")</f>
        <v>1</v>
      </c>
      <c r="R1853">
        <f t="shared" si="84"/>
        <v>0.50196560196560192</v>
      </c>
      <c r="S1853">
        <f t="shared" si="85"/>
        <v>1</v>
      </c>
      <c r="T1853">
        <f>IF(AND(S1853&gt;1,COUNTIF($A$2:A1853,A1853)=1),1,0)</f>
        <v>0</v>
      </c>
      <c r="U1853">
        <f>COUNTIF(Customers!$A$2:$A$301,C1853)</f>
        <v>1</v>
      </c>
      <c r="V1853">
        <f t="shared" si="86"/>
        <v>0</v>
      </c>
    </row>
    <row r="1854" spans="1:22" ht="14.25" customHeight="1" x14ac:dyDescent="0.35">
      <c r="A1854" s="10" t="s">
        <v>2315</v>
      </c>
      <c r="B1854" s="11">
        <v>45650</v>
      </c>
      <c r="C1854" s="10" t="s">
        <v>505</v>
      </c>
      <c r="D1854" s="10" t="s">
        <v>231</v>
      </c>
      <c r="E1854" s="10" t="s">
        <v>202</v>
      </c>
      <c r="F1854" s="12">
        <v>5</v>
      </c>
      <c r="G1854" s="12">
        <v>1220</v>
      </c>
      <c r="H1854" s="12">
        <v>18.7</v>
      </c>
      <c r="I1854" s="12">
        <v>4959.3</v>
      </c>
      <c r="J1854" s="10" t="s">
        <v>51</v>
      </c>
      <c r="K1854" s="10" t="s">
        <v>58</v>
      </c>
      <c r="L1854" t="str">
        <f>IFERROR(VLOOKUP(D1854,Products!A:F,3,0),"")</f>
        <v>Electronics</v>
      </c>
      <c r="M1854" t="str">
        <f>IFERROR(VLOOKUP(E1854,Sales_Reps!A:E,3,0),"")</f>
        <v>East</v>
      </c>
      <c r="N1854" t="str">
        <f>IFERROR(VLOOKUP(C1854,Customers!A:F,5,0),"")</f>
        <v>Corporate</v>
      </c>
      <c r="O1854">
        <f>IFERROR(VLOOKUP(C1854,Customers!A:F,3,0),"")</f>
        <v>34</v>
      </c>
      <c r="P1854">
        <f>IFERROR(VLOOKUP(D1854,Products!A:F,4,0),"")</f>
        <v>517</v>
      </c>
      <c r="Q1854" t="b">
        <f>IFERROR(VLOOKUP(D1854,Products!A:F,6,0),"")</f>
        <v>1</v>
      </c>
      <c r="R1854">
        <f t="shared" si="84"/>
        <v>0.57622950819672136</v>
      </c>
      <c r="S1854">
        <f t="shared" si="85"/>
        <v>1</v>
      </c>
      <c r="T1854">
        <f>IF(AND(S1854&gt;1,COUNTIF($A$2:A1854,A1854)=1),1,0)</f>
        <v>0</v>
      </c>
      <c r="U1854">
        <f>COUNTIF(Customers!$A$2:$A$301,C1854)</f>
        <v>1</v>
      </c>
      <c r="V1854">
        <f t="shared" si="86"/>
        <v>0</v>
      </c>
    </row>
    <row r="1855" spans="1:22" ht="14.25" customHeight="1" x14ac:dyDescent="0.35">
      <c r="A1855" s="10" t="s">
        <v>2316</v>
      </c>
      <c r="B1855" s="11">
        <v>45412</v>
      </c>
      <c r="C1855" s="10" t="s">
        <v>349</v>
      </c>
      <c r="D1855" s="10" t="s">
        <v>131</v>
      </c>
      <c r="E1855" s="10" t="s">
        <v>80</v>
      </c>
      <c r="F1855" s="12">
        <v>8</v>
      </c>
      <c r="G1855" s="12">
        <v>2480</v>
      </c>
      <c r="H1855" s="12">
        <v>3.2</v>
      </c>
      <c r="I1855" s="12">
        <v>19205.12</v>
      </c>
      <c r="J1855" s="10" t="s">
        <v>104</v>
      </c>
      <c r="K1855" s="10" t="s">
        <v>81</v>
      </c>
      <c r="L1855" t="str">
        <f>IFERROR(VLOOKUP(D1855,Products!A:F,3,0),"")</f>
        <v>Apparel</v>
      </c>
      <c r="M1855" t="str">
        <f>IFERROR(VLOOKUP(E1855,Sales_Reps!A:E,3,0),"")</f>
        <v>West</v>
      </c>
      <c r="N1855" t="str">
        <f>IFERROR(VLOOKUP(C1855,Customers!A:F,5,0),"")</f>
        <v>Retail</v>
      </c>
      <c r="O1855">
        <f>IFERROR(VLOOKUP(C1855,Customers!A:F,3,0),"")</f>
        <v>23</v>
      </c>
      <c r="P1855">
        <f>IFERROR(VLOOKUP(D1855,Products!A:F,4,0),"")</f>
        <v>1173</v>
      </c>
      <c r="Q1855" t="b">
        <f>IFERROR(VLOOKUP(D1855,Products!A:F,6,0),"")</f>
        <v>1</v>
      </c>
      <c r="R1855">
        <f t="shared" si="84"/>
        <v>0.52701612903225803</v>
      </c>
      <c r="S1855">
        <f t="shared" si="85"/>
        <v>1</v>
      </c>
      <c r="T1855">
        <f>IF(AND(S1855&gt;1,COUNTIF($A$2:A1855,A1855)=1),1,0)</f>
        <v>0</v>
      </c>
      <c r="U1855">
        <f>COUNTIF(Customers!$A$2:$A$301,C1855)</f>
        <v>1</v>
      </c>
      <c r="V1855">
        <f t="shared" si="86"/>
        <v>0</v>
      </c>
    </row>
    <row r="1856" spans="1:22" ht="14.25" customHeight="1" x14ac:dyDescent="0.35">
      <c r="A1856" s="10" t="s">
        <v>2317</v>
      </c>
      <c r="B1856" s="11">
        <v>45554</v>
      </c>
      <c r="C1856" s="10" t="s">
        <v>424</v>
      </c>
      <c r="D1856" s="10" t="s">
        <v>159</v>
      </c>
      <c r="E1856" s="10" t="s">
        <v>50</v>
      </c>
      <c r="F1856" s="12">
        <v>7</v>
      </c>
      <c r="G1856" s="12">
        <v>2860</v>
      </c>
      <c r="H1856" s="12">
        <v>8.4</v>
      </c>
      <c r="I1856" s="12">
        <v>18338.32</v>
      </c>
      <c r="J1856" s="10" t="s">
        <v>51</v>
      </c>
      <c r="K1856" s="10" t="s">
        <v>52</v>
      </c>
      <c r="L1856" t="str">
        <f>IFERROR(VLOOKUP(D1856,Products!A:F,3,0),"")</f>
        <v>Sports</v>
      </c>
      <c r="M1856" t="str">
        <f>IFERROR(VLOOKUP(E1856,Sales_Reps!A:E,3,0),"")</f>
        <v>North</v>
      </c>
      <c r="N1856" t="str">
        <f>IFERROR(VLOOKUP(C1856,Customers!A:F,5,0),"")</f>
        <v>Corporate</v>
      </c>
      <c r="O1856">
        <f>IFERROR(VLOOKUP(C1856,Customers!A:F,3,0),"")</f>
        <v>37</v>
      </c>
      <c r="P1856">
        <f>IFERROR(VLOOKUP(D1856,Products!A:F,4,0),"")</f>
        <v>2028</v>
      </c>
      <c r="Q1856" t="b">
        <f>IFERROR(VLOOKUP(D1856,Products!A:F,6,0),"")</f>
        <v>1</v>
      </c>
      <c r="R1856">
        <f t="shared" si="84"/>
        <v>0.29090909090909089</v>
      </c>
      <c r="S1856">
        <f t="shared" si="85"/>
        <v>1</v>
      </c>
      <c r="T1856">
        <f>IF(AND(S1856&gt;1,COUNTIF($A$2:A1856,A1856)=1),1,0)</f>
        <v>0</v>
      </c>
      <c r="U1856">
        <f>COUNTIF(Customers!$A$2:$A$301,C1856)</f>
        <v>1</v>
      </c>
      <c r="V1856">
        <f t="shared" si="86"/>
        <v>0</v>
      </c>
    </row>
    <row r="1857" spans="1:22" ht="14.25" customHeight="1" x14ac:dyDescent="0.35">
      <c r="A1857" s="10" t="s">
        <v>2318</v>
      </c>
      <c r="B1857" s="11">
        <v>45365</v>
      </c>
      <c r="C1857" s="10" t="s">
        <v>286</v>
      </c>
      <c r="D1857" s="10" t="s">
        <v>198</v>
      </c>
      <c r="E1857" s="10" t="s">
        <v>80</v>
      </c>
      <c r="F1857" s="12">
        <v>1</v>
      </c>
      <c r="G1857" s="12">
        <v>3780</v>
      </c>
      <c r="H1857" s="12">
        <v>16.3</v>
      </c>
      <c r="I1857" s="12">
        <v>3163.86</v>
      </c>
      <c r="J1857" s="10" t="s">
        <v>104</v>
      </c>
      <c r="K1857" s="10" t="s">
        <v>63</v>
      </c>
      <c r="L1857" t="str">
        <f>IFERROR(VLOOKUP(D1857,Products!A:F,3,0),"")</f>
        <v>Grocery</v>
      </c>
      <c r="M1857" t="str">
        <f>IFERROR(VLOOKUP(E1857,Sales_Reps!A:E,3,0),"")</f>
        <v>West</v>
      </c>
      <c r="N1857" t="str">
        <f>IFERROR(VLOOKUP(C1857,Customers!A:F,5,0),"")</f>
        <v>Retail</v>
      </c>
      <c r="O1857">
        <f>IFERROR(VLOOKUP(C1857,Customers!A:F,3,0),"")</f>
        <v>31</v>
      </c>
      <c r="P1857">
        <f>IFERROR(VLOOKUP(D1857,Products!A:F,4,0),"")</f>
        <v>2436</v>
      </c>
      <c r="Q1857" t="b">
        <f>IFERROR(VLOOKUP(D1857,Products!A:F,6,0),"")</f>
        <v>1</v>
      </c>
      <c r="R1857">
        <f t="shared" si="84"/>
        <v>0.35555555555555557</v>
      </c>
      <c r="S1857">
        <f t="shared" si="85"/>
        <v>1</v>
      </c>
      <c r="T1857">
        <f>IF(AND(S1857&gt;1,COUNTIF($A$2:A1857,A1857)=1),1,0)</f>
        <v>0</v>
      </c>
      <c r="U1857">
        <f>COUNTIF(Customers!$A$2:$A$301,C1857)</f>
        <v>1</v>
      </c>
      <c r="V1857">
        <f t="shared" si="86"/>
        <v>0</v>
      </c>
    </row>
    <row r="1858" spans="1:22" ht="14.25" customHeight="1" x14ac:dyDescent="0.35">
      <c r="A1858" s="10" t="s">
        <v>2319</v>
      </c>
      <c r="B1858" s="11">
        <v>45504</v>
      </c>
      <c r="C1858" s="10" t="s">
        <v>941</v>
      </c>
      <c r="D1858" s="10" t="s">
        <v>159</v>
      </c>
      <c r="E1858" s="10" t="s">
        <v>75</v>
      </c>
      <c r="F1858" s="12">
        <v>6</v>
      </c>
      <c r="G1858" s="12">
        <v>2860</v>
      </c>
      <c r="H1858" s="12">
        <v>10.7</v>
      </c>
      <c r="I1858" s="12">
        <v>15323.88</v>
      </c>
      <c r="J1858" s="10" t="s">
        <v>51</v>
      </c>
      <c r="K1858" s="10" t="s">
        <v>52</v>
      </c>
      <c r="L1858" t="str">
        <f>IFERROR(VLOOKUP(D1858,Products!A:F,3,0),"")</f>
        <v>Sports</v>
      </c>
      <c r="M1858" t="str">
        <f>IFERROR(VLOOKUP(E1858,Sales_Reps!A:E,3,0),"")</f>
        <v>West</v>
      </c>
      <c r="N1858" t="str">
        <f>IFERROR(VLOOKUP(C1858,Customers!A:F,5,0),"")</f>
        <v>Corporate</v>
      </c>
      <c r="O1858">
        <f>IFERROR(VLOOKUP(C1858,Customers!A:F,3,0),"")</f>
        <v>29</v>
      </c>
      <c r="P1858">
        <f>IFERROR(VLOOKUP(D1858,Products!A:F,4,0),"")</f>
        <v>2028</v>
      </c>
      <c r="Q1858" t="b">
        <f>IFERROR(VLOOKUP(D1858,Products!A:F,6,0),"")</f>
        <v>1</v>
      </c>
      <c r="R1858">
        <f t="shared" ref="R1858:R1921" si="87">IFERROR((G1858-P1858)/G1858,"")</f>
        <v>0.29090909090909089</v>
      </c>
      <c r="S1858">
        <f t="shared" ref="S1858:S1921" si="88">COUNTIF($A$2:$A$2001,A1858)</f>
        <v>1</v>
      </c>
      <c r="T1858">
        <f>IF(AND(S1858&gt;1,COUNTIF($A$2:A1858,A1858)=1),1,0)</f>
        <v>0</v>
      </c>
      <c r="U1858">
        <f>COUNTIF(Customers!$A$2:$A$301,C1858)</f>
        <v>1</v>
      </c>
      <c r="V1858">
        <f t="shared" ref="V1858:V1921" si="89">IF(AND(K1858="Bengaluru",L1858="Grocery"),I1858,0)</f>
        <v>0</v>
      </c>
    </row>
    <row r="1859" spans="1:22" ht="14.25" customHeight="1" x14ac:dyDescent="0.35">
      <c r="A1859" s="10" t="s">
        <v>2320</v>
      </c>
      <c r="B1859" s="11">
        <v>45652</v>
      </c>
      <c r="C1859" s="10" t="s">
        <v>705</v>
      </c>
      <c r="D1859" s="10" t="s">
        <v>115</v>
      </c>
      <c r="E1859" s="10" t="s">
        <v>307</v>
      </c>
      <c r="F1859" s="12">
        <v>3</v>
      </c>
      <c r="G1859" s="12">
        <v>2400</v>
      </c>
      <c r="H1859" s="12">
        <v>20.7</v>
      </c>
      <c r="I1859" s="12">
        <v>5709.6</v>
      </c>
      <c r="J1859" s="10" t="s">
        <v>51</v>
      </c>
      <c r="K1859" s="10" t="s">
        <v>97</v>
      </c>
      <c r="L1859" t="str">
        <f>IFERROR(VLOOKUP(D1859,Products!A:F,3,0),"")</f>
        <v>Sports</v>
      </c>
      <c r="M1859" t="str">
        <f>IFERROR(VLOOKUP(E1859,Sales_Reps!A:E,3,0),"")</f>
        <v>West</v>
      </c>
      <c r="N1859" t="str">
        <f>IFERROR(VLOOKUP(C1859,Customers!A:F,5,0),"")</f>
        <v>SMB</v>
      </c>
      <c r="O1859">
        <f>IFERROR(VLOOKUP(C1859,Customers!A:F,3,0),"")</f>
        <v>29</v>
      </c>
      <c r="P1859">
        <f>IFERROR(VLOOKUP(D1859,Products!A:F,4,0),"")</f>
        <v>974</v>
      </c>
      <c r="Q1859" t="b">
        <f>IFERROR(VLOOKUP(D1859,Products!A:F,6,0),"")</f>
        <v>1</v>
      </c>
      <c r="R1859">
        <f t="shared" si="87"/>
        <v>0.59416666666666662</v>
      </c>
      <c r="S1859">
        <f t="shared" si="88"/>
        <v>1</v>
      </c>
      <c r="T1859">
        <f>IF(AND(S1859&gt;1,COUNTIF($A$2:A1859,A1859)=1),1,0)</f>
        <v>0</v>
      </c>
      <c r="U1859">
        <f>COUNTIF(Customers!$A$2:$A$301,C1859)</f>
        <v>1</v>
      </c>
      <c r="V1859">
        <f t="shared" si="89"/>
        <v>0</v>
      </c>
    </row>
    <row r="1860" spans="1:22" ht="14.25" customHeight="1" x14ac:dyDescent="0.35">
      <c r="A1860" s="10" t="s">
        <v>2321</v>
      </c>
      <c r="B1860" s="11">
        <v>45330</v>
      </c>
      <c r="C1860" s="10" t="s">
        <v>1225</v>
      </c>
      <c r="D1860" s="10" t="s">
        <v>331</v>
      </c>
      <c r="E1860" s="10" t="s">
        <v>75</v>
      </c>
      <c r="F1860" s="12">
        <v>8</v>
      </c>
      <c r="G1860" s="12">
        <v>2380</v>
      </c>
      <c r="H1860" s="12">
        <v>22.3</v>
      </c>
      <c r="I1860" s="12">
        <v>14794.08</v>
      </c>
      <c r="J1860" s="10" t="s">
        <v>108</v>
      </c>
      <c r="K1860" s="10" t="s">
        <v>81</v>
      </c>
      <c r="L1860" t="str">
        <f>IFERROR(VLOOKUP(D1860,Products!A:F,3,0),"")</f>
        <v>Grocery</v>
      </c>
      <c r="M1860" t="str">
        <f>IFERROR(VLOOKUP(E1860,Sales_Reps!A:E,3,0),"")</f>
        <v>West</v>
      </c>
      <c r="N1860" t="str">
        <f>IFERROR(VLOOKUP(C1860,Customers!A:F,5,0),"")</f>
        <v>Retail</v>
      </c>
      <c r="O1860">
        <f>IFERROR(VLOOKUP(C1860,Customers!A:F,3,0),"")</f>
        <v>54</v>
      </c>
      <c r="P1860">
        <f>IFERROR(VLOOKUP(D1860,Products!A:F,4,0),"")</f>
        <v>1182</v>
      </c>
      <c r="Q1860" t="b">
        <f>IFERROR(VLOOKUP(D1860,Products!A:F,6,0),"")</f>
        <v>1</v>
      </c>
      <c r="R1860">
        <f t="shared" si="87"/>
        <v>0.50336134453781511</v>
      </c>
      <c r="S1860">
        <f t="shared" si="88"/>
        <v>1</v>
      </c>
      <c r="T1860">
        <f>IF(AND(S1860&gt;1,COUNTIF($A$2:A1860,A1860)=1),1,0)</f>
        <v>0</v>
      </c>
      <c r="U1860">
        <f>COUNTIF(Customers!$A$2:$A$301,C1860)</f>
        <v>1</v>
      </c>
      <c r="V1860">
        <f t="shared" si="89"/>
        <v>14794.08</v>
      </c>
    </row>
    <row r="1861" spans="1:22" ht="14.25" customHeight="1" x14ac:dyDescent="0.35">
      <c r="A1861" s="10" t="s">
        <v>2322</v>
      </c>
      <c r="B1861" s="11">
        <v>45533</v>
      </c>
      <c r="C1861" s="10" t="s">
        <v>421</v>
      </c>
      <c r="D1861" s="10" t="s">
        <v>155</v>
      </c>
      <c r="E1861" s="10" t="s">
        <v>67</v>
      </c>
      <c r="F1861" s="12">
        <v>7</v>
      </c>
      <c r="G1861" s="12">
        <v>5100</v>
      </c>
      <c r="H1861" s="12">
        <v>22.9</v>
      </c>
      <c r="I1861" s="12">
        <v>27524.7</v>
      </c>
      <c r="J1861" s="10" t="s">
        <v>104</v>
      </c>
      <c r="K1861" s="10" t="s">
        <v>52</v>
      </c>
      <c r="L1861" t="str">
        <f>IFERROR(VLOOKUP(D1861,Products!A:F,3,0),"")</f>
        <v>Beauty</v>
      </c>
      <c r="M1861" t="str">
        <f>IFERROR(VLOOKUP(E1861,Sales_Reps!A:E,3,0),"")</f>
        <v>North</v>
      </c>
      <c r="N1861" t="str">
        <f>IFERROR(VLOOKUP(C1861,Customers!A:F,5,0),"")</f>
        <v>Retail</v>
      </c>
      <c r="O1861">
        <f>IFERROR(VLOOKUP(C1861,Customers!A:F,3,0),"")</f>
        <v>29</v>
      </c>
      <c r="P1861">
        <f>IFERROR(VLOOKUP(D1861,Products!A:F,4,0),"")</f>
        <v>2237</v>
      </c>
      <c r="Q1861" t="b">
        <f>IFERROR(VLOOKUP(D1861,Products!A:F,6,0),"")</f>
        <v>1</v>
      </c>
      <c r="R1861">
        <f t="shared" si="87"/>
        <v>0.56137254901960787</v>
      </c>
      <c r="S1861">
        <f t="shared" si="88"/>
        <v>1</v>
      </c>
      <c r="T1861">
        <f>IF(AND(S1861&gt;1,COUNTIF($A$2:A1861,A1861)=1),1,0)</f>
        <v>0</v>
      </c>
      <c r="U1861">
        <f>COUNTIF(Customers!$A$2:$A$301,C1861)</f>
        <v>1</v>
      </c>
      <c r="V1861">
        <f t="shared" si="89"/>
        <v>0</v>
      </c>
    </row>
    <row r="1862" spans="1:22" ht="14.25" customHeight="1" x14ac:dyDescent="0.35">
      <c r="A1862" s="10" t="s">
        <v>2323</v>
      </c>
      <c r="B1862" s="11">
        <v>45463</v>
      </c>
      <c r="C1862" s="10" t="s">
        <v>451</v>
      </c>
      <c r="D1862" s="10" t="s">
        <v>246</v>
      </c>
      <c r="E1862" s="10" t="s">
        <v>152</v>
      </c>
      <c r="F1862" s="12">
        <v>7</v>
      </c>
      <c r="G1862" s="12">
        <v>300</v>
      </c>
      <c r="H1862" s="12">
        <v>15.3</v>
      </c>
      <c r="I1862" s="12">
        <v>1778.7</v>
      </c>
      <c r="J1862" s="10" t="s">
        <v>51</v>
      </c>
      <c r="K1862" s="10" t="s">
        <v>52</v>
      </c>
      <c r="L1862" t="str">
        <f>IFERROR(VLOOKUP(D1862,Products!A:F,3,0),"")</f>
        <v>Electronics</v>
      </c>
      <c r="M1862" t="str">
        <f>IFERROR(VLOOKUP(E1862,Sales_Reps!A:E,3,0),"")</f>
        <v>South</v>
      </c>
      <c r="N1862" t="str">
        <f>IFERROR(VLOOKUP(C1862,Customers!A:F,5,0),"")</f>
        <v>Corporate</v>
      </c>
      <c r="O1862">
        <f>IFERROR(VLOOKUP(C1862,Customers!A:F,3,0),"")</f>
        <v>29</v>
      </c>
      <c r="P1862">
        <f>IFERROR(VLOOKUP(D1862,Products!A:F,4,0),"")</f>
        <v>128</v>
      </c>
      <c r="Q1862" t="b">
        <f>IFERROR(VLOOKUP(D1862,Products!A:F,6,0),"")</f>
        <v>1</v>
      </c>
      <c r="R1862">
        <f t="shared" si="87"/>
        <v>0.57333333333333336</v>
      </c>
      <c r="S1862">
        <f t="shared" si="88"/>
        <v>1</v>
      </c>
      <c r="T1862">
        <f>IF(AND(S1862&gt;1,COUNTIF($A$2:A1862,A1862)=1),1,0)</f>
        <v>0</v>
      </c>
      <c r="U1862">
        <f>COUNTIF(Customers!$A$2:$A$301,C1862)</f>
        <v>1</v>
      </c>
      <c r="V1862">
        <f t="shared" si="89"/>
        <v>0</v>
      </c>
    </row>
    <row r="1863" spans="1:22" ht="14.25" customHeight="1" x14ac:dyDescent="0.35">
      <c r="A1863" s="10" t="s">
        <v>2324</v>
      </c>
      <c r="B1863" s="11">
        <v>45428</v>
      </c>
      <c r="C1863" s="10" t="s">
        <v>101</v>
      </c>
      <c r="D1863" s="10" t="s">
        <v>125</v>
      </c>
      <c r="E1863" s="10" t="s">
        <v>96</v>
      </c>
      <c r="F1863" s="12">
        <v>5</v>
      </c>
      <c r="G1863" s="12">
        <v>3450</v>
      </c>
      <c r="H1863" s="12">
        <v>16.8</v>
      </c>
      <c r="I1863" s="12">
        <v>14352</v>
      </c>
      <c r="J1863" s="10" t="s">
        <v>51</v>
      </c>
      <c r="K1863" s="10" t="s">
        <v>63</v>
      </c>
      <c r="L1863" t="str">
        <f>IFERROR(VLOOKUP(D1863,Products!A:F,3,0),"")</f>
        <v>Sports</v>
      </c>
      <c r="M1863" t="str">
        <f>IFERROR(VLOOKUP(E1863,Sales_Reps!A:E,3,0),"")</f>
        <v>South</v>
      </c>
      <c r="N1863" t="str">
        <f>IFERROR(VLOOKUP(C1863,Customers!A:F,5,0),"")</f>
        <v>SMB</v>
      </c>
      <c r="O1863">
        <f>IFERROR(VLOOKUP(C1863,Customers!A:F,3,0),"")</f>
        <v>27</v>
      </c>
      <c r="P1863">
        <f>IFERROR(VLOOKUP(D1863,Products!A:F,4,0),"")</f>
        <v>2467</v>
      </c>
      <c r="Q1863" t="b">
        <f>IFERROR(VLOOKUP(D1863,Products!A:F,6,0),"")</f>
        <v>1</v>
      </c>
      <c r="R1863">
        <f t="shared" si="87"/>
        <v>0.28492753623188405</v>
      </c>
      <c r="S1863">
        <f t="shared" si="88"/>
        <v>1</v>
      </c>
      <c r="T1863">
        <f>IF(AND(S1863&gt;1,COUNTIF($A$2:A1863,A1863)=1),1,0)</f>
        <v>0</v>
      </c>
      <c r="U1863">
        <f>COUNTIF(Customers!$A$2:$A$301,C1863)</f>
        <v>1</v>
      </c>
      <c r="V1863">
        <f t="shared" si="89"/>
        <v>0</v>
      </c>
    </row>
    <row r="1864" spans="1:22" ht="14.25" customHeight="1" x14ac:dyDescent="0.35">
      <c r="A1864" s="10" t="s">
        <v>2325</v>
      </c>
      <c r="B1864" s="11">
        <v>45634</v>
      </c>
      <c r="C1864" s="10" t="s">
        <v>650</v>
      </c>
      <c r="D1864" s="10" t="s">
        <v>159</v>
      </c>
      <c r="E1864" s="10" t="s">
        <v>62</v>
      </c>
      <c r="F1864" s="12">
        <v>4</v>
      </c>
      <c r="G1864" s="12">
        <v>2860</v>
      </c>
      <c r="H1864" s="12">
        <v>14.3</v>
      </c>
      <c r="I1864" s="12">
        <v>9804.08</v>
      </c>
      <c r="J1864" s="10" t="s">
        <v>51</v>
      </c>
      <c r="K1864" s="10" t="s">
        <v>76</v>
      </c>
      <c r="L1864" t="str">
        <f>IFERROR(VLOOKUP(D1864,Products!A:F,3,0),"")</f>
        <v>Sports</v>
      </c>
      <c r="M1864" t="str">
        <f>IFERROR(VLOOKUP(E1864,Sales_Reps!A:E,3,0),"")</f>
        <v>South</v>
      </c>
      <c r="N1864" t="str">
        <f>IFERROR(VLOOKUP(C1864,Customers!A:F,5,0),"")</f>
        <v>Retail</v>
      </c>
      <c r="O1864">
        <f>IFERROR(VLOOKUP(C1864,Customers!A:F,3,0),"")</f>
        <v>35</v>
      </c>
      <c r="P1864">
        <f>IFERROR(VLOOKUP(D1864,Products!A:F,4,0),"")</f>
        <v>2028</v>
      </c>
      <c r="Q1864" t="b">
        <f>IFERROR(VLOOKUP(D1864,Products!A:F,6,0),"")</f>
        <v>1</v>
      </c>
      <c r="R1864">
        <f t="shared" si="87"/>
        <v>0.29090909090909089</v>
      </c>
      <c r="S1864">
        <f t="shared" si="88"/>
        <v>1</v>
      </c>
      <c r="T1864">
        <f>IF(AND(S1864&gt;1,COUNTIF($A$2:A1864,A1864)=1),1,0)</f>
        <v>0</v>
      </c>
      <c r="U1864">
        <f>COUNTIF(Customers!$A$2:$A$301,C1864)</f>
        <v>1</v>
      </c>
      <c r="V1864">
        <f t="shared" si="89"/>
        <v>0</v>
      </c>
    </row>
    <row r="1865" spans="1:22" ht="14.25" customHeight="1" x14ac:dyDescent="0.35">
      <c r="A1865" s="10" t="s">
        <v>2326</v>
      </c>
      <c r="B1865" s="11">
        <v>45627</v>
      </c>
      <c r="C1865" s="10" t="s">
        <v>492</v>
      </c>
      <c r="D1865" s="10" t="s">
        <v>137</v>
      </c>
      <c r="E1865" s="10" t="s">
        <v>179</v>
      </c>
      <c r="F1865" s="12">
        <v>6</v>
      </c>
      <c r="G1865" s="12">
        <v>2720</v>
      </c>
      <c r="H1865" s="12">
        <v>25.1</v>
      </c>
      <c r="I1865" s="12">
        <v>12223.68</v>
      </c>
      <c r="J1865" s="10" t="s">
        <v>104</v>
      </c>
      <c r="K1865" s="10" t="s">
        <v>76</v>
      </c>
      <c r="L1865" t="str">
        <f>IFERROR(VLOOKUP(D1865,Products!A:F,3,0),"")</f>
        <v>Apparel</v>
      </c>
      <c r="M1865" t="str">
        <f>IFERROR(VLOOKUP(E1865,Sales_Reps!A:E,3,0),"")</f>
        <v>North</v>
      </c>
      <c r="N1865" t="str">
        <f>IFERROR(VLOOKUP(C1865,Customers!A:F,5,0),"")</f>
        <v>Retail</v>
      </c>
      <c r="O1865">
        <f>IFERROR(VLOOKUP(C1865,Customers!A:F,3,0),"")</f>
        <v>44</v>
      </c>
      <c r="P1865">
        <f>IFERROR(VLOOKUP(D1865,Products!A:F,4,0),"")</f>
        <v>1962</v>
      </c>
      <c r="Q1865" t="b">
        <f>IFERROR(VLOOKUP(D1865,Products!A:F,6,0),"")</f>
        <v>1</v>
      </c>
      <c r="R1865">
        <f t="shared" si="87"/>
        <v>0.2786764705882353</v>
      </c>
      <c r="S1865">
        <f t="shared" si="88"/>
        <v>1</v>
      </c>
      <c r="T1865">
        <f>IF(AND(S1865&gt;1,COUNTIF($A$2:A1865,A1865)=1),1,0)</f>
        <v>0</v>
      </c>
      <c r="U1865">
        <f>COUNTIF(Customers!$A$2:$A$301,C1865)</f>
        <v>1</v>
      </c>
      <c r="V1865">
        <f t="shared" si="89"/>
        <v>0</v>
      </c>
    </row>
    <row r="1866" spans="1:22" ht="14.25" customHeight="1" x14ac:dyDescent="0.35">
      <c r="A1866" s="10" t="s">
        <v>2327</v>
      </c>
      <c r="B1866" s="11">
        <v>45429</v>
      </c>
      <c r="C1866" s="10" t="s">
        <v>326</v>
      </c>
      <c r="D1866" s="10" t="s">
        <v>190</v>
      </c>
      <c r="E1866" s="10" t="s">
        <v>92</v>
      </c>
      <c r="F1866" s="12">
        <v>3</v>
      </c>
      <c r="G1866" s="12">
        <v>3730</v>
      </c>
      <c r="H1866" s="12">
        <v>24.8</v>
      </c>
      <c r="I1866" s="12">
        <v>8414.8799999999992</v>
      </c>
      <c r="J1866" s="10" t="s">
        <v>51</v>
      </c>
      <c r="K1866" s="10" t="s">
        <v>58</v>
      </c>
      <c r="L1866" t="str">
        <f>IFERROR(VLOOKUP(D1866,Products!A:F,3,0),"")</f>
        <v>Home</v>
      </c>
      <c r="M1866" t="str">
        <f>IFERROR(VLOOKUP(E1866,Sales_Reps!A:E,3,0),"")</f>
        <v>West</v>
      </c>
      <c r="N1866" t="str">
        <f>IFERROR(VLOOKUP(C1866,Customers!A:F,5,0),"")</f>
        <v>Corporate</v>
      </c>
      <c r="O1866">
        <f>IFERROR(VLOOKUP(C1866,Customers!A:F,3,0),"")</f>
        <v>51</v>
      </c>
      <c r="P1866">
        <f>IFERROR(VLOOKUP(D1866,Products!A:F,4,0),"")</f>
        <v>2135</v>
      </c>
      <c r="Q1866" t="b">
        <f>IFERROR(VLOOKUP(D1866,Products!A:F,6,0),"")</f>
        <v>1</v>
      </c>
      <c r="R1866">
        <f t="shared" si="87"/>
        <v>0.42761394101876676</v>
      </c>
      <c r="S1866">
        <f t="shared" si="88"/>
        <v>1</v>
      </c>
      <c r="T1866">
        <f>IF(AND(S1866&gt;1,COUNTIF($A$2:A1866,A1866)=1),1,0)</f>
        <v>0</v>
      </c>
      <c r="U1866">
        <f>COUNTIF(Customers!$A$2:$A$301,C1866)</f>
        <v>1</v>
      </c>
      <c r="V1866">
        <f t="shared" si="89"/>
        <v>0</v>
      </c>
    </row>
    <row r="1867" spans="1:22" ht="14.25" customHeight="1" x14ac:dyDescent="0.35">
      <c r="A1867" s="10" t="s">
        <v>2328</v>
      </c>
      <c r="B1867" s="11">
        <v>45648</v>
      </c>
      <c r="C1867" s="10" t="s">
        <v>1314</v>
      </c>
      <c r="D1867" s="10" t="s">
        <v>315</v>
      </c>
      <c r="E1867" s="10" t="s">
        <v>261</v>
      </c>
      <c r="F1867" s="12">
        <v>2</v>
      </c>
      <c r="G1867" s="12">
        <v>4060</v>
      </c>
      <c r="H1867" s="12">
        <v>11.3</v>
      </c>
      <c r="I1867" s="12">
        <v>7202.44</v>
      </c>
      <c r="J1867" s="10" t="s">
        <v>51</v>
      </c>
      <c r="K1867" s="10" t="s">
        <v>76</v>
      </c>
      <c r="L1867" t="str">
        <f>IFERROR(VLOOKUP(D1867,Products!A:F,3,0),"")</f>
        <v>Grocery</v>
      </c>
      <c r="M1867" t="str">
        <f>IFERROR(VLOOKUP(E1867,Sales_Reps!A:E,3,0),"")</f>
        <v>North</v>
      </c>
      <c r="N1867" t="str">
        <f>IFERROR(VLOOKUP(C1867,Customers!A:F,5,0),"")</f>
        <v>Retail</v>
      </c>
      <c r="O1867">
        <f>IFERROR(VLOOKUP(C1867,Customers!A:F,3,0),"")</f>
        <v>38</v>
      </c>
      <c r="P1867">
        <f>IFERROR(VLOOKUP(D1867,Products!A:F,4,0),"")</f>
        <v>2911</v>
      </c>
      <c r="Q1867" t="b">
        <f>IFERROR(VLOOKUP(D1867,Products!A:F,6,0),"")</f>
        <v>1</v>
      </c>
      <c r="R1867">
        <f t="shared" si="87"/>
        <v>0.28300492610837441</v>
      </c>
      <c r="S1867">
        <f t="shared" si="88"/>
        <v>1</v>
      </c>
      <c r="T1867">
        <f>IF(AND(S1867&gt;1,COUNTIF($A$2:A1867,A1867)=1),1,0)</f>
        <v>0</v>
      </c>
      <c r="U1867">
        <f>COUNTIF(Customers!$A$2:$A$301,C1867)</f>
        <v>1</v>
      </c>
      <c r="V1867">
        <f t="shared" si="89"/>
        <v>0</v>
      </c>
    </row>
    <row r="1868" spans="1:22" ht="14.25" customHeight="1" x14ac:dyDescent="0.35">
      <c r="A1868" s="10" t="s">
        <v>2329</v>
      </c>
      <c r="B1868" s="11">
        <v>45295</v>
      </c>
      <c r="C1868" s="10" t="s">
        <v>885</v>
      </c>
      <c r="D1868" s="10" t="s">
        <v>350</v>
      </c>
      <c r="E1868" s="10" t="s">
        <v>267</v>
      </c>
      <c r="F1868" s="12">
        <v>6</v>
      </c>
      <c r="G1868" s="12">
        <v>2290</v>
      </c>
      <c r="H1868" s="12">
        <v>26.8</v>
      </c>
      <c r="I1868" s="12">
        <v>10057.68</v>
      </c>
      <c r="J1868" s="10" t="s">
        <v>108</v>
      </c>
      <c r="K1868" s="10" t="s">
        <v>81</v>
      </c>
      <c r="L1868" t="str">
        <f>IFERROR(VLOOKUP(D1868,Products!A:F,3,0),"")</f>
        <v>Beauty</v>
      </c>
      <c r="M1868" t="str">
        <f>IFERROR(VLOOKUP(E1868,Sales_Reps!A:E,3,0),"")</f>
        <v>East</v>
      </c>
      <c r="N1868" t="str">
        <f>IFERROR(VLOOKUP(C1868,Customers!A:F,5,0),"")</f>
        <v>Retail</v>
      </c>
      <c r="O1868">
        <f>IFERROR(VLOOKUP(C1868,Customers!A:F,3,0),"")</f>
        <v>28</v>
      </c>
      <c r="P1868">
        <f>IFERROR(VLOOKUP(D1868,Products!A:F,4,0),"")</f>
        <v>1219</v>
      </c>
      <c r="Q1868" t="b">
        <f>IFERROR(VLOOKUP(D1868,Products!A:F,6,0),"")</f>
        <v>1</v>
      </c>
      <c r="R1868">
        <f t="shared" si="87"/>
        <v>0.46768558951965067</v>
      </c>
      <c r="S1868">
        <f t="shared" si="88"/>
        <v>1</v>
      </c>
      <c r="T1868">
        <f>IF(AND(S1868&gt;1,COUNTIF($A$2:A1868,A1868)=1),1,0)</f>
        <v>0</v>
      </c>
      <c r="U1868">
        <f>COUNTIF(Customers!$A$2:$A$301,C1868)</f>
        <v>1</v>
      </c>
      <c r="V1868">
        <f t="shared" si="89"/>
        <v>0</v>
      </c>
    </row>
    <row r="1869" spans="1:22" ht="14.25" customHeight="1" x14ac:dyDescent="0.35">
      <c r="A1869" s="10" t="s">
        <v>2330</v>
      </c>
      <c r="B1869" s="11">
        <v>45418</v>
      </c>
      <c r="C1869" s="10" t="s">
        <v>317</v>
      </c>
      <c r="D1869" s="10" t="s">
        <v>479</v>
      </c>
      <c r="E1869" s="10" t="s">
        <v>216</v>
      </c>
      <c r="F1869" s="12">
        <v>1</v>
      </c>
      <c r="G1869" s="12">
        <v>6940</v>
      </c>
      <c r="H1869" s="12">
        <v>15.7</v>
      </c>
      <c r="I1869" s="12">
        <v>5850.42</v>
      </c>
      <c r="J1869" s="10" t="s">
        <v>51</v>
      </c>
      <c r="K1869" s="10" t="s">
        <v>58</v>
      </c>
      <c r="L1869" t="str">
        <f>IFERROR(VLOOKUP(D1869,Products!A:F,3,0),"")</f>
        <v>Sports</v>
      </c>
      <c r="M1869" t="str">
        <f>IFERROR(VLOOKUP(E1869,Sales_Reps!A:E,3,0),"")</f>
        <v>South</v>
      </c>
      <c r="N1869" t="str">
        <f>IFERROR(VLOOKUP(C1869,Customers!A:F,5,0),"")</f>
        <v>Retail</v>
      </c>
      <c r="O1869">
        <f>IFERROR(VLOOKUP(C1869,Customers!A:F,3,0),"")</f>
        <v>60</v>
      </c>
      <c r="P1869">
        <f>IFERROR(VLOOKUP(D1869,Products!A:F,4,0),"")</f>
        <v>2827</v>
      </c>
      <c r="Q1869" t="b">
        <f>IFERROR(VLOOKUP(D1869,Products!A:F,6,0),"")</f>
        <v>1</v>
      </c>
      <c r="R1869">
        <f t="shared" si="87"/>
        <v>0.5926512968299712</v>
      </c>
      <c r="S1869">
        <f t="shared" si="88"/>
        <v>1</v>
      </c>
      <c r="T1869">
        <f>IF(AND(S1869&gt;1,COUNTIF($A$2:A1869,A1869)=1),1,0)</f>
        <v>0</v>
      </c>
      <c r="U1869">
        <f>COUNTIF(Customers!$A$2:$A$301,C1869)</f>
        <v>1</v>
      </c>
      <c r="V1869">
        <f t="shared" si="89"/>
        <v>0</v>
      </c>
    </row>
    <row r="1870" spans="1:22" ht="14.25" customHeight="1" x14ac:dyDescent="0.35">
      <c r="A1870" s="10" t="s">
        <v>2331</v>
      </c>
      <c r="B1870" s="11">
        <v>45623</v>
      </c>
      <c r="C1870" s="10" t="s">
        <v>375</v>
      </c>
      <c r="D1870" s="10" t="s">
        <v>190</v>
      </c>
      <c r="E1870" s="10" t="s">
        <v>168</v>
      </c>
      <c r="F1870" s="12">
        <v>3</v>
      </c>
      <c r="G1870" s="12">
        <v>3730</v>
      </c>
      <c r="H1870" s="12">
        <v>18.100000000000001</v>
      </c>
      <c r="I1870" s="12">
        <v>9164.61</v>
      </c>
      <c r="J1870" s="10" t="s">
        <v>51</v>
      </c>
      <c r="K1870" s="10" t="s">
        <v>76</v>
      </c>
      <c r="L1870" t="str">
        <f>IFERROR(VLOOKUP(D1870,Products!A:F,3,0),"")</f>
        <v>Home</v>
      </c>
      <c r="M1870" t="str">
        <f>IFERROR(VLOOKUP(E1870,Sales_Reps!A:E,3,0),"")</f>
        <v>South</v>
      </c>
      <c r="N1870" t="str">
        <f>IFERROR(VLOOKUP(C1870,Customers!A:F,5,0),"")</f>
        <v>Retail</v>
      </c>
      <c r="O1870">
        <f>IFERROR(VLOOKUP(C1870,Customers!A:F,3,0),"")</f>
        <v>61</v>
      </c>
      <c r="P1870">
        <f>IFERROR(VLOOKUP(D1870,Products!A:F,4,0),"")</f>
        <v>2135</v>
      </c>
      <c r="Q1870" t="b">
        <f>IFERROR(VLOOKUP(D1870,Products!A:F,6,0),"")</f>
        <v>1</v>
      </c>
      <c r="R1870">
        <f t="shared" si="87"/>
        <v>0.42761394101876676</v>
      </c>
      <c r="S1870">
        <f t="shared" si="88"/>
        <v>1</v>
      </c>
      <c r="T1870">
        <f>IF(AND(S1870&gt;1,COUNTIF($A$2:A1870,A1870)=1),1,0)</f>
        <v>0</v>
      </c>
      <c r="U1870">
        <f>COUNTIF(Customers!$A$2:$A$301,C1870)</f>
        <v>1</v>
      </c>
      <c r="V1870">
        <f t="shared" si="89"/>
        <v>0</v>
      </c>
    </row>
    <row r="1871" spans="1:22" ht="14.25" customHeight="1" x14ac:dyDescent="0.35">
      <c r="A1871" s="10" t="s">
        <v>2332</v>
      </c>
      <c r="B1871" s="11">
        <v>45528</v>
      </c>
      <c r="C1871" s="10" t="s">
        <v>306</v>
      </c>
      <c r="D1871" s="10" t="s">
        <v>190</v>
      </c>
      <c r="E1871" s="10" t="s">
        <v>261</v>
      </c>
      <c r="F1871" s="12">
        <v>8</v>
      </c>
      <c r="G1871" s="12">
        <v>3730</v>
      </c>
      <c r="H1871" s="12">
        <v>12.5</v>
      </c>
      <c r="I1871" s="12">
        <v>26110</v>
      </c>
      <c r="J1871" s="10" t="s">
        <v>51</v>
      </c>
      <c r="K1871" s="10" t="s">
        <v>58</v>
      </c>
      <c r="L1871" t="str">
        <f>IFERROR(VLOOKUP(D1871,Products!A:F,3,0),"")</f>
        <v>Home</v>
      </c>
      <c r="M1871" t="str">
        <f>IFERROR(VLOOKUP(E1871,Sales_Reps!A:E,3,0),"")</f>
        <v>North</v>
      </c>
      <c r="N1871" t="str">
        <f>IFERROR(VLOOKUP(C1871,Customers!A:F,5,0),"")</f>
        <v>Retail</v>
      </c>
      <c r="O1871">
        <f>IFERROR(VLOOKUP(C1871,Customers!A:F,3,0),"")</f>
        <v>26</v>
      </c>
      <c r="P1871">
        <f>IFERROR(VLOOKUP(D1871,Products!A:F,4,0),"")</f>
        <v>2135</v>
      </c>
      <c r="Q1871" t="b">
        <f>IFERROR(VLOOKUP(D1871,Products!A:F,6,0),"")</f>
        <v>1</v>
      </c>
      <c r="R1871">
        <f t="shared" si="87"/>
        <v>0.42761394101876676</v>
      </c>
      <c r="S1871">
        <f t="shared" si="88"/>
        <v>1</v>
      </c>
      <c r="T1871">
        <f>IF(AND(S1871&gt;1,COUNTIF($A$2:A1871,A1871)=1),1,0)</f>
        <v>0</v>
      </c>
      <c r="U1871">
        <f>COUNTIF(Customers!$A$2:$A$301,C1871)</f>
        <v>1</v>
      </c>
      <c r="V1871">
        <f t="shared" si="89"/>
        <v>0</v>
      </c>
    </row>
    <row r="1872" spans="1:22" ht="14.25" customHeight="1" x14ac:dyDescent="0.35">
      <c r="A1872" s="10" t="s">
        <v>2333</v>
      </c>
      <c r="B1872" s="11">
        <v>45644</v>
      </c>
      <c r="C1872" s="10" t="s">
        <v>1780</v>
      </c>
      <c r="D1872" s="10" t="s">
        <v>331</v>
      </c>
      <c r="E1872" s="10" t="s">
        <v>152</v>
      </c>
      <c r="F1872" s="12">
        <v>9</v>
      </c>
      <c r="G1872" s="12">
        <v>2380</v>
      </c>
      <c r="H1872" s="12">
        <v>8.1</v>
      </c>
      <c r="I1872" s="12">
        <v>19684.98</v>
      </c>
      <c r="J1872" s="10" t="s">
        <v>104</v>
      </c>
      <c r="K1872" s="10" t="s">
        <v>63</v>
      </c>
      <c r="L1872" t="str">
        <f>IFERROR(VLOOKUP(D1872,Products!A:F,3,0),"")</f>
        <v>Grocery</v>
      </c>
      <c r="M1872" t="str">
        <f>IFERROR(VLOOKUP(E1872,Sales_Reps!A:E,3,0),"")</f>
        <v>South</v>
      </c>
      <c r="N1872" t="str">
        <f>IFERROR(VLOOKUP(C1872,Customers!A:F,5,0),"")</f>
        <v>Retail</v>
      </c>
      <c r="O1872">
        <f>IFERROR(VLOOKUP(C1872,Customers!A:F,3,0),"")</f>
        <v>62</v>
      </c>
      <c r="P1872">
        <f>IFERROR(VLOOKUP(D1872,Products!A:F,4,0),"")</f>
        <v>1182</v>
      </c>
      <c r="Q1872" t="b">
        <f>IFERROR(VLOOKUP(D1872,Products!A:F,6,0),"")</f>
        <v>1</v>
      </c>
      <c r="R1872">
        <f t="shared" si="87"/>
        <v>0.50336134453781511</v>
      </c>
      <c r="S1872">
        <f t="shared" si="88"/>
        <v>1</v>
      </c>
      <c r="T1872">
        <f>IF(AND(S1872&gt;1,COUNTIF($A$2:A1872,A1872)=1),1,0)</f>
        <v>0</v>
      </c>
      <c r="U1872">
        <f>COUNTIF(Customers!$A$2:$A$301,C1872)</f>
        <v>1</v>
      </c>
      <c r="V1872">
        <f t="shared" si="89"/>
        <v>0</v>
      </c>
    </row>
    <row r="1873" spans="1:22" ht="14.25" customHeight="1" x14ac:dyDescent="0.35">
      <c r="A1873" s="10" t="s">
        <v>2334</v>
      </c>
      <c r="B1873" s="11">
        <v>45475</v>
      </c>
      <c r="C1873" s="10" t="s">
        <v>1181</v>
      </c>
      <c r="D1873" s="10" t="s">
        <v>128</v>
      </c>
      <c r="E1873" s="10" t="s">
        <v>261</v>
      </c>
      <c r="F1873" s="12">
        <v>6</v>
      </c>
      <c r="G1873" s="12">
        <v>1080</v>
      </c>
      <c r="H1873" s="12">
        <v>8.8000000000000007</v>
      </c>
      <c r="I1873" s="12">
        <v>5909.76</v>
      </c>
      <c r="J1873" s="10" t="s">
        <v>51</v>
      </c>
      <c r="K1873" s="10" t="s">
        <v>76</v>
      </c>
      <c r="L1873" t="str">
        <f>IFERROR(VLOOKUP(D1873,Products!A:F,3,0),"")</f>
        <v>Home</v>
      </c>
      <c r="M1873" t="str">
        <f>IFERROR(VLOOKUP(E1873,Sales_Reps!A:E,3,0),"")</f>
        <v>North</v>
      </c>
      <c r="N1873" t="str">
        <f>IFERROR(VLOOKUP(C1873,Customers!A:F,5,0),"")</f>
        <v>Retail</v>
      </c>
      <c r="O1873">
        <f>IFERROR(VLOOKUP(C1873,Customers!A:F,3,0),"")</f>
        <v>44</v>
      </c>
      <c r="P1873">
        <f>IFERROR(VLOOKUP(D1873,Products!A:F,4,0),"")</f>
        <v>519</v>
      </c>
      <c r="Q1873" t="b">
        <f>IFERROR(VLOOKUP(D1873,Products!A:F,6,0),"")</f>
        <v>1</v>
      </c>
      <c r="R1873">
        <f t="shared" si="87"/>
        <v>0.51944444444444449</v>
      </c>
      <c r="S1873">
        <f t="shared" si="88"/>
        <v>1</v>
      </c>
      <c r="T1873">
        <f>IF(AND(S1873&gt;1,COUNTIF($A$2:A1873,A1873)=1),1,0)</f>
        <v>0</v>
      </c>
      <c r="U1873">
        <f>COUNTIF(Customers!$A$2:$A$301,C1873)</f>
        <v>1</v>
      </c>
      <c r="V1873">
        <f t="shared" si="89"/>
        <v>0</v>
      </c>
    </row>
    <row r="1874" spans="1:22" ht="14.25" customHeight="1" x14ac:dyDescent="0.35">
      <c r="A1874" s="10" t="s">
        <v>2175</v>
      </c>
      <c r="B1874" s="11">
        <v>45401</v>
      </c>
      <c r="C1874" s="10" t="s">
        <v>556</v>
      </c>
      <c r="D1874" s="10" t="s">
        <v>61</v>
      </c>
      <c r="E1874" s="10" t="s">
        <v>216</v>
      </c>
      <c r="F1874" s="12">
        <v>5</v>
      </c>
      <c r="G1874" s="12">
        <v>470</v>
      </c>
      <c r="H1874" s="12">
        <v>1.3</v>
      </c>
      <c r="I1874" s="12">
        <v>2319.4499999999998</v>
      </c>
      <c r="J1874" s="10" t="s">
        <v>51</v>
      </c>
      <c r="K1874" s="10" t="s">
        <v>97</v>
      </c>
      <c r="L1874" t="str">
        <f>IFERROR(VLOOKUP(D1874,Products!A:F,3,0),"")</f>
        <v>Sports</v>
      </c>
      <c r="M1874" t="str">
        <f>IFERROR(VLOOKUP(E1874,Sales_Reps!A:E,3,0),"")</f>
        <v>South</v>
      </c>
      <c r="N1874" t="str">
        <f>IFERROR(VLOOKUP(C1874,Customers!A:F,5,0),"")</f>
        <v>Retail</v>
      </c>
      <c r="O1874">
        <f>IFERROR(VLOOKUP(C1874,Customers!A:F,3,0),"")</f>
        <v>22</v>
      </c>
      <c r="P1874">
        <f>IFERROR(VLOOKUP(D1874,Products!A:F,4,0),"")</f>
        <v>302</v>
      </c>
      <c r="Q1874" t="b">
        <f>IFERROR(VLOOKUP(D1874,Products!A:F,6,0),"")</f>
        <v>0</v>
      </c>
      <c r="R1874">
        <f t="shared" si="87"/>
        <v>0.35744680851063831</v>
      </c>
      <c r="S1874">
        <f t="shared" si="88"/>
        <v>2</v>
      </c>
      <c r="T1874">
        <f>IF(AND(S1874&gt;1,COUNTIF($A$2:A1874,A1874)=1),1,0)</f>
        <v>0</v>
      </c>
      <c r="U1874">
        <f>COUNTIF(Customers!$A$2:$A$301,C1874)</f>
        <v>1</v>
      </c>
      <c r="V1874">
        <f t="shared" si="89"/>
        <v>0</v>
      </c>
    </row>
    <row r="1875" spans="1:22" ht="14.25" customHeight="1" x14ac:dyDescent="0.35">
      <c r="A1875" s="10" t="s">
        <v>2335</v>
      </c>
      <c r="B1875" s="11">
        <v>45516</v>
      </c>
      <c r="C1875" s="10" t="s">
        <v>909</v>
      </c>
      <c r="D1875" s="10" t="s">
        <v>74</v>
      </c>
      <c r="E1875" s="10" t="s">
        <v>165</v>
      </c>
      <c r="F1875" s="12">
        <v>4</v>
      </c>
      <c r="G1875" s="12">
        <v>370</v>
      </c>
      <c r="H1875" s="12">
        <v>13.1</v>
      </c>
      <c r="I1875" s="12">
        <v>1286.1199999999999</v>
      </c>
      <c r="J1875" s="10" t="s">
        <v>51</v>
      </c>
      <c r="K1875" s="10" t="s">
        <v>52</v>
      </c>
      <c r="L1875" t="str">
        <f>IFERROR(VLOOKUP(D1875,Products!A:F,3,0),"")</f>
        <v>Home</v>
      </c>
      <c r="M1875" t="str">
        <f>IFERROR(VLOOKUP(E1875,Sales_Reps!A:E,3,0),"")</f>
        <v>West</v>
      </c>
      <c r="N1875" t="str">
        <f>IFERROR(VLOOKUP(C1875,Customers!A:F,5,0),"")</f>
        <v>Retail</v>
      </c>
      <c r="O1875">
        <f>IFERROR(VLOOKUP(C1875,Customers!A:F,3,0),"")</f>
        <v>54</v>
      </c>
      <c r="P1875">
        <f>IFERROR(VLOOKUP(D1875,Products!A:F,4,0),"")</f>
        <v>288</v>
      </c>
      <c r="Q1875" t="b">
        <f>IFERROR(VLOOKUP(D1875,Products!A:F,6,0),"")</f>
        <v>1</v>
      </c>
      <c r="R1875">
        <f t="shared" si="87"/>
        <v>0.22162162162162163</v>
      </c>
      <c r="S1875">
        <f t="shared" si="88"/>
        <v>1</v>
      </c>
      <c r="T1875">
        <f>IF(AND(S1875&gt;1,COUNTIF($A$2:A1875,A1875)=1),1,0)</f>
        <v>0</v>
      </c>
      <c r="U1875">
        <f>COUNTIF(Customers!$A$2:$A$301,C1875)</f>
        <v>1</v>
      </c>
      <c r="V1875">
        <f t="shared" si="89"/>
        <v>0</v>
      </c>
    </row>
    <row r="1876" spans="1:22" ht="14.25" customHeight="1" x14ac:dyDescent="0.35">
      <c r="A1876" s="10" t="s">
        <v>2336</v>
      </c>
      <c r="B1876" s="11">
        <v>45517</v>
      </c>
      <c r="C1876" s="10" t="s">
        <v>581</v>
      </c>
      <c r="D1876" s="10" t="s">
        <v>70</v>
      </c>
      <c r="E1876" s="10" t="s">
        <v>50</v>
      </c>
      <c r="F1876" s="12">
        <v>7</v>
      </c>
      <c r="G1876" s="12">
        <v>3160</v>
      </c>
      <c r="H1876" s="12">
        <v>12.3</v>
      </c>
      <c r="I1876" s="12">
        <v>19399.240000000002</v>
      </c>
      <c r="J1876" s="10" t="s">
        <v>51</v>
      </c>
      <c r="K1876" s="10" t="s">
        <v>76</v>
      </c>
      <c r="L1876" t="str">
        <f>IFERROR(VLOOKUP(D1876,Products!A:F,3,0),"")</f>
        <v>Apparel</v>
      </c>
      <c r="M1876" t="str">
        <f>IFERROR(VLOOKUP(E1876,Sales_Reps!A:E,3,0),"")</f>
        <v>North</v>
      </c>
      <c r="N1876" t="str">
        <f>IFERROR(VLOOKUP(C1876,Customers!A:F,5,0),"")</f>
        <v>SMB</v>
      </c>
      <c r="O1876">
        <f>IFERROR(VLOOKUP(C1876,Customers!A:F,3,0),"")</f>
        <v>65</v>
      </c>
      <c r="P1876">
        <f>IFERROR(VLOOKUP(D1876,Products!A:F,4,0),"")</f>
        <v>1886</v>
      </c>
      <c r="Q1876" t="b">
        <f>IFERROR(VLOOKUP(D1876,Products!A:F,6,0),"")</f>
        <v>1</v>
      </c>
      <c r="R1876">
        <f t="shared" si="87"/>
        <v>0.4031645569620253</v>
      </c>
      <c r="S1876">
        <f t="shared" si="88"/>
        <v>1</v>
      </c>
      <c r="T1876">
        <f>IF(AND(S1876&gt;1,COUNTIF($A$2:A1876,A1876)=1),1,0)</f>
        <v>0</v>
      </c>
      <c r="U1876">
        <f>COUNTIF(Customers!$A$2:$A$301,C1876)</f>
        <v>1</v>
      </c>
      <c r="V1876">
        <f t="shared" si="89"/>
        <v>0</v>
      </c>
    </row>
    <row r="1877" spans="1:22" ht="14.25" customHeight="1" x14ac:dyDescent="0.35">
      <c r="A1877" s="10" t="s">
        <v>2337</v>
      </c>
      <c r="B1877" s="11">
        <v>45645</v>
      </c>
      <c r="C1877" s="10" t="s">
        <v>367</v>
      </c>
      <c r="D1877" s="10" t="s">
        <v>623</v>
      </c>
      <c r="E1877" s="10" t="s">
        <v>80</v>
      </c>
      <c r="F1877" s="12">
        <v>5</v>
      </c>
      <c r="G1877" s="12">
        <v>3560</v>
      </c>
      <c r="H1877" s="12">
        <v>24</v>
      </c>
      <c r="I1877" s="12">
        <v>13528</v>
      </c>
      <c r="J1877" s="10" t="s">
        <v>51</v>
      </c>
      <c r="K1877" s="10" t="s">
        <v>81</v>
      </c>
      <c r="L1877" t="str">
        <f>IFERROR(VLOOKUP(D1877,Products!A:F,3,0),"")</f>
        <v>Apparel</v>
      </c>
      <c r="M1877" t="str">
        <f>IFERROR(VLOOKUP(E1877,Sales_Reps!A:E,3,0),"")</f>
        <v>West</v>
      </c>
      <c r="N1877" t="str">
        <f>IFERROR(VLOOKUP(C1877,Customers!A:F,5,0),"")</f>
        <v>Retail</v>
      </c>
      <c r="O1877">
        <f>IFERROR(VLOOKUP(C1877,Customers!A:F,3,0),"")</f>
        <v>59</v>
      </c>
      <c r="P1877">
        <f>IFERROR(VLOOKUP(D1877,Products!A:F,4,0),"")</f>
        <v>2629</v>
      </c>
      <c r="Q1877" t="b">
        <f>IFERROR(VLOOKUP(D1877,Products!A:F,6,0),"")</f>
        <v>1</v>
      </c>
      <c r="R1877">
        <f t="shared" si="87"/>
        <v>0.26151685393258428</v>
      </c>
      <c r="S1877">
        <f t="shared" si="88"/>
        <v>1</v>
      </c>
      <c r="T1877">
        <f>IF(AND(S1877&gt;1,COUNTIF($A$2:A1877,A1877)=1),1,0)</f>
        <v>0</v>
      </c>
      <c r="U1877">
        <f>COUNTIF(Customers!$A$2:$A$301,C1877)</f>
        <v>1</v>
      </c>
      <c r="V1877">
        <f t="shared" si="89"/>
        <v>0</v>
      </c>
    </row>
    <row r="1878" spans="1:22" ht="14.25" customHeight="1" x14ac:dyDescent="0.35">
      <c r="A1878" s="10" t="s">
        <v>2338</v>
      </c>
      <c r="B1878" s="11">
        <v>45417</v>
      </c>
      <c r="C1878" s="10" t="s">
        <v>386</v>
      </c>
      <c r="D1878" s="10" t="s">
        <v>259</v>
      </c>
      <c r="E1878" s="10" t="s">
        <v>122</v>
      </c>
      <c r="F1878" s="12">
        <v>6</v>
      </c>
      <c r="G1878" s="12">
        <v>2030</v>
      </c>
      <c r="H1878" s="12">
        <v>20.5</v>
      </c>
      <c r="I1878" s="12">
        <v>9683.1</v>
      </c>
      <c r="J1878" s="10" t="s">
        <v>51</v>
      </c>
      <c r="K1878" s="10" t="s">
        <v>58</v>
      </c>
      <c r="L1878" t="str">
        <f>IFERROR(VLOOKUP(D1878,Products!A:F,3,0),"")</f>
        <v>Home</v>
      </c>
      <c r="M1878" t="str">
        <f>IFERROR(VLOOKUP(E1878,Sales_Reps!A:E,3,0),"")</f>
        <v>East</v>
      </c>
      <c r="N1878" t="str">
        <f>IFERROR(VLOOKUP(C1878,Customers!A:F,5,0),"")</f>
        <v>SMB</v>
      </c>
      <c r="O1878">
        <f>IFERROR(VLOOKUP(C1878,Customers!A:F,3,0),"")</f>
        <v>64</v>
      </c>
      <c r="P1878">
        <f>IFERROR(VLOOKUP(D1878,Products!A:F,4,0),"")</f>
        <v>1143</v>
      </c>
      <c r="Q1878" t="b">
        <f>IFERROR(VLOOKUP(D1878,Products!A:F,6,0),"")</f>
        <v>1</v>
      </c>
      <c r="R1878">
        <f t="shared" si="87"/>
        <v>0.43694581280788175</v>
      </c>
      <c r="S1878">
        <f t="shared" si="88"/>
        <v>1</v>
      </c>
      <c r="T1878">
        <f>IF(AND(S1878&gt;1,COUNTIF($A$2:A1878,A1878)=1),1,0)</f>
        <v>0</v>
      </c>
      <c r="U1878">
        <f>COUNTIF(Customers!$A$2:$A$301,C1878)</f>
        <v>1</v>
      </c>
      <c r="V1878">
        <f t="shared" si="89"/>
        <v>0</v>
      </c>
    </row>
    <row r="1879" spans="1:22" ht="14.25" customHeight="1" x14ac:dyDescent="0.35">
      <c r="A1879" s="10" t="s">
        <v>2339</v>
      </c>
      <c r="B1879" s="11">
        <v>45351</v>
      </c>
      <c r="C1879" s="10" t="s">
        <v>436</v>
      </c>
      <c r="D1879" s="10" t="s">
        <v>99</v>
      </c>
      <c r="E1879" s="10" t="s">
        <v>267</v>
      </c>
      <c r="F1879" s="12">
        <v>5</v>
      </c>
      <c r="G1879" s="12">
        <v>2640</v>
      </c>
      <c r="H1879" s="12">
        <v>21.3</v>
      </c>
      <c r="I1879" s="12">
        <v>10388.4</v>
      </c>
      <c r="J1879" s="10" t="s">
        <v>57</v>
      </c>
      <c r="K1879" s="10" t="s">
        <v>58</v>
      </c>
      <c r="L1879" t="str">
        <f>IFERROR(VLOOKUP(D1879,Products!A:F,3,0),"")</f>
        <v>Electronics</v>
      </c>
      <c r="M1879" t="str">
        <f>IFERROR(VLOOKUP(E1879,Sales_Reps!A:E,3,0),"")</f>
        <v>East</v>
      </c>
      <c r="N1879" t="str">
        <f>IFERROR(VLOOKUP(C1879,Customers!A:F,5,0),"")</f>
        <v>Corporate</v>
      </c>
      <c r="O1879">
        <f>IFERROR(VLOOKUP(C1879,Customers!A:F,3,0),"")</f>
        <v>35</v>
      </c>
      <c r="P1879">
        <f>IFERROR(VLOOKUP(D1879,Products!A:F,4,0),"")</f>
        <v>1149</v>
      </c>
      <c r="Q1879" t="b">
        <f>IFERROR(VLOOKUP(D1879,Products!A:F,6,0),"")</f>
        <v>1</v>
      </c>
      <c r="R1879">
        <f t="shared" si="87"/>
        <v>0.56477272727272732</v>
      </c>
      <c r="S1879">
        <f t="shared" si="88"/>
        <v>1</v>
      </c>
      <c r="T1879">
        <f>IF(AND(S1879&gt;1,COUNTIF($A$2:A1879,A1879)=1),1,0)</f>
        <v>0</v>
      </c>
      <c r="U1879">
        <f>COUNTIF(Customers!$A$2:$A$301,C1879)</f>
        <v>1</v>
      </c>
      <c r="V1879">
        <f t="shared" si="89"/>
        <v>0</v>
      </c>
    </row>
    <row r="1880" spans="1:22" ht="14.25" customHeight="1" x14ac:dyDescent="0.35">
      <c r="A1880" s="10" t="s">
        <v>2340</v>
      </c>
      <c r="B1880" s="11">
        <v>45629</v>
      </c>
      <c r="C1880" s="10" t="s">
        <v>189</v>
      </c>
      <c r="D1880" s="10" t="s">
        <v>209</v>
      </c>
      <c r="E1880" s="10" t="s">
        <v>261</v>
      </c>
      <c r="F1880" s="12">
        <v>4</v>
      </c>
      <c r="G1880" s="12">
        <v>2270</v>
      </c>
      <c r="H1880" s="12">
        <v>15.8</v>
      </c>
      <c r="I1880" s="12">
        <v>7645.36</v>
      </c>
      <c r="J1880" s="10" t="s">
        <v>51</v>
      </c>
      <c r="K1880" s="10" t="s">
        <v>58</v>
      </c>
      <c r="L1880" t="str">
        <f>IFERROR(VLOOKUP(D1880,Products!A:F,3,0),"")</f>
        <v>Grocery</v>
      </c>
      <c r="M1880" t="str">
        <f>IFERROR(VLOOKUP(E1880,Sales_Reps!A:E,3,0),"")</f>
        <v>North</v>
      </c>
      <c r="N1880" t="str">
        <f>IFERROR(VLOOKUP(C1880,Customers!A:F,5,0),"")</f>
        <v>Retail</v>
      </c>
      <c r="O1880">
        <f>IFERROR(VLOOKUP(C1880,Customers!A:F,3,0),"")</f>
        <v>37</v>
      </c>
      <c r="P1880">
        <f>IFERROR(VLOOKUP(D1880,Products!A:F,4,0),"")</f>
        <v>1412</v>
      </c>
      <c r="Q1880" t="b">
        <f>IFERROR(VLOOKUP(D1880,Products!A:F,6,0),"")</f>
        <v>1</v>
      </c>
      <c r="R1880">
        <f t="shared" si="87"/>
        <v>0.37797356828193834</v>
      </c>
      <c r="S1880">
        <f t="shared" si="88"/>
        <v>1</v>
      </c>
      <c r="T1880">
        <f>IF(AND(S1880&gt;1,COUNTIF($A$2:A1880,A1880)=1),1,0)</f>
        <v>0</v>
      </c>
      <c r="U1880">
        <f>COUNTIF(Customers!$A$2:$A$301,C1880)</f>
        <v>1</v>
      </c>
      <c r="V1880">
        <f t="shared" si="89"/>
        <v>0</v>
      </c>
    </row>
    <row r="1881" spans="1:22" ht="14.25" customHeight="1" x14ac:dyDescent="0.35">
      <c r="A1881" s="10" t="s">
        <v>2341</v>
      </c>
      <c r="B1881" s="11">
        <v>45588</v>
      </c>
      <c r="C1881" s="10" t="s">
        <v>492</v>
      </c>
      <c r="D1881" s="10" t="s">
        <v>74</v>
      </c>
      <c r="E1881" s="10" t="s">
        <v>261</v>
      </c>
      <c r="F1881" s="12">
        <v>1</v>
      </c>
      <c r="G1881" s="12">
        <v>370</v>
      </c>
      <c r="H1881" s="12">
        <v>27</v>
      </c>
      <c r="I1881" s="12">
        <v>270.10000000000002</v>
      </c>
      <c r="J1881" s="10" t="s">
        <v>57</v>
      </c>
      <c r="K1881" s="10" t="s">
        <v>76</v>
      </c>
      <c r="L1881" t="str">
        <f>IFERROR(VLOOKUP(D1881,Products!A:F,3,0),"")</f>
        <v>Home</v>
      </c>
      <c r="M1881" t="str">
        <f>IFERROR(VLOOKUP(E1881,Sales_Reps!A:E,3,0),"")</f>
        <v>North</v>
      </c>
      <c r="N1881" t="str">
        <f>IFERROR(VLOOKUP(C1881,Customers!A:F,5,0),"")</f>
        <v>Retail</v>
      </c>
      <c r="O1881">
        <f>IFERROR(VLOOKUP(C1881,Customers!A:F,3,0),"")</f>
        <v>44</v>
      </c>
      <c r="P1881">
        <f>IFERROR(VLOOKUP(D1881,Products!A:F,4,0),"")</f>
        <v>288</v>
      </c>
      <c r="Q1881" t="b">
        <f>IFERROR(VLOOKUP(D1881,Products!A:F,6,0),"")</f>
        <v>1</v>
      </c>
      <c r="R1881">
        <f t="shared" si="87"/>
        <v>0.22162162162162163</v>
      </c>
      <c r="S1881">
        <f t="shared" si="88"/>
        <v>1</v>
      </c>
      <c r="T1881">
        <f>IF(AND(S1881&gt;1,COUNTIF($A$2:A1881,A1881)=1),1,0)</f>
        <v>0</v>
      </c>
      <c r="U1881">
        <f>COUNTIF(Customers!$A$2:$A$301,C1881)</f>
        <v>1</v>
      </c>
      <c r="V1881">
        <f t="shared" si="89"/>
        <v>0</v>
      </c>
    </row>
    <row r="1882" spans="1:22" ht="14.25" customHeight="1" x14ac:dyDescent="0.35">
      <c r="A1882" s="10" t="s">
        <v>2342</v>
      </c>
      <c r="B1882" s="11">
        <v>45366</v>
      </c>
      <c r="C1882" s="10" t="s">
        <v>236</v>
      </c>
      <c r="D1882" s="10" t="s">
        <v>155</v>
      </c>
      <c r="E1882" s="10" t="s">
        <v>202</v>
      </c>
      <c r="F1882" s="12">
        <v>9</v>
      </c>
      <c r="G1882" s="12">
        <v>5100</v>
      </c>
      <c r="H1882" s="12">
        <v>2.4</v>
      </c>
      <c r="I1882" s="12">
        <v>44798.400000000001</v>
      </c>
      <c r="J1882" s="10" t="s">
        <v>51</v>
      </c>
      <c r="K1882" s="10" t="s">
        <v>58</v>
      </c>
      <c r="L1882" t="str">
        <f>IFERROR(VLOOKUP(D1882,Products!A:F,3,0),"")</f>
        <v>Beauty</v>
      </c>
      <c r="M1882" t="str">
        <f>IFERROR(VLOOKUP(E1882,Sales_Reps!A:E,3,0),"")</f>
        <v>East</v>
      </c>
      <c r="N1882" t="str">
        <f>IFERROR(VLOOKUP(C1882,Customers!A:F,5,0),"")</f>
        <v>SMB</v>
      </c>
      <c r="O1882">
        <f>IFERROR(VLOOKUP(C1882,Customers!A:F,3,0),"")</f>
        <v>55</v>
      </c>
      <c r="P1882">
        <f>IFERROR(VLOOKUP(D1882,Products!A:F,4,0),"")</f>
        <v>2237</v>
      </c>
      <c r="Q1882" t="b">
        <f>IFERROR(VLOOKUP(D1882,Products!A:F,6,0),"")</f>
        <v>1</v>
      </c>
      <c r="R1882">
        <f t="shared" si="87"/>
        <v>0.56137254901960787</v>
      </c>
      <c r="S1882">
        <f t="shared" si="88"/>
        <v>1</v>
      </c>
      <c r="T1882">
        <f>IF(AND(S1882&gt;1,COUNTIF($A$2:A1882,A1882)=1),1,0)</f>
        <v>0</v>
      </c>
      <c r="U1882">
        <f>COUNTIF(Customers!$A$2:$A$301,C1882)</f>
        <v>1</v>
      </c>
      <c r="V1882">
        <f t="shared" si="89"/>
        <v>0</v>
      </c>
    </row>
    <row r="1883" spans="1:22" ht="14.25" customHeight="1" x14ac:dyDescent="0.35">
      <c r="A1883" s="10" t="s">
        <v>2343</v>
      </c>
      <c r="B1883" s="11">
        <v>45322</v>
      </c>
      <c r="C1883" s="10" t="s">
        <v>556</v>
      </c>
      <c r="D1883" s="10" t="s">
        <v>74</v>
      </c>
      <c r="E1883" s="10" t="s">
        <v>118</v>
      </c>
      <c r="F1883" s="12">
        <v>6</v>
      </c>
      <c r="G1883" s="12">
        <v>370</v>
      </c>
      <c r="H1883" s="12">
        <v>18.7</v>
      </c>
      <c r="I1883" s="12">
        <v>1804.86</v>
      </c>
      <c r="J1883" s="10" t="s">
        <v>104</v>
      </c>
      <c r="K1883" s="10" t="s">
        <v>97</v>
      </c>
      <c r="L1883" t="str">
        <f>IFERROR(VLOOKUP(D1883,Products!A:F,3,0),"")</f>
        <v>Home</v>
      </c>
      <c r="M1883" t="str">
        <f>IFERROR(VLOOKUP(E1883,Sales_Reps!A:E,3,0),"")</f>
        <v>East</v>
      </c>
      <c r="N1883" t="str">
        <f>IFERROR(VLOOKUP(C1883,Customers!A:F,5,0),"")</f>
        <v>Retail</v>
      </c>
      <c r="O1883">
        <f>IFERROR(VLOOKUP(C1883,Customers!A:F,3,0),"")</f>
        <v>22</v>
      </c>
      <c r="P1883">
        <f>IFERROR(VLOOKUP(D1883,Products!A:F,4,0),"")</f>
        <v>288</v>
      </c>
      <c r="Q1883" t="b">
        <f>IFERROR(VLOOKUP(D1883,Products!A:F,6,0),"")</f>
        <v>1</v>
      </c>
      <c r="R1883">
        <f t="shared" si="87"/>
        <v>0.22162162162162163</v>
      </c>
      <c r="S1883">
        <f t="shared" si="88"/>
        <v>1</v>
      </c>
      <c r="T1883">
        <f>IF(AND(S1883&gt;1,COUNTIF($A$2:A1883,A1883)=1),1,0)</f>
        <v>0</v>
      </c>
      <c r="U1883">
        <f>COUNTIF(Customers!$A$2:$A$301,C1883)</f>
        <v>1</v>
      </c>
      <c r="V1883">
        <f t="shared" si="89"/>
        <v>0</v>
      </c>
    </row>
    <row r="1884" spans="1:22" ht="14.25" customHeight="1" x14ac:dyDescent="0.35">
      <c r="A1884" s="10" t="s">
        <v>2344</v>
      </c>
      <c r="B1884" s="11">
        <v>45465</v>
      </c>
      <c r="C1884" s="10" t="s">
        <v>527</v>
      </c>
      <c r="D1884" s="10" t="s">
        <v>91</v>
      </c>
      <c r="E1884" s="10" t="s">
        <v>103</v>
      </c>
      <c r="F1884" s="12">
        <v>6</v>
      </c>
      <c r="G1884" s="12">
        <v>970</v>
      </c>
      <c r="H1884" s="12">
        <v>21.6</v>
      </c>
      <c r="I1884" s="12">
        <v>4562.88</v>
      </c>
      <c r="J1884" s="10" t="s">
        <v>51</v>
      </c>
      <c r="K1884" s="10" t="s">
        <v>52</v>
      </c>
      <c r="L1884" t="str">
        <f>IFERROR(VLOOKUP(D1884,Products!A:F,3,0),"")</f>
        <v>Grocery</v>
      </c>
      <c r="M1884" t="str">
        <f>IFERROR(VLOOKUP(E1884,Sales_Reps!A:E,3,0),"")</f>
        <v>North</v>
      </c>
      <c r="N1884" t="str">
        <f>IFERROR(VLOOKUP(C1884,Customers!A:F,5,0),"")</f>
        <v>SMB</v>
      </c>
      <c r="O1884">
        <f>IFERROR(VLOOKUP(C1884,Customers!A:F,3,0),"")</f>
        <v>24</v>
      </c>
      <c r="P1884">
        <f>IFERROR(VLOOKUP(D1884,Products!A:F,4,0),"")</f>
        <v>434</v>
      </c>
      <c r="Q1884" t="b">
        <f>IFERROR(VLOOKUP(D1884,Products!A:F,6,0),"")</f>
        <v>1</v>
      </c>
      <c r="R1884">
        <f t="shared" si="87"/>
        <v>0.5525773195876289</v>
      </c>
      <c r="S1884">
        <f t="shared" si="88"/>
        <v>1</v>
      </c>
      <c r="T1884">
        <f>IF(AND(S1884&gt;1,COUNTIF($A$2:A1884,A1884)=1),1,0)</f>
        <v>0</v>
      </c>
      <c r="U1884">
        <f>COUNTIF(Customers!$A$2:$A$301,C1884)</f>
        <v>1</v>
      </c>
      <c r="V1884">
        <f t="shared" si="89"/>
        <v>0</v>
      </c>
    </row>
    <row r="1885" spans="1:22" ht="14.25" customHeight="1" x14ac:dyDescent="0.35">
      <c r="A1885" s="10" t="s">
        <v>2345</v>
      </c>
      <c r="B1885" s="11">
        <v>45622</v>
      </c>
      <c r="C1885" s="10" t="s">
        <v>2346</v>
      </c>
      <c r="D1885" s="10" t="s">
        <v>302</v>
      </c>
      <c r="E1885" s="10" t="s">
        <v>193</v>
      </c>
      <c r="F1885" s="12">
        <v>3</v>
      </c>
      <c r="G1885" s="12">
        <v>2210</v>
      </c>
      <c r="H1885" s="12">
        <v>8.5</v>
      </c>
      <c r="I1885" s="12">
        <v>6066.45</v>
      </c>
      <c r="J1885" s="10" t="s">
        <v>51</v>
      </c>
      <c r="K1885" s="10" t="s">
        <v>63</v>
      </c>
      <c r="L1885" t="str">
        <f>IFERROR(VLOOKUP(D1885,Products!A:F,3,0),"")</f>
        <v>Grocery</v>
      </c>
      <c r="M1885" t="str">
        <f>IFERROR(VLOOKUP(E1885,Sales_Reps!A:E,3,0),"")</f>
        <v>West</v>
      </c>
      <c r="N1885" t="str">
        <f>IFERROR(VLOOKUP(C1885,Customers!A:F,5,0),"")</f>
        <v/>
      </c>
      <c r="O1885" t="str">
        <f>IFERROR(VLOOKUP(C1885,Customers!A:F,3,0),"")</f>
        <v/>
      </c>
      <c r="P1885">
        <f>IFERROR(VLOOKUP(D1885,Products!A:F,4,0),"")</f>
        <v>1010</v>
      </c>
      <c r="Q1885" t="b">
        <f>IFERROR(VLOOKUP(D1885,Products!A:F,6,0),"")</f>
        <v>1</v>
      </c>
      <c r="R1885">
        <f t="shared" si="87"/>
        <v>0.54298642533936647</v>
      </c>
      <c r="S1885">
        <f t="shared" si="88"/>
        <v>1</v>
      </c>
      <c r="T1885">
        <f>IF(AND(S1885&gt;1,COUNTIF($A$2:A1885,A1885)=1),1,0)</f>
        <v>0</v>
      </c>
      <c r="U1885">
        <f>COUNTIF(Customers!$A$2:$A$301,C1885)</f>
        <v>0</v>
      </c>
      <c r="V1885">
        <f t="shared" si="89"/>
        <v>0</v>
      </c>
    </row>
    <row r="1886" spans="1:22" ht="14.25" customHeight="1" x14ac:dyDescent="0.35">
      <c r="A1886" s="10" t="s">
        <v>2347</v>
      </c>
      <c r="B1886" s="11">
        <v>45457</v>
      </c>
      <c r="C1886" s="10" t="s">
        <v>346</v>
      </c>
      <c r="D1886" s="10" t="s">
        <v>140</v>
      </c>
      <c r="E1886" s="10" t="s">
        <v>261</v>
      </c>
      <c r="F1886" s="12">
        <v>1</v>
      </c>
      <c r="G1886" s="12">
        <v>1650</v>
      </c>
      <c r="H1886" s="12">
        <v>19.7</v>
      </c>
      <c r="I1886" s="12">
        <v>1324.95</v>
      </c>
      <c r="J1886" s="10" t="s">
        <v>51</v>
      </c>
      <c r="K1886" s="10" t="s">
        <v>63</v>
      </c>
      <c r="L1886" t="str">
        <f>IFERROR(VLOOKUP(D1886,Products!A:F,3,0),"")</f>
        <v>Beauty</v>
      </c>
      <c r="M1886" t="str">
        <f>IFERROR(VLOOKUP(E1886,Sales_Reps!A:E,3,0),"")</f>
        <v>North</v>
      </c>
      <c r="N1886" t="str">
        <f>IFERROR(VLOOKUP(C1886,Customers!A:F,5,0),"")</f>
        <v>Corporate</v>
      </c>
      <c r="O1886">
        <f>IFERROR(VLOOKUP(C1886,Customers!A:F,3,0),"")</f>
        <v>27</v>
      </c>
      <c r="P1886">
        <f>IFERROR(VLOOKUP(D1886,Products!A:F,4,0),"")</f>
        <v>1222</v>
      </c>
      <c r="Q1886" t="b">
        <f>IFERROR(VLOOKUP(D1886,Products!A:F,6,0),"")</f>
        <v>1</v>
      </c>
      <c r="R1886">
        <f t="shared" si="87"/>
        <v>0.2593939393939394</v>
      </c>
      <c r="S1886">
        <f t="shared" si="88"/>
        <v>1</v>
      </c>
      <c r="T1886">
        <f>IF(AND(S1886&gt;1,COUNTIF($A$2:A1886,A1886)=1),1,0)</f>
        <v>0</v>
      </c>
      <c r="U1886">
        <f>COUNTIF(Customers!$A$2:$A$301,C1886)</f>
        <v>1</v>
      </c>
      <c r="V1886">
        <f t="shared" si="89"/>
        <v>0</v>
      </c>
    </row>
    <row r="1887" spans="1:22" ht="14.25" customHeight="1" x14ac:dyDescent="0.35">
      <c r="A1887" s="10" t="s">
        <v>2348</v>
      </c>
      <c r="B1887" s="11">
        <v>45480</v>
      </c>
      <c r="C1887" s="10" t="s">
        <v>912</v>
      </c>
      <c r="D1887" s="10" t="s">
        <v>479</v>
      </c>
      <c r="E1887" s="10" t="s">
        <v>112</v>
      </c>
      <c r="F1887" s="12">
        <v>5</v>
      </c>
      <c r="G1887" s="12">
        <v>6940</v>
      </c>
      <c r="H1887" s="12">
        <v>7.7</v>
      </c>
      <c r="I1887" s="12">
        <v>32028.1</v>
      </c>
      <c r="J1887" s="10" t="s">
        <v>51</v>
      </c>
      <c r="K1887" s="10" t="s">
        <v>52</v>
      </c>
      <c r="L1887" t="str">
        <f>IFERROR(VLOOKUP(D1887,Products!A:F,3,0),"")</f>
        <v>Sports</v>
      </c>
      <c r="M1887" t="str">
        <f>IFERROR(VLOOKUP(E1887,Sales_Reps!A:E,3,0),"")</f>
        <v>North</v>
      </c>
      <c r="N1887" t="str">
        <f>IFERROR(VLOOKUP(C1887,Customers!A:F,5,0),"")</f>
        <v>Retail</v>
      </c>
      <c r="O1887">
        <f>IFERROR(VLOOKUP(C1887,Customers!A:F,3,0),"")</f>
        <v>65</v>
      </c>
      <c r="P1887">
        <f>IFERROR(VLOOKUP(D1887,Products!A:F,4,0),"")</f>
        <v>2827</v>
      </c>
      <c r="Q1887" t="b">
        <f>IFERROR(VLOOKUP(D1887,Products!A:F,6,0),"")</f>
        <v>1</v>
      </c>
      <c r="R1887">
        <f t="shared" si="87"/>
        <v>0.5926512968299712</v>
      </c>
      <c r="S1887">
        <f t="shared" si="88"/>
        <v>1</v>
      </c>
      <c r="T1887">
        <f>IF(AND(S1887&gt;1,COUNTIF($A$2:A1887,A1887)=1),1,0)</f>
        <v>0</v>
      </c>
      <c r="U1887">
        <f>COUNTIF(Customers!$A$2:$A$301,C1887)</f>
        <v>1</v>
      </c>
      <c r="V1887">
        <f t="shared" si="89"/>
        <v>0</v>
      </c>
    </row>
    <row r="1888" spans="1:22" ht="14.25" customHeight="1" x14ac:dyDescent="0.35">
      <c r="A1888" s="10" t="s">
        <v>2349</v>
      </c>
      <c r="B1888" s="11">
        <v>45392</v>
      </c>
      <c r="C1888" s="10" t="s">
        <v>451</v>
      </c>
      <c r="D1888" s="10" t="s">
        <v>302</v>
      </c>
      <c r="E1888" s="10" t="s">
        <v>249</v>
      </c>
      <c r="F1888" s="12">
        <v>2</v>
      </c>
      <c r="G1888" s="12">
        <v>2210</v>
      </c>
      <c r="H1888" s="12">
        <v>5.6</v>
      </c>
      <c r="I1888" s="12">
        <v>4172.4799999999996</v>
      </c>
      <c r="J1888" s="10" t="s">
        <v>104</v>
      </c>
      <c r="K1888" s="10" t="s">
        <v>52</v>
      </c>
      <c r="L1888" t="str">
        <f>IFERROR(VLOOKUP(D1888,Products!A:F,3,0),"")</f>
        <v>Grocery</v>
      </c>
      <c r="M1888" t="str">
        <f>IFERROR(VLOOKUP(E1888,Sales_Reps!A:E,3,0),"")</f>
        <v>East</v>
      </c>
      <c r="N1888" t="str">
        <f>IFERROR(VLOOKUP(C1888,Customers!A:F,5,0),"")</f>
        <v>Corporate</v>
      </c>
      <c r="O1888">
        <f>IFERROR(VLOOKUP(C1888,Customers!A:F,3,0),"")</f>
        <v>29</v>
      </c>
      <c r="P1888">
        <f>IFERROR(VLOOKUP(D1888,Products!A:F,4,0),"")</f>
        <v>1010</v>
      </c>
      <c r="Q1888" t="b">
        <f>IFERROR(VLOOKUP(D1888,Products!A:F,6,0),"")</f>
        <v>1</v>
      </c>
      <c r="R1888">
        <f t="shared" si="87"/>
        <v>0.54298642533936647</v>
      </c>
      <c r="S1888">
        <f t="shared" si="88"/>
        <v>1</v>
      </c>
      <c r="T1888">
        <f>IF(AND(S1888&gt;1,COUNTIF($A$2:A1888,A1888)=1),1,0)</f>
        <v>0</v>
      </c>
      <c r="U1888">
        <f>COUNTIF(Customers!$A$2:$A$301,C1888)</f>
        <v>1</v>
      </c>
      <c r="V1888">
        <f t="shared" si="89"/>
        <v>0</v>
      </c>
    </row>
    <row r="1889" spans="1:22" ht="14.25" customHeight="1" x14ac:dyDescent="0.35">
      <c r="A1889" s="10" t="s">
        <v>2350</v>
      </c>
      <c r="B1889" s="11">
        <v>45380</v>
      </c>
      <c r="C1889" s="10" t="s">
        <v>280</v>
      </c>
      <c r="D1889" s="10" t="s">
        <v>102</v>
      </c>
      <c r="E1889" s="10" t="s">
        <v>62</v>
      </c>
      <c r="F1889" s="12">
        <v>9</v>
      </c>
      <c r="G1889" s="12">
        <v>2600</v>
      </c>
      <c r="H1889" s="12">
        <v>3.1</v>
      </c>
      <c r="I1889" s="12">
        <v>22674.6</v>
      </c>
      <c r="J1889" s="10" t="s">
        <v>51</v>
      </c>
      <c r="K1889" s="10" t="s">
        <v>52</v>
      </c>
      <c r="L1889" t="str">
        <f>IFERROR(VLOOKUP(D1889,Products!A:F,3,0),"")</f>
        <v>Electronics</v>
      </c>
      <c r="M1889" t="str">
        <f>IFERROR(VLOOKUP(E1889,Sales_Reps!A:E,3,0),"")</f>
        <v>South</v>
      </c>
      <c r="N1889" t="str">
        <f>IFERROR(VLOOKUP(C1889,Customers!A:F,5,0),"")</f>
        <v>SMB</v>
      </c>
      <c r="O1889">
        <f>IFERROR(VLOOKUP(C1889,Customers!A:F,3,0),"")</f>
        <v>60</v>
      </c>
      <c r="P1889">
        <f>IFERROR(VLOOKUP(D1889,Products!A:F,4,0),"")</f>
        <v>1052</v>
      </c>
      <c r="Q1889" t="b">
        <f>IFERROR(VLOOKUP(D1889,Products!A:F,6,0),"")</f>
        <v>1</v>
      </c>
      <c r="R1889">
        <f t="shared" si="87"/>
        <v>0.5953846153846154</v>
      </c>
      <c r="S1889">
        <f t="shared" si="88"/>
        <v>1</v>
      </c>
      <c r="T1889">
        <f>IF(AND(S1889&gt;1,COUNTIF($A$2:A1889,A1889)=1),1,0)</f>
        <v>0</v>
      </c>
      <c r="U1889">
        <f>COUNTIF(Customers!$A$2:$A$301,C1889)</f>
        <v>1</v>
      </c>
      <c r="V1889">
        <f t="shared" si="89"/>
        <v>0</v>
      </c>
    </row>
    <row r="1890" spans="1:22" ht="14.25" customHeight="1" x14ac:dyDescent="0.35">
      <c r="A1890" s="10" t="s">
        <v>2351</v>
      </c>
      <c r="B1890" s="11">
        <v>45494</v>
      </c>
      <c r="C1890" s="10" t="s">
        <v>864</v>
      </c>
      <c r="D1890" s="10" t="s">
        <v>425</v>
      </c>
      <c r="E1890" s="10" t="s">
        <v>112</v>
      </c>
      <c r="F1890" s="12">
        <v>7</v>
      </c>
      <c r="G1890" s="12">
        <v>3780</v>
      </c>
      <c r="H1890" s="12">
        <v>13.3</v>
      </c>
      <c r="I1890" s="12">
        <v>22940.82</v>
      </c>
      <c r="J1890" s="10" t="s">
        <v>51</v>
      </c>
      <c r="K1890" s="10" t="s">
        <v>81</v>
      </c>
      <c r="L1890" t="str">
        <f>IFERROR(VLOOKUP(D1890,Products!A:F,3,0),"")</f>
        <v>Sports</v>
      </c>
      <c r="M1890" t="str">
        <f>IFERROR(VLOOKUP(E1890,Sales_Reps!A:E,3,0),"")</f>
        <v>North</v>
      </c>
      <c r="N1890" t="str">
        <f>IFERROR(VLOOKUP(C1890,Customers!A:F,5,0),"")</f>
        <v>Retail</v>
      </c>
      <c r="O1890">
        <f>IFERROR(VLOOKUP(C1890,Customers!A:F,3,0),"")</f>
        <v>35</v>
      </c>
      <c r="P1890">
        <f>IFERROR(VLOOKUP(D1890,Products!A:F,4,0),"")</f>
        <v>1860</v>
      </c>
      <c r="Q1890" t="b">
        <f>IFERROR(VLOOKUP(D1890,Products!A:F,6,0),"")</f>
        <v>1</v>
      </c>
      <c r="R1890">
        <f t="shared" si="87"/>
        <v>0.50793650793650791</v>
      </c>
      <c r="S1890">
        <f t="shared" si="88"/>
        <v>1</v>
      </c>
      <c r="T1890">
        <f>IF(AND(S1890&gt;1,COUNTIF($A$2:A1890,A1890)=1),1,0)</f>
        <v>0</v>
      </c>
      <c r="U1890">
        <f>COUNTIF(Customers!$A$2:$A$301,C1890)</f>
        <v>1</v>
      </c>
      <c r="V1890">
        <f t="shared" si="89"/>
        <v>0</v>
      </c>
    </row>
    <row r="1891" spans="1:22" ht="14.25" customHeight="1" x14ac:dyDescent="0.35">
      <c r="A1891" s="10" t="s">
        <v>2352</v>
      </c>
      <c r="B1891" s="11">
        <v>45621</v>
      </c>
      <c r="C1891" s="10" t="s">
        <v>1002</v>
      </c>
      <c r="D1891" s="10" t="s">
        <v>115</v>
      </c>
      <c r="E1891" s="10" t="s">
        <v>216</v>
      </c>
      <c r="F1891" s="12">
        <v>4</v>
      </c>
      <c r="G1891" s="12">
        <v>2400</v>
      </c>
      <c r="H1891" s="12">
        <v>16.600000000000001</v>
      </c>
      <c r="I1891" s="12">
        <v>8006.4</v>
      </c>
      <c r="J1891" s="10" t="s">
        <v>57</v>
      </c>
      <c r="K1891" s="10" t="s">
        <v>81</v>
      </c>
      <c r="L1891" t="str">
        <f>IFERROR(VLOOKUP(D1891,Products!A:F,3,0),"")</f>
        <v>Sports</v>
      </c>
      <c r="M1891" t="str">
        <f>IFERROR(VLOOKUP(E1891,Sales_Reps!A:E,3,0),"")</f>
        <v>South</v>
      </c>
      <c r="N1891" t="str">
        <f>IFERROR(VLOOKUP(C1891,Customers!A:F,5,0),"")</f>
        <v>Corporate</v>
      </c>
      <c r="O1891">
        <f>IFERROR(VLOOKUP(C1891,Customers!A:F,3,0),"")</f>
        <v>55</v>
      </c>
      <c r="P1891">
        <f>IFERROR(VLOOKUP(D1891,Products!A:F,4,0),"")</f>
        <v>974</v>
      </c>
      <c r="Q1891" t="b">
        <f>IFERROR(VLOOKUP(D1891,Products!A:F,6,0),"")</f>
        <v>1</v>
      </c>
      <c r="R1891">
        <f t="shared" si="87"/>
        <v>0.59416666666666662</v>
      </c>
      <c r="S1891">
        <f t="shared" si="88"/>
        <v>1</v>
      </c>
      <c r="T1891">
        <f>IF(AND(S1891&gt;1,COUNTIF($A$2:A1891,A1891)=1),1,0)</f>
        <v>0</v>
      </c>
      <c r="U1891">
        <f>COUNTIF(Customers!$A$2:$A$301,C1891)</f>
        <v>1</v>
      </c>
      <c r="V1891">
        <f t="shared" si="89"/>
        <v>0</v>
      </c>
    </row>
    <row r="1892" spans="1:22" ht="14.25" customHeight="1" x14ac:dyDescent="0.35">
      <c r="A1892" s="10" t="s">
        <v>2353</v>
      </c>
      <c r="B1892" s="11">
        <v>45603</v>
      </c>
      <c r="C1892" s="10" t="s">
        <v>245</v>
      </c>
      <c r="D1892" s="10" t="s">
        <v>246</v>
      </c>
      <c r="E1892" s="10" t="s">
        <v>56</v>
      </c>
      <c r="F1892" s="12">
        <v>10</v>
      </c>
      <c r="G1892" s="12">
        <v>300</v>
      </c>
      <c r="H1892" s="12">
        <v>23.9</v>
      </c>
      <c r="I1892" s="12">
        <v>2283</v>
      </c>
      <c r="J1892" s="10" t="s">
        <v>51</v>
      </c>
      <c r="K1892" s="10" t="s">
        <v>52</v>
      </c>
      <c r="L1892" t="str">
        <f>IFERROR(VLOOKUP(D1892,Products!A:F,3,0),"")</f>
        <v>Electronics</v>
      </c>
      <c r="M1892" t="str">
        <f>IFERROR(VLOOKUP(E1892,Sales_Reps!A:E,3,0),"")</f>
        <v>North</v>
      </c>
      <c r="N1892" t="str">
        <f>IFERROR(VLOOKUP(C1892,Customers!A:F,5,0),"")</f>
        <v>Retail</v>
      </c>
      <c r="O1892">
        <f>IFERROR(VLOOKUP(C1892,Customers!A:F,3,0),"")</f>
        <v>25</v>
      </c>
      <c r="P1892">
        <f>IFERROR(VLOOKUP(D1892,Products!A:F,4,0),"")</f>
        <v>128</v>
      </c>
      <c r="Q1892" t="b">
        <f>IFERROR(VLOOKUP(D1892,Products!A:F,6,0),"")</f>
        <v>1</v>
      </c>
      <c r="R1892">
        <f t="shared" si="87"/>
        <v>0.57333333333333336</v>
      </c>
      <c r="S1892">
        <f t="shared" si="88"/>
        <v>1</v>
      </c>
      <c r="T1892">
        <f>IF(AND(S1892&gt;1,COUNTIF($A$2:A1892,A1892)=1),1,0)</f>
        <v>0</v>
      </c>
      <c r="U1892">
        <f>COUNTIF(Customers!$A$2:$A$301,C1892)</f>
        <v>1</v>
      </c>
      <c r="V1892">
        <f t="shared" si="89"/>
        <v>0</v>
      </c>
    </row>
    <row r="1893" spans="1:22" ht="14.25" customHeight="1" x14ac:dyDescent="0.35">
      <c r="A1893" s="10" t="s">
        <v>2354</v>
      </c>
      <c r="B1893" s="11">
        <v>45640</v>
      </c>
      <c r="C1893" s="10" t="s">
        <v>230</v>
      </c>
      <c r="D1893" s="10" t="s">
        <v>66</v>
      </c>
      <c r="E1893" s="10" t="s">
        <v>96</v>
      </c>
      <c r="F1893" s="12">
        <v>1</v>
      </c>
      <c r="G1893" s="12">
        <v>3660</v>
      </c>
      <c r="H1893" s="12">
        <v>1.5</v>
      </c>
      <c r="I1893" s="12">
        <v>3605.1</v>
      </c>
      <c r="J1893" s="10" t="s">
        <v>57</v>
      </c>
      <c r="K1893" s="10" t="s">
        <v>63</v>
      </c>
      <c r="L1893" t="str">
        <f>IFERROR(VLOOKUP(D1893,Products!A:F,3,0),"")</f>
        <v>Grocery</v>
      </c>
      <c r="M1893" t="str">
        <f>IFERROR(VLOOKUP(E1893,Sales_Reps!A:E,3,0),"")</f>
        <v>South</v>
      </c>
      <c r="N1893" t="str">
        <f>IFERROR(VLOOKUP(C1893,Customers!A:F,5,0),"")</f>
        <v>Corporate</v>
      </c>
      <c r="O1893">
        <f>IFERROR(VLOOKUP(C1893,Customers!A:F,3,0),"")</f>
        <v>55</v>
      </c>
      <c r="P1893">
        <f>IFERROR(VLOOKUP(D1893,Products!A:F,4,0),"")</f>
        <v>2214</v>
      </c>
      <c r="Q1893" t="b">
        <f>IFERROR(VLOOKUP(D1893,Products!A:F,6,0),"")</f>
        <v>0</v>
      </c>
      <c r="R1893">
        <f t="shared" si="87"/>
        <v>0.39508196721311473</v>
      </c>
      <c r="S1893">
        <f t="shared" si="88"/>
        <v>1</v>
      </c>
      <c r="T1893">
        <f>IF(AND(S1893&gt;1,COUNTIF($A$2:A1893,A1893)=1),1,0)</f>
        <v>0</v>
      </c>
      <c r="U1893">
        <f>COUNTIF(Customers!$A$2:$A$301,C1893)</f>
        <v>1</v>
      </c>
      <c r="V1893">
        <f t="shared" si="89"/>
        <v>0</v>
      </c>
    </row>
    <row r="1894" spans="1:22" ht="14.25" customHeight="1" x14ac:dyDescent="0.35">
      <c r="A1894" s="10" t="s">
        <v>2355</v>
      </c>
      <c r="B1894" s="11">
        <v>45534</v>
      </c>
      <c r="C1894" s="10" t="s">
        <v>274</v>
      </c>
      <c r="D1894" s="10" t="s">
        <v>125</v>
      </c>
      <c r="E1894" s="10" t="s">
        <v>237</v>
      </c>
      <c r="F1894" s="12">
        <v>9</v>
      </c>
      <c r="G1894" s="12">
        <v>3450</v>
      </c>
      <c r="H1894" s="12">
        <v>21.8</v>
      </c>
      <c r="I1894" s="12">
        <v>24281.1</v>
      </c>
      <c r="J1894" s="10" t="s">
        <v>51</v>
      </c>
      <c r="K1894" s="10" t="s">
        <v>81</v>
      </c>
      <c r="L1894" t="str">
        <f>IFERROR(VLOOKUP(D1894,Products!A:F,3,0),"")</f>
        <v>Sports</v>
      </c>
      <c r="M1894" t="str">
        <f>IFERROR(VLOOKUP(E1894,Sales_Reps!A:E,3,0),"")</f>
        <v>South</v>
      </c>
      <c r="N1894" t="str">
        <f>IFERROR(VLOOKUP(C1894,Customers!A:F,5,0),"")</f>
        <v>Retail</v>
      </c>
      <c r="O1894">
        <f>IFERROR(VLOOKUP(C1894,Customers!A:F,3,0),"")</f>
        <v>42</v>
      </c>
      <c r="P1894">
        <f>IFERROR(VLOOKUP(D1894,Products!A:F,4,0),"")</f>
        <v>2467</v>
      </c>
      <c r="Q1894" t="b">
        <f>IFERROR(VLOOKUP(D1894,Products!A:F,6,0),"")</f>
        <v>1</v>
      </c>
      <c r="R1894">
        <f t="shared" si="87"/>
        <v>0.28492753623188405</v>
      </c>
      <c r="S1894">
        <f t="shared" si="88"/>
        <v>1</v>
      </c>
      <c r="T1894">
        <f>IF(AND(S1894&gt;1,COUNTIF($A$2:A1894,A1894)=1),1,0)</f>
        <v>0</v>
      </c>
      <c r="U1894">
        <f>COUNTIF(Customers!$A$2:$A$301,C1894)</f>
        <v>1</v>
      </c>
      <c r="V1894">
        <f t="shared" si="89"/>
        <v>0</v>
      </c>
    </row>
    <row r="1895" spans="1:22" ht="14.25" customHeight="1" x14ac:dyDescent="0.35">
      <c r="A1895" s="10" t="s">
        <v>2356</v>
      </c>
      <c r="B1895" s="11">
        <v>45410</v>
      </c>
      <c r="C1895" s="10" t="s">
        <v>465</v>
      </c>
      <c r="D1895" s="10" t="s">
        <v>416</v>
      </c>
      <c r="E1895" s="10" t="s">
        <v>50</v>
      </c>
      <c r="F1895" s="12">
        <v>10</v>
      </c>
      <c r="G1895" s="12">
        <v>3450</v>
      </c>
      <c r="H1895" s="12">
        <v>15.7</v>
      </c>
      <c r="I1895" s="12">
        <v>29083.5</v>
      </c>
      <c r="J1895" s="10" t="s">
        <v>104</v>
      </c>
      <c r="K1895" s="10" t="s">
        <v>97</v>
      </c>
      <c r="L1895" t="str">
        <f>IFERROR(VLOOKUP(D1895,Products!A:F,3,0),"")</f>
        <v>Apparel</v>
      </c>
      <c r="M1895" t="str">
        <f>IFERROR(VLOOKUP(E1895,Sales_Reps!A:E,3,0),"")</f>
        <v>North</v>
      </c>
      <c r="N1895" t="str">
        <f>IFERROR(VLOOKUP(C1895,Customers!A:F,5,0),"")</f>
        <v>SMB</v>
      </c>
      <c r="O1895">
        <f>IFERROR(VLOOKUP(C1895,Customers!A:F,3,0),"")</f>
        <v>65</v>
      </c>
      <c r="P1895">
        <f>IFERROR(VLOOKUP(D1895,Products!A:F,4,0),"")</f>
        <v>1748</v>
      </c>
      <c r="Q1895" t="b">
        <f>IFERROR(VLOOKUP(D1895,Products!A:F,6,0),"")</f>
        <v>1</v>
      </c>
      <c r="R1895">
        <f t="shared" si="87"/>
        <v>0.49333333333333335</v>
      </c>
      <c r="S1895">
        <f t="shared" si="88"/>
        <v>1</v>
      </c>
      <c r="T1895">
        <f>IF(AND(S1895&gt;1,COUNTIF($A$2:A1895,A1895)=1),1,0)</f>
        <v>0</v>
      </c>
      <c r="U1895">
        <f>COUNTIF(Customers!$A$2:$A$301,C1895)</f>
        <v>1</v>
      </c>
      <c r="V1895">
        <f t="shared" si="89"/>
        <v>0</v>
      </c>
    </row>
    <row r="1896" spans="1:22" ht="14.25" customHeight="1" x14ac:dyDescent="0.35">
      <c r="A1896" s="10" t="s">
        <v>2357</v>
      </c>
      <c r="B1896" s="11">
        <v>45412</v>
      </c>
      <c r="C1896" s="10" t="s">
        <v>65</v>
      </c>
      <c r="D1896" s="10" t="s">
        <v>228</v>
      </c>
      <c r="E1896" s="10" t="s">
        <v>71</v>
      </c>
      <c r="F1896" s="12">
        <v>2</v>
      </c>
      <c r="G1896" s="12">
        <v>4070</v>
      </c>
      <c r="H1896" s="12">
        <v>10.8</v>
      </c>
      <c r="I1896" s="12">
        <v>7260.88</v>
      </c>
      <c r="J1896" s="10" t="s">
        <v>51</v>
      </c>
      <c r="K1896" s="10" t="s">
        <v>63</v>
      </c>
      <c r="L1896" t="str">
        <f>IFERROR(VLOOKUP(D1896,Products!A:F,3,0),"")</f>
        <v>Grocery</v>
      </c>
      <c r="M1896" t="str">
        <f>IFERROR(VLOOKUP(E1896,Sales_Reps!A:E,3,0),"")</f>
        <v>North</v>
      </c>
      <c r="N1896" t="str">
        <f>IFERROR(VLOOKUP(C1896,Customers!A:F,5,0),"")</f>
        <v>Corporate</v>
      </c>
      <c r="O1896">
        <f>IFERROR(VLOOKUP(C1896,Customers!A:F,3,0),"")</f>
        <v>46</v>
      </c>
      <c r="P1896">
        <f>IFERROR(VLOOKUP(D1896,Products!A:F,4,0),"")</f>
        <v>2027</v>
      </c>
      <c r="Q1896" t="b">
        <f>IFERROR(VLOOKUP(D1896,Products!A:F,6,0),"")</f>
        <v>1</v>
      </c>
      <c r="R1896">
        <f t="shared" si="87"/>
        <v>0.50196560196560192</v>
      </c>
      <c r="S1896">
        <f t="shared" si="88"/>
        <v>1</v>
      </c>
      <c r="T1896">
        <f>IF(AND(S1896&gt;1,COUNTIF($A$2:A1896,A1896)=1),1,0)</f>
        <v>0</v>
      </c>
      <c r="U1896">
        <f>COUNTIF(Customers!$A$2:$A$301,C1896)</f>
        <v>1</v>
      </c>
      <c r="V1896">
        <f t="shared" si="89"/>
        <v>0</v>
      </c>
    </row>
    <row r="1897" spans="1:22" ht="14.25" customHeight="1" x14ac:dyDescent="0.35">
      <c r="A1897" s="10" t="s">
        <v>2358</v>
      </c>
      <c r="B1897" s="11">
        <v>45372</v>
      </c>
      <c r="C1897" s="10" t="s">
        <v>333</v>
      </c>
      <c r="D1897" s="10" t="s">
        <v>425</v>
      </c>
      <c r="E1897" s="10" t="s">
        <v>118</v>
      </c>
      <c r="F1897" s="12">
        <v>4</v>
      </c>
      <c r="G1897" s="12">
        <v>3780</v>
      </c>
      <c r="H1897" s="12">
        <v>17.100000000000001</v>
      </c>
      <c r="I1897" s="12">
        <v>12534.48</v>
      </c>
      <c r="J1897" s="10" t="s">
        <v>51</v>
      </c>
      <c r="K1897" s="10" t="s">
        <v>58</v>
      </c>
      <c r="L1897" t="str">
        <f>IFERROR(VLOOKUP(D1897,Products!A:F,3,0),"")</f>
        <v>Sports</v>
      </c>
      <c r="M1897" t="str">
        <f>IFERROR(VLOOKUP(E1897,Sales_Reps!A:E,3,0),"")</f>
        <v>East</v>
      </c>
      <c r="N1897" t="str">
        <f>IFERROR(VLOOKUP(C1897,Customers!A:F,5,0),"")</f>
        <v>SMB</v>
      </c>
      <c r="O1897">
        <f>IFERROR(VLOOKUP(C1897,Customers!A:F,3,0),"")</f>
        <v>62</v>
      </c>
      <c r="P1897">
        <f>IFERROR(VLOOKUP(D1897,Products!A:F,4,0),"")</f>
        <v>1860</v>
      </c>
      <c r="Q1897" t="b">
        <f>IFERROR(VLOOKUP(D1897,Products!A:F,6,0),"")</f>
        <v>1</v>
      </c>
      <c r="R1897">
        <f t="shared" si="87"/>
        <v>0.50793650793650791</v>
      </c>
      <c r="S1897">
        <f t="shared" si="88"/>
        <v>1</v>
      </c>
      <c r="T1897">
        <f>IF(AND(S1897&gt;1,COUNTIF($A$2:A1897,A1897)=1),1,0)</f>
        <v>0</v>
      </c>
      <c r="U1897">
        <f>COUNTIF(Customers!$A$2:$A$301,C1897)</f>
        <v>1</v>
      </c>
      <c r="V1897">
        <f t="shared" si="89"/>
        <v>0</v>
      </c>
    </row>
    <row r="1898" spans="1:22" ht="14.25" customHeight="1" x14ac:dyDescent="0.35">
      <c r="A1898" s="10" t="s">
        <v>2359</v>
      </c>
      <c r="B1898" s="11">
        <v>45622</v>
      </c>
      <c r="C1898" s="10" t="s">
        <v>637</v>
      </c>
      <c r="D1898" s="10" t="s">
        <v>164</v>
      </c>
      <c r="E1898" s="10" t="s">
        <v>103</v>
      </c>
      <c r="F1898" s="12">
        <v>1</v>
      </c>
      <c r="G1898" s="12">
        <v>2760</v>
      </c>
      <c r="H1898" s="12">
        <v>2.5</v>
      </c>
      <c r="I1898" s="12">
        <v>2691</v>
      </c>
      <c r="J1898" s="10" t="s">
        <v>104</v>
      </c>
      <c r="K1898" s="10" t="s">
        <v>76</v>
      </c>
      <c r="L1898" t="str">
        <f>IFERROR(VLOOKUP(D1898,Products!A:F,3,0),"")</f>
        <v>Grocery</v>
      </c>
      <c r="M1898" t="str">
        <f>IFERROR(VLOOKUP(E1898,Sales_Reps!A:E,3,0),"")</f>
        <v>North</v>
      </c>
      <c r="N1898" t="str">
        <f>IFERROR(VLOOKUP(C1898,Customers!A:F,5,0),"")</f>
        <v>Retail</v>
      </c>
      <c r="O1898">
        <f>IFERROR(VLOOKUP(C1898,Customers!A:F,3,0),"")</f>
        <v>35</v>
      </c>
      <c r="P1898">
        <f>IFERROR(VLOOKUP(D1898,Products!A:F,4,0),"")</f>
        <v>1435</v>
      </c>
      <c r="Q1898" t="b">
        <f>IFERROR(VLOOKUP(D1898,Products!A:F,6,0),"")</f>
        <v>1</v>
      </c>
      <c r="R1898">
        <f t="shared" si="87"/>
        <v>0.48007246376811596</v>
      </c>
      <c r="S1898">
        <f t="shared" si="88"/>
        <v>1</v>
      </c>
      <c r="T1898">
        <f>IF(AND(S1898&gt;1,COUNTIF($A$2:A1898,A1898)=1),1,0)</f>
        <v>0</v>
      </c>
      <c r="U1898">
        <f>COUNTIF(Customers!$A$2:$A$301,C1898)</f>
        <v>1</v>
      </c>
      <c r="V1898">
        <f t="shared" si="89"/>
        <v>0</v>
      </c>
    </row>
    <row r="1899" spans="1:22" ht="14.25" customHeight="1" x14ac:dyDescent="0.35">
      <c r="A1899" s="10" t="s">
        <v>2360</v>
      </c>
      <c r="B1899" s="11">
        <v>45493</v>
      </c>
      <c r="C1899" s="10" t="s">
        <v>120</v>
      </c>
      <c r="D1899" s="10" t="s">
        <v>148</v>
      </c>
      <c r="E1899" s="10" t="s">
        <v>134</v>
      </c>
      <c r="F1899" s="12">
        <v>2</v>
      </c>
      <c r="G1899" s="12">
        <v>4880</v>
      </c>
      <c r="H1899" s="12">
        <v>11</v>
      </c>
      <c r="I1899" s="12">
        <v>8686.4</v>
      </c>
      <c r="J1899" s="10" t="s">
        <v>51</v>
      </c>
      <c r="K1899" s="10" t="s">
        <v>97</v>
      </c>
      <c r="L1899" t="str">
        <f>IFERROR(VLOOKUP(D1899,Products!A:F,3,0),"")</f>
        <v>Beauty</v>
      </c>
      <c r="M1899" t="str">
        <f>IFERROR(VLOOKUP(E1899,Sales_Reps!A:E,3,0),"")</f>
        <v>West</v>
      </c>
      <c r="N1899" t="str">
        <f>IFERROR(VLOOKUP(C1899,Customers!A:F,5,0),"")</f>
        <v>Corporate</v>
      </c>
      <c r="O1899">
        <f>IFERROR(VLOOKUP(C1899,Customers!A:F,3,0),"")</f>
        <v>32</v>
      </c>
      <c r="P1899">
        <f>IFERROR(VLOOKUP(D1899,Products!A:F,4,0),"")</f>
        <v>2768</v>
      </c>
      <c r="Q1899" t="b">
        <f>IFERROR(VLOOKUP(D1899,Products!A:F,6,0),"")</f>
        <v>1</v>
      </c>
      <c r="R1899">
        <f t="shared" si="87"/>
        <v>0.43278688524590164</v>
      </c>
      <c r="S1899">
        <f t="shared" si="88"/>
        <v>1</v>
      </c>
      <c r="T1899">
        <f>IF(AND(S1899&gt;1,COUNTIF($A$2:A1899,A1899)=1),1,0)</f>
        <v>0</v>
      </c>
      <c r="U1899">
        <f>COUNTIF(Customers!$A$2:$A$301,C1899)</f>
        <v>1</v>
      </c>
      <c r="V1899">
        <f t="shared" si="89"/>
        <v>0</v>
      </c>
    </row>
    <row r="1900" spans="1:22" ht="14.25" customHeight="1" x14ac:dyDescent="0.35">
      <c r="A1900" s="10" t="s">
        <v>2361</v>
      </c>
      <c r="B1900" s="11">
        <v>45580</v>
      </c>
      <c r="C1900" s="10" t="s">
        <v>570</v>
      </c>
      <c r="D1900" s="10" t="s">
        <v>331</v>
      </c>
      <c r="E1900" s="10" t="s">
        <v>249</v>
      </c>
      <c r="F1900" s="12">
        <v>10</v>
      </c>
      <c r="G1900" s="12">
        <v>2380</v>
      </c>
      <c r="H1900" s="12">
        <v>28.3</v>
      </c>
      <c r="I1900" s="12">
        <v>17064.599999999999</v>
      </c>
      <c r="J1900" s="10" t="s">
        <v>51</v>
      </c>
      <c r="K1900" s="10" t="s">
        <v>76</v>
      </c>
      <c r="L1900" t="str">
        <f>IFERROR(VLOOKUP(D1900,Products!A:F,3,0),"")</f>
        <v>Grocery</v>
      </c>
      <c r="M1900" t="str">
        <f>IFERROR(VLOOKUP(E1900,Sales_Reps!A:E,3,0),"")</f>
        <v>East</v>
      </c>
      <c r="N1900" t="str">
        <f>IFERROR(VLOOKUP(C1900,Customers!A:F,5,0),"")</f>
        <v>Retail</v>
      </c>
      <c r="O1900">
        <f>IFERROR(VLOOKUP(C1900,Customers!A:F,3,0),"")</f>
        <v>52</v>
      </c>
      <c r="P1900">
        <f>IFERROR(VLOOKUP(D1900,Products!A:F,4,0),"")</f>
        <v>1182</v>
      </c>
      <c r="Q1900" t="b">
        <f>IFERROR(VLOOKUP(D1900,Products!A:F,6,0),"")</f>
        <v>1</v>
      </c>
      <c r="R1900">
        <f t="shared" si="87"/>
        <v>0.50336134453781511</v>
      </c>
      <c r="S1900">
        <f t="shared" si="88"/>
        <v>1</v>
      </c>
      <c r="T1900">
        <f>IF(AND(S1900&gt;1,COUNTIF($A$2:A1900,A1900)=1),1,0)</f>
        <v>0</v>
      </c>
      <c r="U1900">
        <f>COUNTIF(Customers!$A$2:$A$301,C1900)</f>
        <v>1</v>
      </c>
      <c r="V1900">
        <f t="shared" si="89"/>
        <v>0</v>
      </c>
    </row>
    <row r="1901" spans="1:22" ht="14.25" customHeight="1" x14ac:dyDescent="0.35">
      <c r="A1901" s="10" t="s">
        <v>2362</v>
      </c>
      <c r="B1901" s="11">
        <v>45449</v>
      </c>
      <c r="C1901" s="10" t="s">
        <v>1068</v>
      </c>
      <c r="D1901" s="10" t="s">
        <v>350</v>
      </c>
      <c r="E1901" s="10" t="s">
        <v>112</v>
      </c>
      <c r="F1901" s="12">
        <v>3</v>
      </c>
      <c r="G1901" s="12">
        <v>2290</v>
      </c>
      <c r="H1901" s="12">
        <v>11.1</v>
      </c>
      <c r="I1901" s="12">
        <v>6107.43</v>
      </c>
      <c r="J1901" s="10" t="s">
        <v>104</v>
      </c>
      <c r="K1901" s="10" t="s">
        <v>81</v>
      </c>
      <c r="L1901" t="str">
        <f>IFERROR(VLOOKUP(D1901,Products!A:F,3,0),"")</f>
        <v>Beauty</v>
      </c>
      <c r="M1901" t="str">
        <f>IFERROR(VLOOKUP(E1901,Sales_Reps!A:E,3,0),"")</f>
        <v>North</v>
      </c>
      <c r="N1901" t="str">
        <f>IFERROR(VLOOKUP(C1901,Customers!A:F,5,0),"")</f>
        <v>Corporate</v>
      </c>
      <c r="O1901">
        <f>IFERROR(VLOOKUP(C1901,Customers!A:F,3,0),"")</f>
        <v>31</v>
      </c>
      <c r="P1901">
        <f>IFERROR(VLOOKUP(D1901,Products!A:F,4,0),"")</f>
        <v>1219</v>
      </c>
      <c r="Q1901" t="b">
        <f>IFERROR(VLOOKUP(D1901,Products!A:F,6,0),"")</f>
        <v>1</v>
      </c>
      <c r="R1901">
        <f t="shared" si="87"/>
        <v>0.46768558951965067</v>
      </c>
      <c r="S1901">
        <f t="shared" si="88"/>
        <v>1</v>
      </c>
      <c r="T1901">
        <f>IF(AND(S1901&gt;1,COUNTIF($A$2:A1901,A1901)=1),1,0)</f>
        <v>0</v>
      </c>
      <c r="U1901">
        <f>COUNTIF(Customers!$A$2:$A$301,C1901)</f>
        <v>1</v>
      </c>
      <c r="V1901">
        <f t="shared" si="89"/>
        <v>0</v>
      </c>
    </row>
    <row r="1902" spans="1:22" ht="14.25" customHeight="1" x14ac:dyDescent="0.35">
      <c r="A1902" s="10" t="s">
        <v>2363</v>
      </c>
      <c r="B1902" s="11">
        <v>45417</v>
      </c>
      <c r="C1902" s="10" t="s">
        <v>120</v>
      </c>
      <c r="D1902" s="10" t="s">
        <v>164</v>
      </c>
      <c r="E1902" s="10" t="s">
        <v>103</v>
      </c>
      <c r="F1902" s="12">
        <v>6</v>
      </c>
      <c r="G1902" s="12">
        <v>2760</v>
      </c>
      <c r="H1902" s="12">
        <v>16.5</v>
      </c>
      <c r="I1902" s="12">
        <v>13827.6</v>
      </c>
      <c r="J1902" s="10" t="s">
        <v>51</v>
      </c>
      <c r="K1902" s="10" t="s">
        <v>97</v>
      </c>
      <c r="L1902" t="str">
        <f>IFERROR(VLOOKUP(D1902,Products!A:F,3,0),"")</f>
        <v>Grocery</v>
      </c>
      <c r="M1902" t="str">
        <f>IFERROR(VLOOKUP(E1902,Sales_Reps!A:E,3,0),"")</f>
        <v>North</v>
      </c>
      <c r="N1902" t="str">
        <f>IFERROR(VLOOKUP(C1902,Customers!A:F,5,0),"")</f>
        <v>Corporate</v>
      </c>
      <c r="O1902">
        <f>IFERROR(VLOOKUP(C1902,Customers!A:F,3,0),"")</f>
        <v>32</v>
      </c>
      <c r="P1902">
        <f>IFERROR(VLOOKUP(D1902,Products!A:F,4,0),"")</f>
        <v>1435</v>
      </c>
      <c r="Q1902" t="b">
        <f>IFERROR(VLOOKUP(D1902,Products!A:F,6,0),"")</f>
        <v>1</v>
      </c>
      <c r="R1902">
        <f t="shared" si="87"/>
        <v>0.48007246376811596</v>
      </c>
      <c r="S1902">
        <f t="shared" si="88"/>
        <v>1</v>
      </c>
      <c r="T1902">
        <f>IF(AND(S1902&gt;1,COUNTIF($A$2:A1902,A1902)=1),1,0)</f>
        <v>0</v>
      </c>
      <c r="U1902">
        <f>COUNTIF(Customers!$A$2:$A$301,C1902)</f>
        <v>1</v>
      </c>
      <c r="V1902">
        <f t="shared" si="89"/>
        <v>0</v>
      </c>
    </row>
    <row r="1903" spans="1:22" ht="14.25" customHeight="1" x14ac:dyDescent="0.35">
      <c r="A1903" s="10" t="s">
        <v>2364</v>
      </c>
      <c r="B1903" s="11">
        <v>45523</v>
      </c>
      <c r="C1903" s="10" t="s">
        <v>482</v>
      </c>
      <c r="D1903" s="10" t="s">
        <v>315</v>
      </c>
      <c r="E1903" s="10" t="s">
        <v>307</v>
      </c>
      <c r="F1903" s="12">
        <v>5</v>
      </c>
      <c r="G1903" s="12">
        <v>4060</v>
      </c>
      <c r="H1903" s="12">
        <v>22.5</v>
      </c>
      <c r="I1903" s="12">
        <v>15732.5</v>
      </c>
      <c r="J1903" s="10" t="s">
        <v>51</v>
      </c>
      <c r="K1903" s="10" t="s">
        <v>52</v>
      </c>
      <c r="L1903" t="str">
        <f>IFERROR(VLOOKUP(D1903,Products!A:F,3,0),"")</f>
        <v>Grocery</v>
      </c>
      <c r="M1903" t="str">
        <f>IFERROR(VLOOKUP(E1903,Sales_Reps!A:E,3,0),"")</f>
        <v>West</v>
      </c>
      <c r="N1903" t="str">
        <f>IFERROR(VLOOKUP(C1903,Customers!A:F,5,0),"")</f>
        <v>Retail</v>
      </c>
      <c r="O1903">
        <f>IFERROR(VLOOKUP(C1903,Customers!A:F,3,0),"")</f>
        <v>49</v>
      </c>
      <c r="P1903">
        <f>IFERROR(VLOOKUP(D1903,Products!A:F,4,0),"")</f>
        <v>2911</v>
      </c>
      <c r="Q1903" t="b">
        <f>IFERROR(VLOOKUP(D1903,Products!A:F,6,0),"")</f>
        <v>1</v>
      </c>
      <c r="R1903">
        <f t="shared" si="87"/>
        <v>0.28300492610837441</v>
      </c>
      <c r="S1903">
        <f t="shared" si="88"/>
        <v>1</v>
      </c>
      <c r="T1903">
        <f>IF(AND(S1903&gt;1,COUNTIF($A$2:A1903,A1903)=1),1,0)</f>
        <v>0</v>
      </c>
      <c r="U1903">
        <f>COUNTIF(Customers!$A$2:$A$301,C1903)</f>
        <v>1</v>
      </c>
      <c r="V1903">
        <f t="shared" si="89"/>
        <v>0</v>
      </c>
    </row>
    <row r="1904" spans="1:22" ht="14.25" customHeight="1" x14ac:dyDescent="0.35">
      <c r="A1904" s="10" t="s">
        <v>2365</v>
      </c>
      <c r="B1904" s="11">
        <v>45367</v>
      </c>
      <c r="C1904" s="10" t="s">
        <v>292</v>
      </c>
      <c r="D1904" s="10" t="s">
        <v>99</v>
      </c>
      <c r="E1904" s="10" t="s">
        <v>67</v>
      </c>
      <c r="F1904" s="12">
        <v>8</v>
      </c>
      <c r="G1904" s="12">
        <v>2640</v>
      </c>
      <c r="H1904" s="12">
        <v>11.8</v>
      </c>
      <c r="I1904" s="12">
        <v>18627.84</v>
      </c>
      <c r="J1904" s="10" t="s">
        <v>51</v>
      </c>
      <c r="K1904" s="10" t="s">
        <v>58</v>
      </c>
      <c r="L1904" t="str">
        <f>IFERROR(VLOOKUP(D1904,Products!A:F,3,0),"")</f>
        <v>Electronics</v>
      </c>
      <c r="M1904" t="str">
        <f>IFERROR(VLOOKUP(E1904,Sales_Reps!A:E,3,0),"")</f>
        <v>North</v>
      </c>
      <c r="N1904" t="str">
        <f>IFERROR(VLOOKUP(C1904,Customers!A:F,5,0),"")</f>
        <v>Retail</v>
      </c>
      <c r="O1904">
        <f>IFERROR(VLOOKUP(C1904,Customers!A:F,3,0),"")</f>
        <v>28</v>
      </c>
      <c r="P1904">
        <f>IFERROR(VLOOKUP(D1904,Products!A:F,4,0),"")</f>
        <v>1149</v>
      </c>
      <c r="Q1904" t="b">
        <f>IFERROR(VLOOKUP(D1904,Products!A:F,6,0),"")</f>
        <v>1</v>
      </c>
      <c r="R1904">
        <f t="shared" si="87"/>
        <v>0.56477272727272732</v>
      </c>
      <c r="S1904">
        <f t="shared" si="88"/>
        <v>1</v>
      </c>
      <c r="T1904">
        <f>IF(AND(S1904&gt;1,COUNTIF($A$2:A1904,A1904)=1),1,0)</f>
        <v>0</v>
      </c>
      <c r="U1904">
        <f>COUNTIF(Customers!$A$2:$A$301,C1904)</f>
        <v>1</v>
      </c>
      <c r="V1904">
        <f t="shared" si="89"/>
        <v>0</v>
      </c>
    </row>
    <row r="1905" spans="1:22" ht="14.25" customHeight="1" x14ac:dyDescent="0.35">
      <c r="A1905" s="10" t="s">
        <v>2366</v>
      </c>
      <c r="B1905" s="11">
        <v>45309</v>
      </c>
      <c r="C1905" s="10" t="s">
        <v>780</v>
      </c>
      <c r="D1905" s="10" t="s">
        <v>234</v>
      </c>
      <c r="E1905" s="10" t="s">
        <v>56</v>
      </c>
      <c r="F1905" s="12">
        <v>2</v>
      </c>
      <c r="G1905" s="12">
        <v>4610</v>
      </c>
      <c r="H1905" s="12">
        <v>10.4</v>
      </c>
      <c r="I1905" s="12">
        <v>8261.1200000000008</v>
      </c>
      <c r="J1905" s="10" t="s">
        <v>57</v>
      </c>
      <c r="K1905" s="10" t="s">
        <v>52</v>
      </c>
      <c r="L1905" t="str">
        <f>IFERROR(VLOOKUP(D1905,Products!A:F,3,0),"")</f>
        <v>Home</v>
      </c>
      <c r="M1905" t="str">
        <f>IFERROR(VLOOKUP(E1905,Sales_Reps!A:E,3,0),"")</f>
        <v>North</v>
      </c>
      <c r="N1905" t="str">
        <f>IFERROR(VLOOKUP(C1905,Customers!A:F,5,0),"")</f>
        <v>Retail</v>
      </c>
      <c r="O1905">
        <f>IFERROR(VLOOKUP(C1905,Customers!A:F,3,0),"")</f>
        <v>36</v>
      </c>
      <c r="P1905">
        <f>IFERROR(VLOOKUP(D1905,Products!A:F,4,0),"")</f>
        <v>1850</v>
      </c>
      <c r="Q1905" t="b">
        <f>IFERROR(VLOOKUP(D1905,Products!A:F,6,0),"")</f>
        <v>1</v>
      </c>
      <c r="R1905">
        <f t="shared" si="87"/>
        <v>0.59869848156182215</v>
      </c>
      <c r="S1905">
        <f t="shared" si="88"/>
        <v>1</v>
      </c>
      <c r="T1905">
        <f>IF(AND(S1905&gt;1,COUNTIF($A$2:A1905,A1905)=1),1,0)</f>
        <v>0</v>
      </c>
      <c r="U1905">
        <f>COUNTIF(Customers!$A$2:$A$301,C1905)</f>
        <v>1</v>
      </c>
      <c r="V1905">
        <f t="shared" si="89"/>
        <v>0</v>
      </c>
    </row>
    <row r="1906" spans="1:22" ht="14.25" customHeight="1" x14ac:dyDescent="0.35">
      <c r="A1906" s="10" t="s">
        <v>2367</v>
      </c>
      <c r="B1906" s="11">
        <v>45383</v>
      </c>
      <c r="C1906" s="10" t="s">
        <v>242</v>
      </c>
      <c r="D1906" s="10" t="s">
        <v>302</v>
      </c>
      <c r="E1906" s="10" t="s">
        <v>92</v>
      </c>
      <c r="F1906" s="12">
        <v>6</v>
      </c>
      <c r="G1906" s="12">
        <v>2210</v>
      </c>
      <c r="H1906" s="12">
        <v>22.5</v>
      </c>
      <c r="I1906" s="12">
        <v>10276.5</v>
      </c>
      <c r="J1906" s="10" t="s">
        <v>104</v>
      </c>
      <c r="K1906" s="10" t="s">
        <v>97</v>
      </c>
      <c r="L1906" t="str">
        <f>IFERROR(VLOOKUP(D1906,Products!A:F,3,0),"")</f>
        <v>Grocery</v>
      </c>
      <c r="M1906" t="str">
        <f>IFERROR(VLOOKUP(E1906,Sales_Reps!A:E,3,0),"")</f>
        <v>West</v>
      </c>
      <c r="N1906" t="str">
        <f>IFERROR(VLOOKUP(C1906,Customers!A:F,5,0),"")</f>
        <v>Corporate</v>
      </c>
      <c r="O1906">
        <f>IFERROR(VLOOKUP(C1906,Customers!A:F,3,0),"")</f>
        <v>29</v>
      </c>
      <c r="P1906">
        <f>IFERROR(VLOOKUP(D1906,Products!A:F,4,0),"")</f>
        <v>1010</v>
      </c>
      <c r="Q1906" t="b">
        <f>IFERROR(VLOOKUP(D1906,Products!A:F,6,0),"")</f>
        <v>1</v>
      </c>
      <c r="R1906">
        <f t="shared" si="87"/>
        <v>0.54298642533936647</v>
      </c>
      <c r="S1906">
        <f t="shared" si="88"/>
        <v>1</v>
      </c>
      <c r="T1906">
        <f>IF(AND(S1906&gt;1,COUNTIF($A$2:A1906,A1906)=1),1,0)</f>
        <v>0</v>
      </c>
      <c r="U1906">
        <f>COUNTIF(Customers!$A$2:$A$301,C1906)</f>
        <v>1</v>
      </c>
      <c r="V1906">
        <f t="shared" si="89"/>
        <v>0</v>
      </c>
    </row>
    <row r="1907" spans="1:22" ht="14.25" customHeight="1" x14ac:dyDescent="0.35">
      <c r="A1907" s="10" t="s">
        <v>2368</v>
      </c>
      <c r="B1907" s="11">
        <v>45420</v>
      </c>
      <c r="C1907" s="10" t="s">
        <v>510</v>
      </c>
      <c r="D1907" s="10" t="s">
        <v>302</v>
      </c>
      <c r="E1907" s="10" t="s">
        <v>237</v>
      </c>
      <c r="F1907" s="12">
        <v>4</v>
      </c>
      <c r="G1907" s="12">
        <v>2210</v>
      </c>
      <c r="H1907" s="12">
        <v>21.5</v>
      </c>
      <c r="I1907" s="12">
        <v>6939.4</v>
      </c>
      <c r="J1907" s="10" t="s">
        <v>57</v>
      </c>
      <c r="K1907" s="10" t="s">
        <v>63</v>
      </c>
      <c r="L1907" t="str">
        <f>IFERROR(VLOOKUP(D1907,Products!A:F,3,0),"")</f>
        <v>Grocery</v>
      </c>
      <c r="M1907" t="str">
        <f>IFERROR(VLOOKUP(E1907,Sales_Reps!A:E,3,0),"")</f>
        <v>South</v>
      </c>
      <c r="N1907" t="str">
        <f>IFERROR(VLOOKUP(C1907,Customers!A:F,5,0),"")</f>
        <v>SMB</v>
      </c>
      <c r="O1907">
        <f>IFERROR(VLOOKUP(C1907,Customers!A:F,3,0),"")</f>
        <v>29</v>
      </c>
      <c r="P1907">
        <f>IFERROR(VLOOKUP(D1907,Products!A:F,4,0),"")</f>
        <v>1010</v>
      </c>
      <c r="Q1907" t="b">
        <f>IFERROR(VLOOKUP(D1907,Products!A:F,6,0),"")</f>
        <v>1</v>
      </c>
      <c r="R1907">
        <f t="shared" si="87"/>
        <v>0.54298642533936647</v>
      </c>
      <c r="S1907">
        <f t="shared" si="88"/>
        <v>1</v>
      </c>
      <c r="T1907">
        <f>IF(AND(S1907&gt;1,COUNTIF($A$2:A1907,A1907)=1),1,0)</f>
        <v>0</v>
      </c>
      <c r="U1907">
        <f>COUNTIF(Customers!$A$2:$A$301,C1907)</f>
        <v>1</v>
      </c>
      <c r="V1907">
        <f t="shared" si="89"/>
        <v>0</v>
      </c>
    </row>
    <row r="1908" spans="1:22" ht="14.25" customHeight="1" x14ac:dyDescent="0.35">
      <c r="A1908" s="10" t="s">
        <v>2369</v>
      </c>
      <c r="B1908" s="11">
        <v>45400</v>
      </c>
      <c r="C1908" s="10" t="s">
        <v>48</v>
      </c>
      <c r="D1908" s="10" t="s">
        <v>466</v>
      </c>
      <c r="E1908" s="10" t="s">
        <v>216</v>
      </c>
      <c r="F1908" s="12">
        <v>6</v>
      </c>
      <c r="G1908" s="12">
        <v>1090</v>
      </c>
      <c r="H1908" s="12">
        <v>28.3</v>
      </c>
      <c r="I1908" s="12">
        <v>4689.18</v>
      </c>
      <c r="J1908" s="10" t="s">
        <v>51</v>
      </c>
      <c r="K1908" s="10" t="s">
        <v>52</v>
      </c>
      <c r="L1908" t="str">
        <f>IFERROR(VLOOKUP(D1908,Products!A:F,3,0),"")</f>
        <v>Home</v>
      </c>
      <c r="M1908" t="str">
        <f>IFERROR(VLOOKUP(E1908,Sales_Reps!A:E,3,0),"")</f>
        <v>South</v>
      </c>
      <c r="N1908" t="str">
        <f>IFERROR(VLOOKUP(C1908,Customers!A:F,5,0),"")</f>
        <v>SMB</v>
      </c>
      <c r="O1908">
        <f>IFERROR(VLOOKUP(C1908,Customers!A:F,3,0),"")</f>
        <v>44</v>
      </c>
      <c r="P1908">
        <f>IFERROR(VLOOKUP(D1908,Products!A:F,4,0),"")</f>
        <v>464</v>
      </c>
      <c r="Q1908" t="b">
        <f>IFERROR(VLOOKUP(D1908,Products!A:F,6,0),"")</f>
        <v>1</v>
      </c>
      <c r="R1908">
        <f t="shared" si="87"/>
        <v>0.57431192660550456</v>
      </c>
      <c r="S1908">
        <f t="shared" si="88"/>
        <v>1</v>
      </c>
      <c r="T1908">
        <f>IF(AND(S1908&gt;1,COUNTIF($A$2:A1908,A1908)=1),1,0)</f>
        <v>0</v>
      </c>
      <c r="U1908">
        <f>COUNTIF(Customers!$A$2:$A$301,C1908)</f>
        <v>1</v>
      </c>
      <c r="V1908">
        <f t="shared" si="89"/>
        <v>0</v>
      </c>
    </row>
    <row r="1909" spans="1:22" ht="14.25" customHeight="1" x14ac:dyDescent="0.35">
      <c r="A1909" s="10" t="s">
        <v>2370</v>
      </c>
      <c r="B1909" s="11">
        <v>45625</v>
      </c>
      <c r="C1909" s="10" t="s">
        <v>384</v>
      </c>
      <c r="D1909" s="10" t="s">
        <v>74</v>
      </c>
      <c r="E1909" s="10" t="s">
        <v>112</v>
      </c>
      <c r="F1909" s="12">
        <v>9</v>
      </c>
      <c r="G1909" s="12">
        <v>370</v>
      </c>
      <c r="H1909" s="12">
        <v>13.8</v>
      </c>
      <c r="I1909" s="12">
        <v>2870.46</v>
      </c>
      <c r="J1909" s="10" t="s">
        <v>51</v>
      </c>
      <c r="K1909" s="10" t="s">
        <v>63</v>
      </c>
      <c r="L1909" t="str">
        <f>IFERROR(VLOOKUP(D1909,Products!A:F,3,0),"")</f>
        <v>Home</v>
      </c>
      <c r="M1909" t="str">
        <f>IFERROR(VLOOKUP(E1909,Sales_Reps!A:E,3,0),"")</f>
        <v>North</v>
      </c>
      <c r="N1909" t="str">
        <f>IFERROR(VLOOKUP(C1909,Customers!A:F,5,0),"")</f>
        <v>Retail</v>
      </c>
      <c r="O1909">
        <f>IFERROR(VLOOKUP(C1909,Customers!A:F,3,0),"")</f>
        <v>44</v>
      </c>
      <c r="P1909">
        <f>IFERROR(VLOOKUP(D1909,Products!A:F,4,0),"")</f>
        <v>288</v>
      </c>
      <c r="Q1909" t="b">
        <f>IFERROR(VLOOKUP(D1909,Products!A:F,6,0),"")</f>
        <v>1</v>
      </c>
      <c r="R1909">
        <f t="shared" si="87"/>
        <v>0.22162162162162163</v>
      </c>
      <c r="S1909">
        <f t="shared" si="88"/>
        <v>1</v>
      </c>
      <c r="T1909">
        <f>IF(AND(S1909&gt;1,COUNTIF($A$2:A1909,A1909)=1),1,0)</f>
        <v>0</v>
      </c>
      <c r="U1909">
        <f>COUNTIF(Customers!$A$2:$A$301,C1909)</f>
        <v>1</v>
      </c>
      <c r="V1909">
        <f t="shared" si="89"/>
        <v>0</v>
      </c>
    </row>
    <row r="1910" spans="1:22" ht="14.25" customHeight="1" x14ac:dyDescent="0.35">
      <c r="A1910" s="10" t="s">
        <v>2371</v>
      </c>
      <c r="B1910" s="11">
        <v>45555</v>
      </c>
      <c r="C1910" s="10" t="s">
        <v>457</v>
      </c>
      <c r="D1910" s="10" t="s">
        <v>151</v>
      </c>
      <c r="E1910" s="10" t="s">
        <v>75</v>
      </c>
      <c r="F1910" s="12">
        <v>10</v>
      </c>
      <c r="G1910" s="12">
        <v>3570</v>
      </c>
      <c r="H1910" s="12">
        <v>3</v>
      </c>
      <c r="I1910" s="12">
        <v>34629</v>
      </c>
      <c r="J1910" s="10" t="s">
        <v>104</v>
      </c>
      <c r="K1910" s="10" t="s">
        <v>52</v>
      </c>
      <c r="L1910" t="str">
        <f>IFERROR(VLOOKUP(D1910,Products!A:F,3,0),"")</f>
        <v>Electronics</v>
      </c>
      <c r="M1910" t="str">
        <f>IFERROR(VLOOKUP(E1910,Sales_Reps!A:E,3,0),"")</f>
        <v>West</v>
      </c>
      <c r="N1910" t="str">
        <f>IFERROR(VLOOKUP(C1910,Customers!A:F,5,0),"")</f>
        <v>Retail</v>
      </c>
      <c r="O1910">
        <f>IFERROR(VLOOKUP(C1910,Customers!A:F,3,0),"")</f>
        <v>57</v>
      </c>
      <c r="P1910">
        <f>IFERROR(VLOOKUP(D1910,Products!A:F,4,0),"")</f>
        <v>1665</v>
      </c>
      <c r="Q1910" t="b">
        <f>IFERROR(VLOOKUP(D1910,Products!A:F,6,0),"")</f>
        <v>1</v>
      </c>
      <c r="R1910">
        <f t="shared" si="87"/>
        <v>0.53361344537815125</v>
      </c>
      <c r="S1910">
        <f t="shared" si="88"/>
        <v>1</v>
      </c>
      <c r="T1910">
        <f>IF(AND(S1910&gt;1,COUNTIF($A$2:A1910,A1910)=1),1,0)</f>
        <v>0</v>
      </c>
      <c r="U1910">
        <f>COUNTIF(Customers!$A$2:$A$301,C1910)</f>
        <v>1</v>
      </c>
      <c r="V1910">
        <f t="shared" si="89"/>
        <v>0</v>
      </c>
    </row>
    <row r="1911" spans="1:22" ht="14.25" customHeight="1" x14ac:dyDescent="0.35">
      <c r="A1911" s="10" t="s">
        <v>2372</v>
      </c>
      <c r="B1911" s="11">
        <v>45509</v>
      </c>
      <c r="C1911" s="10" t="s">
        <v>335</v>
      </c>
      <c r="D1911" s="10" t="s">
        <v>107</v>
      </c>
      <c r="E1911" s="10" t="s">
        <v>310</v>
      </c>
      <c r="F1911" s="12">
        <v>10</v>
      </c>
      <c r="G1911" s="12">
        <v>3250</v>
      </c>
      <c r="H1911" s="12">
        <v>20.3</v>
      </c>
      <c r="I1911" s="12">
        <v>25902.5</v>
      </c>
      <c r="J1911" s="10" t="s">
        <v>51</v>
      </c>
      <c r="K1911" s="10" t="s">
        <v>76</v>
      </c>
      <c r="L1911" t="str">
        <f>IFERROR(VLOOKUP(D1911,Products!A:F,3,0),"")</f>
        <v>Home</v>
      </c>
      <c r="M1911" t="str">
        <f>IFERROR(VLOOKUP(E1911,Sales_Reps!A:E,3,0),"")</f>
        <v>South</v>
      </c>
      <c r="N1911" t="str">
        <f>IFERROR(VLOOKUP(C1911,Customers!A:F,5,0),"")</f>
        <v>Retail</v>
      </c>
      <c r="O1911">
        <f>IFERROR(VLOOKUP(C1911,Customers!A:F,3,0),"")</f>
        <v>42</v>
      </c>
      <c r="P1911">
        <f>IFERROR(VLOOKUP(D1911,Products!A:F,4,0),"")</f>
        <v>1556</v>
      </c>
      <c r="Q1911" t="b">
        <f>IFERROR(VLOOKUP(D1911,Products!A:F,6,0),"")</f>
        <v>1</v>
      </c>
      <c r="R1911">
        <f t="shared" si="87"/>
        <v>0.52123076923076928</v>
      </c>
      <c r="S1911">
        <f t="shared" si="88"/>
        <v>1</v>
      </c>
      <c r="T1911">
        <f>IF(AND(S1911&gt;1,COUNTIF($A$2:A1911,A1911)=1),1,0)</f>
        <v>0</v>
      </c>
      <c r="U1911">
        <f>COUNTIF(Customers!$A$2:$A$301,C1911)</f>
        <v>1</v>
      </c>
      <c r="V1911">
        <f t="shared" si="89"/>
        <v>0</v>
      </c>
    </row>
    <row r="1912" spans="1:22" ht="14.25" customHeight="1" x14ac:dyDescent="0.35">
      <c r="A1912" s="10" t="s">
        <v>2373</v>
      </c>
      <c r="B1912" s="11">
        <v>45436</v>
      </c>
      <c r="C1912" s="10" t="s">
        <v>836</v>
      </c>
      <c r="D1912" s="10" t="s">
        <v>107</v>
      </c>
      <c r="E1912" s="10" t="s">
        <v>92</v>
      </c>
      <c r="F1912" s="12">
        <v>6</v>
      </c>
      <c r="G1912" s="12">
        <v>3250</v>
      </c>
      <c r="H1912" s="12">
        <v>25.8</v>
      </c>
      <c r="I1912" s="12">
        <v>14469</v>
      </c>
      <c r="J1912" s="10" t="s">
        <v>57</v>
      </c>
      <c r="K1912" s="10" t="s">
        <v>76</v>
      </c>
      <c r="L1912" t="str">
        <f>IFERROR(VLOOKUP(D1912,Products!A:F,3,0),"")</f>
        <v>Home</v>
      </c>
      <c r="M1912" t="str">
        <f>IFERROR(VLOOKUP(E1912,Sales_Reps!A:E,3,0),"")</f>
        <v>West</v>
      </c>
      <c r="N1912" t="str">
        <f>IFERROR(VLOOKUP(C1912,Customers!A:F,5,0),"")</f>
        <v>Corporate</v>
      </c>
      <c r="O1912">
        <f>IFERROR(VLOOKUP(C1912,Customers!A:F,3,0),"")</f>
        <v>62</v>
      </c>
      <c r="P1912">
        <f>IFERROR(VLOOKUP(D1912,Products!A:F,4,0),"")</f>
        <v>1556</v>
      </c>
      <c r="Q1912" t="b">
        <f>IFERROR(VLOOKUP(D1912,Products!A:F,6,0),"")</f>
        <v>1</v>
      </c>
      <c r="R1912">
        <f t="shared" si="87"/>
        <v>0.52123076923076928</v>
      </c>
      <c r="S1912">
        <f t="shared" si="88"/>
        <v>1</v>
      </c>
      <c r="T1912">
        <f>IF(AND(S1912&gt;1,COUNTIF($A$2:A1912,A1912)=1),1,0)</f>
        <v>0</v>
      </c>
      <c r="U1912">
        <f>COUNTIF(Customers!$A$2:$A$301,C1912)</f>
        <v>1</v>
      </c>
      <c r="V1912">
        <f t="shared" si="89"/>
        <v>0</v>
      </c>
    </row>
    <row r="1913" spans="1:22" ht="14.25" customHeight="1" x14ac:dyDescent="0.35">
      <c r="A1913" s="10" t="s">
        <v>2374</v>
      </c>
      <c r="B1913" s="11">
        <v>45610</v>
      </c>
      <c r="C1913" s="10" t="s">
        <v>300</v>
      </c>
      <c r="D1913" s="10" t="s">
        <v>79</v>
      </c>
      <c r="E1913" s="10" t="s">
        <v>80</v>
      </c>
      <c r="F1913" s="12">
        <v>9</v>
      </c>
      <c r="G1913" s="12">
        <v>960</v>
      </c>
      <c r="H1913" s="12">
        <v>29</v>
      </c>
      <c r="I1913" s="12">
        <v>6134.4</v>
      </c>
      <c r="J1913" s="10" t="s">
        <v>51</v>
      </c>
      <c r="K1913" s="10" t="s">
        <v>76</v>
      </c>
      <c r="L1913" t="str">
        <f>IFERROR(VLOOKUP(D1913,Products!A:F,3,0),"")</f>
        <v>Sports</v>
      </c>
      <c r="M1913" t="str">
        <f>IFERROR(VLOOKUP(E1913,Sales_Reps!A:E,3,0),"")</f>
        <v>West</v>
      </c>
      <c r="N1913" t="str">
        <f>IFERROR(VLOOKUP(C1913,Customers!A:F,5,0),"")</f>
        <v>Retail</v>
      </c>
      <c r="O1913">
        <f>IFERROR(VLOOKUP(C1913,Customers!A:F,3,0),"")</f>
        <v>49</v>
      </c>
      <c r="P1913">
        <f>IFERROR(VLOOKUP(D1913,Products!A:F,4,0),"")</f>
        <v>705</v>
      </c>
      <c r="Q1913" t="b">
        <f>IFERROR(VLOOKUP(D1913,Products!A:F,6,0),"")</f>
        <v>1</v>
      </c>
      <c r="R1913">
        <f t="shared" si="87"/>
        <v>0.265625</v>
      </c>
      <c r="S1913">
        <f t="shared" si="88"/>
        <v>1</v>
      </c>
      <c r="T1913">
        <f>IF(AND(S1913&gt;1,COUNTIF($A$2:A1913,A1913)=1),1,0)</f>
        <v>0</v>
      </c>
      <c r="U1913">
        <f>COUNTIF(Customers!$A$2:$A$301,C1913)</f>
        <v>1</v>
      </c>
      <c r="V1913">
        <f t="shared" si="89"/>
        <v>0</v>
      </c>
    </row>
    <row r="1914" spans="1:22" ht="14.25" customHeight="1" x14ac:dyDescent="0.35">
      <c r="A1914" s="10" t="s">
        <v>2375</v>
      </c>
      <c r="B1914" s="11">
        <v>45535</v>
      </c>
      <c r="C1914" s="10" t="s">
        <v>321</v>
      </c>
      <c r="D1914" s="10" t="s">
        <v>205</v>
      </c>
      <c r="E1914" s="10" t="s">
        <v>152</v>
      </c>
      <c r="F1914" s="12">
        <v>9</v>
      </c>
      <c r="G1914" s="12">
        <v>6080</v>
      </c>
      <c r="H1914" s="12">
        <v>21</v>
      </c>
      <c r="I1914" s="12">
        <v>43228.800000000003</v>
      </c>
      <c r="J1914" s="10" t="s">
        <v>51</v>
      </c>
      <c r="K1914" s="10" t="s">
        <v>63</v>
      </c>
      <c r="L1914" t="str">
        <f>IFERROR(VLOOKUP(D1914,Products!A:F,3,0),"")</f>
        <v>Beauty</v>
      </c>
      <c r="M1914" t="str">
        <f>IFERROR(VLOOKUP(E1914,Sales_Reps!A:E,3,0),"")</f>
        <v>South</v>
      </c>
      <c r="N1914" t="str">
        <f>IFERROR(VLOOKUP(C1914,Customers!A:F,5,0),"")</f>
        <v>SMB</v>
      </c>
      <c r="O1914">
        <f>IFERROR(VLOOKUP(C1914,Customers!A:F,3,0),"")</f>
        <v>38</v>
      </c>
      <c r="P1914">
        <f>IFERROR(VLOOKUP(D1914,Products!A:F,4,0),"")</f>
        <v>2617</v>
      </c>
      <c r="Q1914" t="b">
        <f>IFERROR(VLOOKUP(D1914,Products!A:F,6,0),"")</f>
        <v>1</v>
      </c>
      <c r="R1914">
        <f t="shared" si="87"/>
        <v>0.56957236842105263</v>
      </c>
      <c r="S1914">
        <f t="shared" si="88"/>
        <v>1</v>
      </c>
      <c r="T1914">
        <f>IF(AND(S1914&gt;1,COUNTIF($A$2:A1914,A1914)=1),1,0)</f>
        <v>0</v>
      </c>
      <c r="U1914">
        <f>COUNTIF(Customers!$A$2:$A$301,C1914)</f>
        <v>1</v>
      </c>
      <c r="V1914">
        <f t="shared" si="89"/>
        <v>0</v>
      </c>
    </row>
    <row r="1915" spans="1:22" ht="14.25" customHeight="1" x14ac:dyDescent="0.35">
      <c r="A1915" s="10" t="s">
        <v>2376</v>
      </c>
      <c r="B1915" s="11">
        <v>45366</v>
      </c>
      <c r="C1915" s="10" t="s">
        <v>133</v>
      </c>
      <c r="D1915" s="10" t="s">
        <v>234</v>
      </c>
      <c r="E1915" s="10" t="s">
        <v>156</v>
      </c>
      <c r="F1915" s="12">
        <v>6</v>
      </c>
      <c r="G1915" s="12">
        <v>4610</v>
      </c>
      <c r="H1915" s="12">
        <v>13.5</v>
      </c>
      <c r="I1915" s="12">
        <v>23925.9</v>
      </c>
      <c r="J1915" s="10" t="s">
        <v>51</v>
      </c>
      <c r="K1915" s="10" t="s">
        <v>76</v>
      </c>
      <c r="L1915" t="str">
        <f>IFERROR(VLOOKUP(D1915,Products!A:F,3,0),"")</f>
        <v>Home</v>
      </c>
      <c r="M1915" t="str">
        <f>IFERROR(VLOOKUP(E1915,Sales_Reps!A:E,3,0),"")</f>
        <v>East</v>
      </c>
      <c r="N1915" t="str">
        <f>IFERROR(VLOOKUP(C1915,Customers!A:F,5,0),"")</f>
        <v>Retail</v>
      </c>
      <c r="O1915">
        <f>IFERROR(VLOOKUP(C1915,Customers!A:F,3,0),"")</f>
        <v>34</v>
      </c>
      <c r="P1915">
        <f>IFERROR(VLOOKUP(D1915,Products!A:F,4,0),"")</f>
        <v>1850</v>
      </c>
      <c r="Q1915" t="b">
        <f>IFERROR(VLOOKUP(D1915,Products!A:F,6,0),"")</f>
        <v>1</v>
      </c>
      <c r="R1915">
        <f t="shared" si="87"/>
        <v>0.59869848156182215</v>
      </c>
      <c r="S1915">
        <f t="shared" si="88"/>
        <v>1</v>
      </c>
      <c r="T1915">
        <f>IF(AND(S1915&gt;1,COUNTIF($A$2:A1915,A1915)=1),1,0)</f>
        <v>0</v>
      </c>
      <c r="U1915">
        <f>COUNTIF(Customers!$A$2:$A$301,C1915)</f>
        <v>1</v>
      </c>
      <c r="V1915">
        <f t="shared" si="89"/>
        <v>0</v>
      </c>
    </row>
    <row r="1916" spans="1:22" ht="14.25" customHeight="1" x14ac:dyDescent="0.35">
      <c r="A1916" s="10" t="s">
        <v>2377</v>
      </c>
      <c r="B1916" s="11">
        <v>45446</v>
      </c>
      <c r="C1916" s="10" t="s">
        <v>505</v>
      </c>
      <c r="D1916" s="10" t="s">
        <v>407</v>
      </c>
      <c r="E1916" s="10" t="s">
        <v>122</v>
      </c>
      <c r="F1916" s="12">
        <v>7</v>
      </c>
      <c r="G1916" s="12">
        <v>5080</v>
      </c>
      <c r="H1916" s="12">
        <v>25.4</v>
      </c>
      <c r="I1916" s="12">
        <v>26527.759999999998</v>
      </c>
      <c r="J1916" s="10" t="s">
        <v>51</v>
      </c>
      <c r="K1916" s="10" t="s">
        <v>58</v>
      </c>
      <c r="L1916" t="str">
        <f>IFERROR(VLOOKUP(D1916,Products!A:F,3,0),"")</f>
        <v>Home</v>
      </c>
      <c r="M1916" t="str">
        <f>IFERROR(VLOOKUP(E1916,Sales_Reps!A:E,3,0),"")</f>
        <v>East</v>
      </c>
      <c r="N1916" t="str">
        <f>IFERROR(VLOOKUP(C1916,Customers!A:F,5,0),"")</f>
        <v>Corporate</v>
      </c>
      <c r="O1916">
        <f>IFERROR(VLOOKUP(C1916,Customers!A:F,3,0),"")</f>
        <v>34</v>
      </c>
      <c r="P1916">
        <f>IFERROR(VLOOKUP(D1916,Products!A:F,4,0),"")</f>
        <v>2459</v>
      </c>
      <c r="Q1916" t="b">
        <f>IFERROR(VLOOKUP(D1916,Products!A:F,6,0),"")</f>
        <v>1</v>
      </c>
      <c r="R1916">
        <f t="shared" si="87"/>
        <v>0.51594488188976373</v>
      </c>
      <c r="S1916">
        <f t="shared" si="88"/>
        <v>1</v>
      </c>
      <c r="T1916">
        <f>IF(AND(S1916&gt;1,COUNTIF($A$2:A1916,A1916)=1),1,0)</f>
        <v>0</v>
      </c>
      <c r="U1916">
        <f>COUNTIF(Customers!$A$2:$A$301,C1916)</f>
        <v>1</v>
      </c>
      <c r="V1916">
        <f t="shared" si="89"/>
        <v>0</v>
      </c>
    </row>
    <row r="1917" spans="1:22" ht="14.25" customHeight="1" x14ac:dyDescent="0.35">
      <c r="A1917" s="10" t="s">
        <v>2378</v>
      </c>
      <c r="B1917" s="11">
        <v>45550</v>
      </c>
      <c r="C1917" s="10" t="s">
        <v>517</v>
      </c>
      <c r="D1917" s="10" t="s">
        <v>143</v>
      </c>
      <c r="E1917" s="10" t="s">
        <v>202</v>
      </c>
      <c r="F1917" s="12">
        <v>5</v>
      </c>
      <c r="G1917" s="12">
        <v>3350</v>
      </c>
      <c r="H1917" s="12">
        <v>2.2000000000000002</v>
      </c>
      <c r="I1917" s="12">
        <v>16381.5</v>
      </c>
      <c r="J1917" s="10" t="s">
        <v>51</v>
      </c>
      <c r="K1917" s="10" t="s">
        <v>76</v>
      </c>
      <c r="L1917" t="str">
        <f>IFERROR(VLOOKUP(D1917,Products!A:F,3,0),"")</f>
        <v>Beauty</v>
      </c>
      <c r="M1917" t="str">
        <f>IFERROR(VLOOKUP(E1917,Sales_Reps!A:E,3,0),"")</f>
        <v>East</v>
      </c>
      <c r="N1917" t="str">
        <f>IFERROR(VLOOKUP(C1917,Customers!A:F,5,0),"")</f>
        <v>Retail</v>
      </c>
      <c r="O1917">
        <f>IFERROR(VLOOKUP(C1917,Customers!A:F,3,0),"")</f>
        <v>65</v>
      </c>
      <c r="P1917">
        <f>IFERROR(VLOOKUP(D1917,Products!A:F,4,0),"")</f>
        <v>1728</v>
      </c>
      <c r="Q1917" t="b">
        <f>IFERROR(VLOOKUP(D1917,Products!A:F,6,0),"")</f>
        <v>1</v>
      </c>
      <c r="R1917">
        <f t="shared" si="87"/>
        <v>0.48417910447761192</v>
      </c>
      <c r="S1917">
        <f t="shared" si="88"/>
        <v>1</v>
      </c>
      <c r="T1917">
        <f>IF(AND(S1917&gt;1,COUNTIF($A$2:A1917,A1917)=1),1,0)</f>
        <v>0</v>
      </c>
      <c r="U1917">
        <f>COUNTIF(Customers!$A$2:$A$301,C1917)</f>
        <v>1</v>
      </c>
      <c r="V1917">
        <f t="shared" si="89"/>
        <v>0</v>
      </c>
    </row>
    <row r="1918" spans="1:22" ht="14.25" customHeight="1" x14ac:dyDescent="0.35">
      <c r="A1918" s="10" t="s">
        <v>2379</v>
      </c>
      <c r="B1918" s="11">
        <v>45600</v>
      </c>
      <c r="C1918" s="10" t="s">
        <v>874</v>
      </c>
      <c r="D1918" s="10" t="s">
        <v>198</v>
      </c>
      <c r="E1918" s="10" t="s">
        <v>62</v>
      </c>
      <c r="F1918" s="12">
        <v>1</v>
      </c>
      <c r="G1918" s="12">
        <v>3780</v>
      </c>
      <c r="H1918" s="12">
        <v>13.7</v>
      </c>
      <c r="I1918" s="12">
        <v>3262.14</v>
      </c>
      <c r="J1918" s="10" t="s">
        <v>51</v>
      </c>
      <c r="K1918" s="10" t="s">
        <v>63</v>
      </c>
      <c r="L1918" t="str">
        <f>IFERROR(VLOOKUP(D1918,Products!A:F,3,0),"")</f>
        <v>Grocery</v>
      </c>
      <c r="M1918" t="str">
        <f>IFERROR(VLOOKUP(E1918,Sales_Reps!A:E,3,0),"")</f>
        <v>South</v>
      </c>
      <c r="N1918" t="str">
        <f>IFERROR(VLOOKUP(C1918,Customers!A:F,5,0),"")</f>
        <v>Retail</v>
      </c>
      <c r="O1918">
        <f>IFERROR(VLOOKUP(C1918,Customers!A:F,3,0),"")</f>
        <v>55</v>
      </c>
      <c r="P1918">
        <f>IFERROR(VLOOKUP(D1918,Products!A:F,4,0),"")</f>
        <v>2436</v>
      </c>
      <c r="Q1918" t="b">
        <f>IFERROR(VLOOKUP(D1918,Products!A:F,6,0),"")</f>
        <v>1</v>
      </c>
      <c r="R1918">
        <f t="shared" si="87"/>
        <v>0.35555555555555557</v>
      </c>
      <c r="S1918">
        <f t="shared" si="88"/>
        <v>1</v>
      </c>
      <c r="T1918">
        <f>IF(AND(S1918&gt;1,COUNTIF($A$2:A1918,A1918)=1),1,0)</f>
        <v>0</v>
      </c>
      <c r="U1918">
        <f>COUNTIF(Customers!$A$2:$A$301,C1918)</f>
        <v>1</v>
      </c>
      <c r="V1918">
        <f t="shared" si="89"/>
        <v>0</v>
      </c>
    </row>
    <row r="1919" spans="1:22" ht="14.25" customHeight="1" x14ac:dyDescent="0.35">
      <c r="A1919" s="10" t="s">
        <v>2380</v>
      </c>
      <c r="B1919" s="11">
        <v>45352</v>
      </c>
      <c r="C1919" s="10" t="s">
        <v>142</v>
      </c>
      <c r="D1919" s="10" t="s">
        <v>148</v>
      </c>
      <c r="E1919" s="10" t="s">
        <v>156</v>
      </c>
      <c r="F1919" s="12">
        <v>4</v>
      </c>
      <c r="G1919" s="12">
        <v>4880</v>
      </c>
      <c r="H1919" s="12">
        <v>11.6</v>
      </c>
      <c r="I1919" s="12">
        <v>17255.68</v>
      </c>
      <c r="J1919" s="10" t="s">
        <v>51</v>
      </c>
      <c r="K1919" s="10" t="s">
        <v>58</v>
      </c>
      <c r="L1919" t="str">
        <f>IFERROR(VLOOKUP(D1919,Products!A:F,3,0),"")</f>
        <v>Beauty</v>
      </c>
      <c r="M1919" t="str">
        <f>IFERROR(VLOOKUP(E1919,Sales_Reps!A:E,3,0),"")</f>
        <v>East</v>
      </c>
      <c r="N1919" t="str">
        <f>IFERROR(VLOOKUP(C1919,Customers!A:F,5,0),"")</f>
        <v>Corporate</v>
      </c>
      <c r="O1919">
        <f>IFERROR(VLOOKUP(C1919,Customers!A:F,3,0),"")</f>
        <v>55</v>
      </c>
      <c r="P1919">
        <f>IFERROR(VLOOKUP(D1919,Products!A:F,4,0),"")</f>
        <v>2768</v>
      </c>
      <c r="Q1919" t="b">
        <f>IFERROR(VLOOKUP(D1919,Products!A:F,6,0),"")</f>
        <v>1</v>
      </c>
      <c r="R1919">
        <f t="shared" si="87"/>
        <v>0.43278688524590164</v>
      </c>
      <c r="S1919">
        <f t="shared" si="88"/>
        <v>1</v>
      </c>
      <c r="T1919">
        <f>IF(AND(S1919&gt;1,COUNTIF($A$2:A1919,A1919)=1),1,0)</f>
        <v>0</v>
      </c>
      <c r="U1919">
        <f>COUNTIF(Customers!$A$2:$A$301,C1919)</f>
        <v>1</v>
      </c>
      <c r="V1919">
        <f t="shared" si="89"/>
        <v>0</v>
      </c>
    </row>
    <row r="1920" spans="1:22" ht="14.25" customHeight="1" x14ac:dyDescent="0.35">
      <c r="A1920" s="10" t="s">
        <v>2381</v>
      </c>
      <c r="B1920" s="11">
        <v>45385</v>
      </c>
      <c r="C1920" s="10" t="s">
        <v>626</v>
      </c>
      <c r="D1920" s="10" t="s">
        <v>155</v>
      </c>
      <c r="E1920" s="10" t="s">
        <v>193</v>
      </c>
      <c r="F1920" s="12">
        <v>3</v>
      </c>
      <c r="G1920" s="12">
        <v>5100</v>
      </c>
      <c r="H1920" s="12">
        <v>24.2</v>
      </c>
      <c r="I1920" s="12">
        <v>11597.4</v>
      </c>
      <c r="J1920" s="10" t="s">
        <v>51</v>
      </c>
      <c r="K1920" s="10" t="s">
        <v>2382</v>
      </c>
      <c r="L1920" t="str">
        <f>IFERROR(VLOOKUP(D1920,Products!A:F,3,0),"")</f>
        <v>Beauty</v>
      </c>
      <c r="M1920" t="str">
        <f>IFERROR(VLOOKUP(E1920,Sales_Reps!A:E,3,0),"")</f>
        <v>West</v>
      </c>
      <c r="N1920" t="str">
        <f>IFERROR(VLOOKUP(C1920,Customers!A:F,5,0),"")</f>
        <v>Corporate</v>
      </c>
      <c r="O1920">
        <f>IFERROR(VLOOKUP(C1920,Customers!A:F,3,0),"")</f>
        <v>41</v>
      </c>
      <c r="P1920">
        <f>IFERROR(VLOOKUP(D1920,Products!A:F,4,0),"")</f>
        <v>2237</v>
      </c>
      <c r="Q1920" t="b">
        <f>IFERROR(VLOOKUP(D1920,Products!A:F,6,0),"")</f>
        <v>1</v>
      </c>
      <c r="R1920">
        <f t="shared" si="87"/>
        <v>0.56137254901960787</v>
      </c>
      <c r="S1920">
        <f t="shared" si="88"/>
        <v>1</v>
      </c>
      <c r="T1920">
        <f>IF(AND(S1920&gt;1,COUNTIF($A$2:A1920,A1920)=1),1,0)</f>
        <v>0</v>
      </c>
      <c r="U1920">
        <f>COUNTIF(Customers!$A$2:$A$301,C1920)</f>
        <v>1</v>
      </c>
      <c r="V1920">
        <f t="shared" si="89"/>
        <v>0</v>
      </c>
    </row>
    <row r="1921" spans="1:22" ht="14.25" customHeight="1" x14ac:dyDescent="0.35">
      <c r="A1921" s="10" t="s">
        <v>2383</v>
      </c>
      <c r="B1921" s="11">
        <v>45634</v>
      </c>
      <c r="C1921" s="10" t="s">
        <v>743</v>
      </c>
      <c r="D1921" s="10" t="s">
        <v>243</v>
      </c>
      <c r="E1921" s="10" t="s">
        <v>118</v>
      </c>
      <c r="F1921" s="12">
        <v>5</v>
      </c>
      <c r="G1921" s="12">
        <v>2660</v>
      </c>
      <c r="H1921" s="12">
        <v>4.7</v>
      </c>
      <c r="I1921" s="12">
        <v>12674.9</v>
      </c>
      <c r="J1921" s="10" t="s">
        <v>51</v>
      </c>
      <c r="K1921" s="10" t="s">
        <v>81</v>
      </c>
      <c r="L1921" t="str">
        <f>IFERROR(VLOOKUP(D1921,Products!A:F,3,0),"")</f>
        <v>Electronics</v>
      </c>
      <c r="M1921" t="str">
        <f>IFERROR(VLOOKUP(E1921,Sales_Reps!A:E,3,0),"")</f>
        <v>East</v>
      </c>
      <c r="N1921" t="str">
        <f>IFERROR(VLOOKUP(C1921,Customers!A:F,5,0),"")</f>
        <v>Retail</v>
      </c>
      <c r="O1921">
        <f>IFERROR(VLOOKUP(C1921,Customers!A:F,3,0),"")</f>
        <v>27</v>
      </c>
      <c r="P1921">
        <f>IFERROR(VLOOKUP(D1921,Products!A:F,4,0),"")</f>
        <v>1259</v>
      </c>
      <c r="Q1921" t="b">
        <f>IFERROR(VLOOKUP(D1921,Products!A:F,6,0),"")</f>
        <v>0</v>
      </c>
      <c r="R1921">
        <f t="shared" si="87"/>
        <v>0.52669172932330832</v>
      </c>
      <c r="S1921">
        <f t="shared" si="88"/>
        <v>1</v>
      </c>
      <c r="T1921">
        <f>IF(AND(S1921&gt;1,COUNTIF($A$2:A1921,A1921)=1),1,0)</f>
        <v>0</v>
      </c>
      <c r="U1921">
        <f>COUNTIF(Customers!$A$2:$A$301,C1921)</f>
        <v>1</v>
      </c>
      <c r="V1921">
        <f t="shared" si="89"/>
        <v>0</v>
      </c>
    </row>
    <row r="1922" spans="1:22" ht="14.25" customHeight="1" x14ac:dyDescent="0.35">
      <c r="A1922" s="10" t="s">
        <v>2384</v>
      </c>
      <c r="B1922" s="11">
        <v>45444</v>
      </c>
      <c r="C1922" s="10" t="s">
        <v>323</v>
      </c>
      <c r="D1922" s="10" t="s">
        <v>331</v>
      </c>
      <c r="E1922" s="10" t="s">
        <v>202</v>
      </c>
      <c r="F1922" s="12">
        <v>10</v>
      </c>
      <c r="G1922" s="12">
        <v>2380</v>
      </c>
      <c r="H1922" s="12">
        <v>1</v>
      </c>
      <c r="I1922" s="12">
        <v>23562</v>
      </c>
      <c r="J1922" s="10" t="s">
        <v>51</v>
      </c>
      <c r="K1922" s="10" t="s">
        <v>63</v>
      </c>
      <c r="L1922" t="str">
        <f>IFERROR(VLOOKUP(D1922,Products!A:F,3,0),"")</f>
        <v>Grocery</v>
      </c>
      <c r="M1922" t="str">
        <f>IFERROR(VLOOKUP(E1922,Sales_Reps!A:E,3,0),"")</f>
        <v>East</v>
      </c>
      <c r="N1922" t="str">
        <f>IFERROR(VLOOKUP(C1922,Customers!A:F,5,0),"")</f>
        <v>SMB</v>
      </c>
      <c r="O1922">
        <f>IFERROR(VLOOKUP(C1922,Customers!A:F,3,0),"")</f>
        <v>28</v>
      </c>
      <c r="P1922">
        <f>IFERROR(VLOOKUP(D1922,Products!A:F,4,0),"")</f>
        <v>1182</v>
      </c>
      <c r="Q1922" t="b">
        <f>IFERROR(VLOOKUP(D1922,Products!A:F,6,0),"")</f>
        <v>1</v>
      </c>
      <c r="R1922">
        <f t="shared" ref="R1922:R1985" si="90">IFERROR((G1922-P1922)/G1922,"")</f>
        <v>0.50336134453781511</v>
      </c>
      <c r="S1922">
        <f t="shared" ref="S1922:S1985" si="91">COUNTIF($A$2:$A$2001,A1922)</f>
        <v>1</v>
      </c>
      <c r="T1922">
        <f>IF(AND(S1922&gt;1,COUNTIF($A$2:A1922,A1922)=1),1,0)</f>
        <v>0</v>
      </c>
      <c r="U1922">
        <f>COUNTIF(Customers!$A$2:$A$301,C1922)</f>
        <v>1</v>
      </c>
      <c r="V1922">
        <f t="shared" ref="V1922:V1985" si="92">IF(AND(K1922="Bengaluru",L1922="Grocery"),I1922,0)</f>
        <v>0</v>
      </c>
    </row>
    <row r="1923" spans="1:22" ht="14.25" customHeight="1" x14ac:dyDescent="0.35">
      <c r="A1923" s="10" t="s">
        <v>2385</v>
      </c>
      <c r="B1923" s="11">
        <v>45553</v>
      </c>
      <c r="C1923" s="10" t="s">
        <v>780</v>
      </c>
      <c r="D1923" s="10" t="s">
        <v>148</v>
      </c>
      <c r="E1923" s="10" t="s">
        <v>261</v>
      </c>
      <c r="F1923" s="12">
        <v>9</v>
      </c>
      <c r="G1923" s="12">
        <v>4880</v>
      </c>
      <c r="H1923" s="12">
        <v>7.2</v>
      </c>
      <c r="I1923" s="12">
        <v>40757.760000000002</v>
      </c>
      <c r="J1923" s="10" t="s">
        <v>51</v>
      </c>
      <c r="K1923" s="10" t="s">
        <v>52</v>
      </c>
      <c r="L1923" t="str">
        <f>IFERROR(VLOOKUP(D1923,Products!A:F,3,0),"")</f>
        <v>Beauty</v>
      </c>
      <c r="M1923" t="str">
        <f>IFERROR(VLOOKUP(E1923,Sales_Reps!A:E,3,0),"")</f>
        <v>North</v>
      </c>
      <c r="N1923" t="str">
        <f>IFERROR(VLOOKUP(C1923,Customers!A:F,5,0),"")</f>
        <v>Retail</v>
      </c>
      <c r="O1923">
        <f>IFERROR(VLOOKUP(C1923,Customers!A:F,3,0),"")</f>
        <v>36</v>
      </c>
      <c r="P1923">
        <f>IFERROR(VLOOKUP(D1923,Products!A:F,4,0),"")</f>
        <v>2768</v>
      </c>
      <c r="Q1923" t="b">
        <f>IFERROR(VLOOKUP(D1923,Products!A:F,6,0),"")</f>
        <v>1</v>
      </c>
      <c r="R1923">
        <f t="shared" si="90"/>
        <v>0.43278688524590164</v>
      </c>
      <c r="S1923">
        <f t="shared" si="91"/>
        <v>1</v>
      </c>
      <c r="T1923">
        <f>IF(AND(S1923&gt;1,COUNTIF($A$2:A1923,A1923)=1),1,0)</f>
        <v>0</v>
      </c>
      <c r="U1923">
        <f>COUNTIF(Customers!$A$2:$A$301,C1923)</f>
        <v>1</v>
      </c>
      <c r="V1923">
        <f t="shared" si="92"/>
        <v>0</v>
      </c>
    </row>
    <row r="1924" spans="1:22" ht="14.25" customHeight="1" x14ac:dyDescent="0.35">
      <c r="A1924" s="10" t="s">
        <v>2386</v>
      </c>
      <c r="B1924" s="11">
        <v>45411</v>
      </c>
      <c r="C1924" s="10" t="s">
        <v>1157</v>
      </c>
      <c r="D1924" s="10" t="s">
        <v>190</v>
      </c>
      <c r="E1924" s="10" t="s">
        <v>62</v>
      </c>
      <c r="F1924" s="12">
        <v>1</v>
      </c>
      <c r="G1924" s="12">
        <v>3730</v>
      </c>
      <c r="H1924" s="12">
        <v>15.3</v>
      </c>
      <c r="I1924" s="12">
        <v>3159.31</v>
      </c>
      <c r="J1924" s="10" t="s">
        <v>51</v>
      </c>
      <c r="K1924" s="10" t="s">
        <v>97</v>
      </c>
      <c r="L1924" t="str">
        <f>IFERROR(VLOOKUP(D1924,Products!A:F,3,0),"")</f>
        <v>Home</v>
      </c>
      <c r="M1924" t="str">
        <f>IFERROR(VLOOKUP(E1924,Sales_Reps!A:E,3,0),"")</f>
        <v>South</v>
      </c>
      <c r="N1924" t="str">
        <f>IFERROR(VLOOKUP(C1924,Customers!A:F,5,0),"")</f>
        <v>SMB</v>
      </c>
      <c r="O1924">
        <f>IFERROR(VLOOKUP(C1924,Customers!A:F,3,0),"")</f>
        <v>25</v>
      </c>
      <c r="P1924">
        <f>IFERROR(VLOOKUP(D1924,Products!A:F,4,0),"")</f>
        <v>2135</v>
      </c>
      <c r="Q1924" t="b">
        <f>IFERROR(VLOOKUP(D1924,Products!A:F,6,0),"")</f>
        <v>1</v>
      </c>
      <c r="R1924">
        <f t="shared" si="90"/>
        <v>0.42761394101876676</v>
      </c>
      <c r="S1924">
        <f t="shared" si="91"/>
        <v>1</v>
      </c>
      <c r="T1924">
        <f>IF(AND(S1924&gt;1,COUNTIF($A$2:A1924,A1924)=1),1,0)</f>
        <v>0</v>
      </c>
      <c r="U1924">
        <f>COUNTIF(Customers!$A$2:$A$301,C1924)</f>
        <v>1</v>
      </c>
      <c r="V1924">
        <f t="shared" si="92"/>
        <v>0</v>
      </c>
    </row>
    <row r="1925" spans="1:22" ht="14.25" customHeight="1" x14ac:dyDescent="0.35">
      <c r="A1925" s="10" t="s">
        <v>2387</v>
      </c>
      <c r="B1925" s="11">
        <v>45442</v>
      </c>
      <c r="C1925" s="10" t="s">
        <v>78</v>
      </c>
      <c r="D1925" s="10" t="s">
        <v>425</v>
      </c>
      <c r="E1925" s="10" t="s">
        <v>112</v>
      </c>
      <c r="F1925" s="12">
        <v>10</v>
      </c>
      <c r="G1925" s="12">
        <v>3780</v>
      </c>
      <c r="H1925" s="12">
        <v>2.7</v>
      </c>
      <c r="I1925" s="12">
        <v>36779.4</v>
      </c>
      <c r="J1925" s="10" t="s">
        <v>51</v>
      </c>
      <c r="K1925" s="10" t="s">
        <v>81</v>
      </c>
      <c r="L1925" t="str">
        <f>IFERROR(VLOOKUP(D1925,Products!A:F,3,0),"")</f>
        <v>Sports</v>
      </c>
      <c r="M1925" t="str">
        <f>IFERROR(VLOOKUP(E1925,Sales_Reps!A:E,3,0),"")</f>
        <v>North</v>
      </c>
      <c r="N1925" t="str">
        <f>IFERROR(VLOOKUP(C1925,Customers!A:F,5,0),"")</f>
        <v>Retail</v>
      </c>
      <c r="O1925">
        <f>IFERROR(VLOOKUP(C1925,Customers!A:F,3,0),"")</f>
        <v>27</v>
      </c>
      <c r="P1925">
        <f>IFERROR(VLOOKUP(D1925,Products!A:F,4,0),"")</f>
        <v>1860</v>
      </c>
      <c r="Q1925" t="b">
        <f>IFERROR(VLOOKUP(D1925,Products!A:F,6,0),"")</f>
        <v>1</v>
      </c>
      <c r="R1925">
        <f t="shared" si="90"/>
        <v>0.50793650793650791</v>
      </c>
      <c r="S1925">
        <f t="shared" si="91"/>
        <v>1</v>
      </c>
      <c r="T1925">
        <f>IF(AND(S1925&gt;1,COUNTIF($A$2:A1925,A1925)=1),1,0)</f>
        <v>0</v>
      </c>
      <c r="U1925">
        <f>COUNTIF(Customers!$A$2:$A$301,C1925)</f>
        <v>1</v>
      </c>
      <c r="V1925">
        <f t="shared" si="92"/>
        <v>0</v>
      </c>
    </row>
    <row r="1926" spans="1:22" ht="14.25" customHeight="1" x14ac:dyDescent="0.35">
      <c r="A1926" s="10" t="s">
        <v>2388</v>
      </c>
      <c r="B1926" s="11">
        <v>45381</v>
      </c>
      <c r="C1926" s="10" t="s">
        <v>1272</v>
      </c>
      <c r="D1926" s="10" t="s">
        <v>49</v>
      </c>
      <c r="E1926" s="10" t="s">
        <v>118</v>
      </c>
      <c r="F1926" s="12">
        <v>2</v>
      </c>
      <c r="G1926" s="12">
        <v>3620</v>
      </c>
      <c r="H1926" s="12">
        <v>23</v>
      </c>
      <c r="I1926" s="12">
        <v>5574.8</v>
      </c>
      <c r="J1926" s="10" t="s">
        <v>51</v>
      </c>
      <c r="K1926" s="10" t="s">
        <v>58</v>
      </c>
      <c r="L1926" t="str">
        <f>IFERROR(VLOOKUP(D1926,Products!A:F,3,0),"")</f>
        <v>Apparel</v>
      </c>
      <c r="M1926" t="str">
        <f>IFERROR(VLOOKUP(E1926,Sales_Reps!A:E,3,0),"")</f>
        <v>East</v>
      </c>
      <c r="N1926" t="str">
        <f>IFERROR(VLOOKUP(C1926,Customers!A:F,5,0),"")</f>
        <v>SMB</v>
      </c>
      <c r="O1926">
        <f>IFERROR(VLOOKUP(C1926,Customers!A:F,3,0),"")</f>
        <v>51</v>
      </c>
      <c r="P1926">
        <f>IFERROR(VLOOKUP(D1926,Products!A:F,4,0),"")</f>
        <v>2509</v>
      </c>
      <c r="Q1926" t="b">
        <f>IFERROR(VLOOKUP(D1926,Products!A:F,6,0),"")</f>
        <v>1</v>
      </c>
      <c r="R1926">
        <f t="shared" si="90"/>
        <v>0.3069060773480663</v>
      </c>
      <c r="S1926">
        <f t="shared" si="91"/>
        <v>1</v>
      </c>
      <c r="T1926">
        <f>IF(AND(S1926&gt;1,COUNTIF($A$2:A1926,A1926)=1),1,0)</f>
        <v>0</v>
      </c>
      <c r="U1926">
        <f>COUNTIF(Customers!$A$2:$A$301,C1926)</f>
        <v>1</v>
      </c>
      <c r="V1926">
        <f t="shared" si="92"/>
        <v>0</v>
      </c>
    </row>
    <row r="1927" spans="1:22" ht="14.25" customHeight="1" x14ac:dyDescent="0.35">
      <c r="A1927" s="10" t="s">
        <v>2389</v>
      </c>
      <c r="B1927" s="11">
        <v>45536</v>
      </c>
      <c r="C1927" s="10" t="s">
        <v>671</v>
      </c>
      <c r="D1927" s="10" t="s">
        <v>407</v>
      </c>
      <c r="E1927" s="10" t="s">
        <v>122</v>
      </c>
      <c r="F1927" s="12">
        <v>9</v>
      </c>
      <c r="G1927" s="12">
        <v>5080</v>
      </c>
      <c r="H1927" s="12">
        <v>19.899999999999999</v>
      </c>
      <c r="I1927" s="12">
        <v>36621.72</v>
      </c>
      <c r="J1927" s="10" t="s">
        <v>51</v>
      </c>
      <c r="K1927" s="10" t="s">
        <v>76</v>
      </c>
      <c r="L1927" t="str">
        <f>IFERROR(VLOOKUP(D1927,Products!A:F,3,0),"")</f>
        <v>Home</v>
      </c>
      <c r="M1927" t="str">
        <f>IFERROR(VLOOKUP(E1927,Sales_Reps!A:E,3,0),"")</f>
        <v>East</v>
      </c>
      <c r="N1927" t="str">
        <f>IFERROR(VLOOKUP(C1927,Customers!A:F,5,0),"")</f>
        <v>Retail</v>
      </c>
      <c r="O1927">
        <f>IFERROR(VLOOKUP(C1927,Customers!A:F,3,0),"")</f>
        <v>33</v>
      </c>
      <c r="P1927">
        <f>IFERROR(VLOOKUP(D1927,Products!A:F,4,0),"")</f>
        <v>2459</v>
      </c>
      <c r="Q1927" t="b">
        <f>IFERROR(VLOOKUP(D1927,Products!A:F,6,0),"")</f>
        <v>1</v>
      </c>
      <c r="R1927">
        <f t="shared" si="90"/>
        <v>0.51594488188976373</v>
      </c>
      <c r="S1927">
        <f t="shared" si="91"/>
        <v>1</v>
      </c>
      <c r="T1927">
        <f>IF(AND(S1927&gt;1,COUNTIF($A$2:A1927,A1927)=1),1,0)</f>
        <v>0</v>
      </c>
      <c r="U1927">
        <f>COUNTIF(Customers!$A$2:$A$301,C1927)</f>
        <v>1</v>
      </c>
      <c r="V1927">
        <f t="shared" si="92"/>
        <v>0</v>
      </c>
    </row>
    <row r="1928" spans="1:22" ht="14.25" customHeight="1" x14ac:dyDescent="0.35">
      <c r="A1928" s="10" t="s">
        <v>2390</v>
      </c>
      <c r="B1928" s="11">
        <v>45561</v>
      </c>
      <c r="C1928" s="10" t="s">
        <v>358</v>
      </c>
      <c r="D1928" s="10" t="s">
        <v>623</v>
      </c>
      <c r="E1928" s="10" t="s">
        <v>80</v>
      </c>
      <c r="F1928" s="12">
        <v>2</v>
      </c>
      <c r="G1928" s="12">
        <v>3560</v>
      </c>
      <c r="H1928" s="12">
        <v>5.5</v>
      </c>
      <c r="I1928" s="12">
        <v>6728.4</v>
      </c>
      <c r="J1928" s="10" t="s">
        <v>51</v>
      </c>
      <c r="K1928" s="10" t="s">
        <v>81</v>
      </c>
      <c r="L1928" t="str">
        <f>IFERROR(VLOOKUP(D1928,Products!A:F,3,0),"")</f>
        <v>Apparel</v>
      </c>
      <c r="M1928" t="str">
        <f>IFERROR(VLOOKUP(E1928,Sales_Reps!A:E,3,0),"")</f>
        <v>West</v>
      </c>
      <c r="N1928" t="str">
        <f>IFERROR(VLOOKUP(C1928,Customers!A:F,5,0),"")</f>
        <v>SMB</v>
      </c>
      <c r="O1928">
        <f>IFERROR(VLOOKUP(C1928,Customers!A:F,3,0),"")</f>
        <v>28</v>
      </c>
      <c r="P1928">
        <f>IFERROR(VLOOKUP(D1928,Products!A:F,4,0),"")</f>
        <v>2629</v>
      </c>
      <c r="Q1928" t="b">
        <f>IFERROR(VLOOKUP(D1928,Products!A:F,6,0),"")</f>
        <v>1</v>
      </c>
      <c r="R1928">
        <f t="shared" si="90"/>
        <v>0.26151685393258428</v>
      </c>
      <c r="S1928">
        <f t="shared" si="91"/>
        <v>1</v>
      </c>
      <c r="T1928">
        <f>IF(AND(S1928&gt;1,COUNTIF($A$2:A1928,A1928)=1),1,0)</f>
        <v>0</v>
      </c>
      <c r="U1928">
        <f>COUNTIF(Customers!$A$2:$A$301,C1928)</f>
        <v>1</v>
      </c>
      <c r="V1928">
        <f t="shared" si="92"/>
        <v>0</v>
      </c>
    </row>
    <row r="1929" spans="1:22" ht="14.25" customHeight="1" x14ac:dyDescent="0.35">
      <c r="A1929" s="10" t="s">
        <v>2391</v>
      </c>
      <c r="B1929" s="11">
        <v>45349</v>
      </c>
      <c r="C1929" s="10" t="s">
        <v>519</v>
      </c>
      <c r="D1929" s="10" t="s">
        <v>91</v>
      </c>
      <c r="E1929" s="10" t="s">
        <v>179</v>
      </c>
      <c r="F1929" s="12">
        <v>6</v>
      </c>
      <c r="G1929" s="12">
        <v>970</v>
      </c>
      <c r="H1929" s="12">
        <v>22.5</v>
      </c>
      <c r="I1929" s="12">
        <v>4510.5</v>
      </c>
      <c r="J1929" s="10" t="s">
        <v>108</v>
      </c>
      <c r="K1929" s="10" t="s">
        <v>76</v>
      </c>
      <c r="L1929" t="str">
        <f>IFERROR(VLOOKUP(D1929,Products!A:F,3,0),"")</f>
        <v>Grocery</v>
      </c>
      <c r="M1929" t="str">
        <f>IFERROR(VLOOKUP(E1929,Sales_Reps!A:E,3,0),"")</f>
        <v>North</v>
      </c>
      <c r="N1929" t="str">
        <f>IFERROR(VLOOKUP(C1929,Customers!A:F,5,0),"")</f>
        <v>Retail</v>
      </c>
      <c r="O1929">
        <f>IFERROR(VLOOKUP(C1929,Customers!A:F,3,0),"")</f>
        <v>37</v>
      </c>
      <c r="P1929">
        <f>IFERROR(VLOOKUP(D1929,Products!A:F,4,0),"")</f>
        <v>434</v>
      </c>
      <c r="Q1929" t="b">
        <f>IFERROR(VLOOKUP(D1929,Products!A:F,6,0),"")</f>
        <v>1</v>
      </c>
      <c r="R1929">
        <f t="shared" si="90"/>
        <v>0.5525773195876289</v>
      </c>
      <c r="S1929">
        <f t="shared" si="91"/>
        <v>1</v>
      </c>
      <c r="T1929">
        <f>IF(AND(S1929&gt;1,COUNTIF($A$2:A1929,A1929)=1),1,0)</f>
        <v>0</v>
      </c>
      <c r="U1929">
        <f>COUNTIF(Customers!$A$2:$A$301,C1929)</f>
        <v>1</v>
      </c>
      <c r="V1929">
        <f t="shared" si="92"/>
        <v>0</v>
      </c>
    </row>
    <row r="1930" spans="1:22" ht="14.25" customHeight="1" x14ac:dyDescent="0.35">
      <c r="A1930" s="10" t="s">
        <v>2392</v>
      </c>
      <c r="B1930" s="11">
        <v>45650</v>
      </c>
      <c r="C1930" s="10" t="s">
        <v>920</v>
      </c>
      <c r="D1930" s="10" t="s">
        <v>143</v>
      </c>
      <c r="E1930" s="10" t="s">
        <v>62</v>
      </c>
      <c r="F1930" s="12">
        <v>9</v>
      </c>
      <c r="G1930" s="12">
        <v>3350</v>
      </c>
      <c r="H1930" s="12">
        <v>5.0999999999999996</v>
      </c>
      <c r="I1930" s="12">
        <v>28612.35</v>
      </c>
      <c r="J1930" s="10" t="s">
        <v>51</v>
      </c>
      <c r="K1930" s="10" t="s">
        <v>76</v>
      </c>
      <c r="L1930" t="str">
        <f>IFERROR(VLOOKUP(D1930,Products!A:F,3,0),"")</f>
        <v>Beauty</v>
      </c>
      <c r="M1930" t="str">
        <f>IFERROR(VLOOKUP(E1930,Sales_Reps!A:E,3,0),"")</f>
        <v>South</v>
      </c>
      <c r="N1930" t="str">
        <f>IFERROR(VLOOKUP(C1930,Customers!A:F,5,0),"")</f>
        <v>Retail</v>
      </c>
      <c r="O1930">
        <f>IFERROR(VLOOKUP(C1930,Customers!A:F,3,0),"")</f>
        <v>49</v>
      </c>
      <c r="P1930">
        <f>IFERROR(VLOOKUP(D1930,Products!A:F,4,0),"")</f>
        <v>1728</v>
      </c>
      <c r="Q1930" t="b">
        <f>IFERROR(VLOOKUP(D1930,Products!A:F,6,0),"")</f>
        <v>1</v>
      </c>
      <c r="R1930">
        <f t="shared" si="90"/>
        <v>0.48417910447761192</v>
      </c>
      <c r="S1930">
        <f t="shared" si="91"/>
        <v>1</v>
      </c>
      <c r="T1930">
        <f>IF(AND(S1930&gt;1,COUNTIF($A$2:A1930,A1930)=1),1,0)</f>
        <v>0</v>
      </c>
      <c r="U1930">
        <f>COUNTIF(Customers!$A$2:$A$301,C1930)</f>
        <v>1</v>
      </c>
      <c r="V1930">
        <f t="shared" si="92"/>
        <v>0</v>
      </c>
    </row>
    <row r="1931" spans="1:22" ht="14.25" customHeight="1" x14ac:dyDescent="0.35">
      <c r="A1931" s="10" t="s">
        <v>2393</v>
      </c>
      <c r="B1931" s="11">
        <v>45525</v>
      </c>
      <c r="C1931" s="10" t="s">
        <v>2394</v>
      </c>
      <c r="D1931" s="10" t="s">
        <v>74</v>
      </c>
      <c r="E1931" s="10" t="s">
        <v>237</v>
      </c>
      <c r="F1931" s="12">
        <v>6</v>
      </c>
      <c r="G1931" s="12">
        <v>370</v>
      </c>
      <c r="H1931" s="12">
        <v>17.8</v>
      </c>
      <c r="I1931" s="12">
        <v>1824.84</v>
      </c>
      <c r="J1931" s="10" t="s">
        <v>51</v>
      </c>
      <c r="K1931" s="10" t="s">
        <v>76</v>
      </c>
      <c r="L1931" t="str">
        <f>IFERROR(VLOOKUP(D1931,Products!A:F,3,0),"")</f>
        <v>Home</v>
      </c>
      <c r="M1931" t="str">
        <f>IFERROR(VLOOKUP(E1931,Sales_Reps!A:E,3,0),"")</f>
        <v>South</v>
      </c>
      <c r="N1931" t="str">
        <f>IFERROR(VLOOKUP(C1931,Customers!A:F,5,0),"")</f>
        <v/>
      </c>
      <c r="O1931" t="str">
        <f>IFERROR(VLOOKUP(C1931,Customers!A:F,3,0),"")</f>
        <v/>
      </c>
      <c r="P1931">
        <f>IFERROR(VLOOKUP(D1931,Products!A:F,4,0),"")</f>
        <v>288</v>
      </c>
      <c r="Q1931" t="b">
        <f>IFERROR(VLOOKUP(D1931,Products!A:F,6,0),"")</f>
        <v>1</v>
      </c>
      <c r="R1931">
        <f t="shared" si="90"/>
        <v>0.22162162162162163</v>
      </c>
      <c r="S1931">
        <f t="shared" si="91"/>
        <v>1</v>
      </c>
      <c r="T1931">
        <f>IF(AND(S1931&gt;1,COUNTIF($A$2:A1931,A1931)=1),1,0)</f>
        <v>0</v>
      </c>
      <c r="U1931">
        <f>COUNTIF(Customers!$A$2:$A$301,C1931)</f>
        <v>0</v>
      </c>
      <c r="V1931">
        <f t="shared" si="92"/>
        <v>0</v>
      </c>
    </row>
    <row r="1932" spans="1:22" ht="14.25" customHeight="1" x14ac:dyDescent="0.35">
      <c r="A1932" s="10" t="s">
        <v>2395</v>
      </c>
      <c r="B1932" s="11">
        <v>45365</v>
      </c>
      <c r="C1932" s="10" t="s">
        <v>230</v>
      </c>
      <c r="D1932" s="10" t="s">
        <v>95</v>
      </c>
      <c r="E1932" s="10" t="s">
        <v>237</v>
      </c>
      <c r="F1932" s="12">
        <v>3</v>
      </c>
      <c r="G1932" s="12">
        <v>2270</v>
      </c>
      <c r="H1932" s="12">
        <v>8.4</v>
      </c>
      <c r="I1932" s="12">
        <v>6237.96</v>
      </c>
      <c r="J1932" s="10" t="s">
        <v>57</v>
      </c>
      <c r="K1932" s="10" t="s">
        <v>63</v>
      </c>
      <c r="L1932" t="str">
        <f>IFERROR(VLOOKUP(D1932,Products!A:F,3,0),"")</f>
        <v>Grocery</v>
      </c>
      <c r="M1932" t="str">
        <f>IFERROR(VLOOKUP(E1932,Sales_Reps!A:E,3,0),"")</f>
        <v>South</v>
      </c>
      <c r="N1932" t="str">
        <f>IFERROR(VLOOKUP(C1932,Customers!A:F,5,0),"")</f>
        <v>Corporate</v>
      </c>
      <c r="O1932">
        <f>IFERROR(VLOOKUP(C1932,Customers!A:F,3,0),"")</f>
        <v>55</v>
      </c>
      <c r="P1932">
        <f>IFERROR(VLOOKUP(D1932,Products!A:F,4,0),"")</f>
        <v>1203</v>
      </c>
      <c r="Q1932" t="b">
        <f>IFERROR(VLOOKUP(D1932,Products!A:F,6,0),"")</f>
        <v>1</v>
      </c>
      <c r="R1932">
        <f t="shared" si="90"/>
        <v>0.47004405286343615</v>
      </c>
      <c r="S1932">
        <f t="shared" si="91"/>
        <v>1</v>
      </c>
      <c r="T1932">
        <f>IF(AND(S1932&gt;1,COUNTIF($A$2:A1932,A1932)=1),1,0)</f>
        <v>0</v>
      </c>
      <c r="U1932">
        <f>COUNTIF(Customers!$A$2:$A$301,C1932)</f>
        <v>1</v>
      </c>
      <c r="V1932">
        <f t="shared" si="92"/>
        <v>0</v>
      </c>
    </row>
    <row r="1933" spans="1:22" ht="14.25" customHeight="1" x14ac:dyDescent="0.35">
      <c r="A1933" s="10" t="s">
        <v>2396</v>
      </c>
      <c r="B1933" s="11">
        <v>45464</v>
      </c>
      <c r="C1933" s="10" t="s">
        <v>531</v>
      </c>
      <c r="D1933" s="10" t="s">
        <v>125</v>
      </c>
      <c r="E1933" s="10" t="s">
        <v>122</v>
      </c>
      <c r="F1933" s="12">
        <v>3</v>
      </c>
      <c r="G1933" s="12">
        <v>3450</v>
      </c>
      <c r="H1933" s="12">
        <v>7.2</v>
      </c>
      <c r="I1933" s="12">
        <v>9604.7999999999993</v>
      </c>
      <c r="J1933" s="10" t="s">
        <v>51</v>
      </c>
      <c r="K1933" s="10" t="s">
        <v>81</v>
      </c>
      <c r="L1933" t="str">
        <f>IFERROR(VLOOKUP(D1933,Products!A:F,3,0),"")</f>
        <v>Sports</v>
      </c>
      <c r="M1933" t="str">
        <f>IFERROR(VLOOKUP(E1933,Sales_Reps!A:E,3,0),"")</f>
        <v>East</v>
      </c>
      <c r="N1933" t="str">
        <f>IFERROR(VLOOKUP(C1933,Customers!A:F,5,0),"")</f>
        <v>Corporate</v>
      </c>
      <c r="O1933">
        <f>IFERROR(VLOOKUP(C1933,Customers!A:F,3,0),"")</f>
        <v>41</v>
      </c>
      <c r="P1933">
        <f>IFERROR(VLOOKUP(D1933,Products!A:F,4,0),"")</f>
        <v>2467</v>
      </c>
      <c r="Q1933" t="b">
        <f>IFERROR(VLOOKUP(D1933,Products!A:F,6,0),"")</f>
        <v>1</v>
      </c>
      <c r="R1933">
        <f t="shared" si="90"/>
        <v>0.28492753623188405</v>
      </c>
      <c r="S1933">
        <f t="shared" si="91"/>
        <v>1</v>
      </c>
      <c r="T1933">
        <f>IF(AND(S1933&gt;1,COUNTIF($A$2:A1933,A1933)=1),1,0)</f>
        <v>0</v>
      </c>
      <c r="U1933">
        <f>COUNTIF(Customers!$A$2:$A$301,C1933)</f>
        <v>1</v>
      </c>
      <c r="V1933">
        <f t="shared" si="92"/>
        <v>0</v>
      </c>
    </row>
    <row r="1934" spans="1:22" ht="14.25" customHeight="1" x14ac:dyDescent="0.35">
      <c r="A1934" s="10" t="s">
        <v>2397</v>
      </c>
      <c r="B1934" s="11">
        <v>45633</v>
      </c>
      <c r="C1934" s="10" t="s">
        <v>263</v>
      </c>
      <c r="D1934" s="10" t="s">
        <v>146</v>
      </c>
      <c r="E1934" s="10" t="s">
        <v>71</v>
      </c>
      <c r="F1934" s="12">
        <v>9</v>
      </c>
      <c r="G1934" s="12">
        <v>1010</v>
      </c>
      <c r="H1934" s="12">
        <v>17.8</v>
      </c>
      <c r="I1934" s="12">
        <v>7471.98</v>
      </c>
      <c r="J1934" s="10" t="s">
        <v>51</v>
      </c>
      <c r="K1934" s="10" t="s">
        <v>97</v>
      </c>
      <c r="L1934" t="str">
        <f>IFERROR(VLOOKUP(D1934,Products!A:F,3,0),"")</f>
        <v>Sports</v>
      </c>
      <c r="M1934" t="str">
        <f>IFERROR(VLOOKUP(E1934,Sales_Reps!A:E,3,0),"")</f>
        <v>North</v>
      </c>
      <c r="N1934" t="str">
        <f>IFERROR(VLOOKUP(C1934,Customers!A:F,5,0),"")</f>
        <v>Retail</v>
      </c>
      <c r="O1934">
        <f>IFERROR(VLOOKUP(C1934,Customers!A:F,3,0),"")</f>
        <v>29</v>
      </c>
      <c r="P1934">
        <f>IFERROR(VLOOKUP(D1934,Products!A:F,4,0),"")</f>
        <v>516</v>
      </c>
      <c r="Q1934" t="b">
        <f>IFERROR(VLOOKUP(D1934,Products!A:F,6,0),"")</f>
        <v>1</v>
      </c>
      <c r="R1934">
        <f t="shared" si="90"/>
        <v>0.4891089108910891</v>
      </c>
      <c r="S1934">
        <f t="shared" si="91"/>
        <v>1</v>
      </c>
      <c r="T1934">
        <f>IF(AND(S1934&gt;1,COUNTIF($A$2:A1934,A1934)=1),1,0)</f>
        <v>0</v>
      </c>
      <c r="U1934">
        <f>COUNTIF(Customers!$A$2:$A$301,C1934)</f>
        <v>1</v>
      </c>
      <c r="V1934">
        <f t="shared" si="92"/>
        <v>0</v>
      </c>
    </row>
    <row r="1935" spans="1:22" ht="14.25" customHeight="1" x14ac:dyDescent="0.35">
      <c r="A1935" s="10" t="s">
        <v>2398</v>
      </c>
      <c r="B1935" s="11">
        <v>45373</v>
      </c>
      <c r="C1935" s="10" t="s">
        <v>1000</v>
      </c>
      <c r="D1935" s="10" t="s">
        <v>234</v>
      </c>
      <c r="E1935" s="10" t="s">
        <v>112</v>
      </c>
      <c r="F1935" s="12">
        <v>5</v>
      </c>
      <c r="G1935" s="12">
        <v>4610</v>
      </c>
      <c r="H1935" s="12">
        <v>29.8</v>
      </c>
      <c r="I1935" s="12">
        <v>16181.1</v>
      </c>
      <c r="J1935" s="10" t="s">
        <v>104</v>
      </c>
      <c r="K1935" s="10" t="s">
        <v>76</v>
      </c>
      <c r="L1935" t="str">
        <f>IFERROR(VLOOKUP(D1935,Products!A:F,3,0),"")</f>
        <v>Home</v>
      </c>
      <c r="M1935" t="str">
        <f>IFERROR(VLOOKUP(E1935,Sales_Reps!A:E,3,0),"")</f>
        <v>North</v>
      </c>
      <c r="N1935" t="str">
        <f>IFERROR(VLOOKUP(C1935,Customers!A:F,5,0),"")</f>
        <v>Retail</v>
      </c>
      <c r="O1935">
        <f>IFERROR(VLOOKUP(C1935,Customers!A:F,3,0),"")</f>
        <v>33</v>
      </c>
      <c r="P1935">
        <f>IFERROR(VLOOKUP(D1935,Products!A:F,4,0),"")</f>
        <v>1850</v>
      </c>
      <c r="Q1935" t="b">
        <f>IFERROR(VLOOKUP(D1935,Products!A:F,6,0),"")</f>
        <v>1</v>
      </c>
      <c r="R1935">
        <f t="shared" si="90"/>
        <v>0.59869848156182215</v>
      </c>
      <c r="S1935">
        <f t="shared" si="91"/>
        <v>1</v>
      </c>
      <c r="T1935">
        <f>IF(AND(S1935&gt;1,COUNTIF($A$2:A1935,A1935)=1),1,0)</f>
        <v>0</v>
      </c>
      <c r="U1935">
        <f>COUNTIF(Customers!$A$2:$A$301,C1935)</f>
        <v>1</v>
      </c>
      <c r="V1935">
        <f t="shared" si="92"/>
        <v>0</v>
      </c>
    </row>
    <row r="1936" spans="1:22" ht="14.25" customHeight="1" x14ac:dyDescent="0.35">
      <c r="A1936" s="10" t="s">
        <v>2399</v>
      </c>
      <c r="B1936" s="11">
        <v>45497</v>
      </c>
      <c r="C1936" s="10" t="s">
        <v>454</v>
      </c>
      <c r="D1936" s="10" t="s">
        <v>74</v>
      </c>
      <c r="E1936" s="10" t="s">
        <v>112</v>
      </c>
      <c r="F1936" s="12">
        <v>6</v>
      </c>
      <c r="G1936" s="12">
        <v>370</v>
      </c>
      <c r="H1936" s="12">
        <v>17.899999999999999</v>
      </c>
      <c r="I1936" s="12">
        <v>1822.62</v>
      </c>
      <c r="J1936" s="10" t="s">
        <v>51</v>
      </c>
      <c r="K1936" s="10" t="s">
        <v>63</v>
      </c>
      <c r="L1936" t="str">
        <f>IFERROR(VLOOKUP(D1936,Products!A:F,3,0),"")</f>
        <v>Home</v>
      </c>
      <c r="M1936" t="str">
        <f>IFERROR(VLOOKUP(E1936,Sales_Reps!A:E,3,0),"")</f>
        <v>North</v>
      </c>
      <c r="N1936" t="str">
        <f>IFERROR(VLOOKUP(C1936,Customers!A:F,5,0),"")</f>
        <v>Retail</v>
      </c>
      <c r="O1936">
        <f>IFERROR(VLOOKUP(C1936,Customers!A:F,3,0),"")</f>
        <v>59</v>
      </c>
      <c r="P1936">
        <f>IFERROR(VLOOKUP(D1936,Products!A:F,4,0),"")</f>
        <v>288</v>
      </c>
      <c r="Q1936" t="b">
        <f>IFERROR(VLOOKUP(D1936,Products!A:F,6,0),"")</f>
        <v>1</v>
      </c>
      <c r="R1936">
        <f t="shared" si="90"/>
        <v>0.22162162162162163</v>
      </c>
      <c r="S1936">
        <f t="shared" si="91"/>
        <v>1</v>
      </c>
      <c r="T1936">
        <f>IF(AND(S1936&gt;1,COUNTIF($A$2:A1936,A1936)=1),1,0)</f>
        <v>0</v>
      </c>
      <c r="U1936">
        <f>COUNTIF(Customers!$A$2:$A$301,C1936)</f>
        <v>1</v>
      </c>
      <c r="V1936">
        <f t="shared" si="92"/>
        <v>0</v>
      </c>
    </row>
    <row r="1937" spans="1:22" ht="14.25" customHeight="1" x14ac:dyDescent="0.35">
      <c r="A1937" s="10" t="s">
        <v>2400</v>
      </c>
      <c r="B1937" s="11">
        <v>45352</v>
      </c>
      <c r="C1937" s="10" t="s">
        <v>369</v>
      </c>
      <c r="D1937" s="10" t="s">
        <v>331</v>
      </c>
      <c r="E1937" s="10" t="s">
        <v>165</v>
      </c>
      <c r="F1937" s="12">
        <v>6</v>
      </c>
      <c r="G1937" s="12">
        <v>2380</v>
      </c>
      <c r="H1937" s="12">
        <v>13.6</v>
      </c>
      <c r="I1937" s="12">
        <v>12337.92</v>
      </c>
      <c r="J1937" s="10" t="s">
        <v>104</v>
      </c>
      <c r="K1937" s="10" t="s">
        <v>58</v>
      </c>
      <c r="L1937" t="str">
        <f>IFERROR(VLOOKUP(D1937,Products!A:F,3,0),"")</f>
        <v>Grocery</v>
      </c>
      <c r="M1937" t="str">
        <f>IFERROR(VLOOKUP(E1937,Sales_Reps!A:E,3,0),"")</f>
        <v>West</v>
      </c>
      <c r="N1937" t="str">
        <f>IFERROR(VLOOKUP(C1937,Customers!A:F,5,0),"")</f>
        <v>Corporate</v>
      </c>
      <c r="O1937">
        <f>IFERROR(VLOOKUP(C1937,Customers!A:F,3,0),"")</f>
        <v>24</v>
      </c>
      <c r="P1937">
        <f>IFERROR(VLOOKUP(D1937,Products!A:F,4,0),"")</f>
        <v>1182</v>
      </c>
      <c r="Q1937" t="b">
        <f>IFERROR(VLOOKUP(D1937,Products!A:F,6,0),"")</f>
        <v>1</v>
      </c>
      <c r="R1937">
        <f t="shared" si="90"/>
        <v>0.50336134453781511</v>
      </c>
      <c r="S1937">
        <f t="shared" si="91"/>
        <v>1</v>
      </c>
      <c r="T1937">
        <f>IF(AND(S1937&gt;1,COUNTIF($A$2:A1937,A1937)=1),1,0)</f>
        <v>0</v>
      </c>
      <c r="U1937">
        <f>COUNTIF(Customers!$A$2:$A$301,C1937)</f>
        <v>1</v>
      </c>
      <c r="V1937">
        <f t="shared" si="92"/>
        <v>0</v>
      </c>
    </row>
    <row r="1938" spans="1:22" ht="14.25" customHeight="1" x14ac:dyDescent="0.35">
      <c r="A1938" s="10" t="s">
        <v>2401</v>
      </c>
      <c r="B1938" s="11">
        <v>45379</v>
      </c>
      <c r="C1938" s="10" t="s">
        <v>139</v>
      </c>
      <c r="D1938" s="10" t="s">
        <v>344</v>
      </c>
      <c r="E1938" s="10" t="s">
        <v>118</v>
      </c>
      <c r="F1938" s="12">
        <v>6</v>
      </c>
      <c r="G1938" s="12">
        <v>960</v>
      </c>
      <c r="H1938" s="12">
        <v>15</v>
      </c>
      <c r="I1938" s="12">
        <v>4896</v>
      </c>
      <c r="J1938" s="10" t="s">
        <v>57</v>
      </c>
      <c r="K1938" s="10" t="s">
        <v>97</v>
      </c>
      <c r="L1938" t="str">
        <f>IFERROR(VLOOKUP(D1938,Products!A:F,3,0),"")</f>
        <v>Beauty</v>
      </c>
      <c r="M1938" t="str">
        <f>IFERROR(VLOOKUP(E1938,Sales_Reps!A:E,3,0),"")</f>
        <v>East</v>
      </c>
      <c r="N1938" t="str">
        <f>IFERROR(VLOOKUP(C1938,Customers!A:F,5,0),"")</f>
        <v>SMB</v>
      </c>
      <c r="O1938">
        <f>IFERROR(VLOOKUP(C1938,Customers!A:F,3,0),"")</f>
        <v>40</v>
      </c>
      <c r="P1938">
        <f>IFERROR(VLOOKUP(D1938,Products!A:F,4,0),"")</f>
        <v>675</v>
      </c>
      <c r="Q1938" t="b">
        <f>IFERROR(VLOOKUP(D1938,Products!A:F,6,0),"")</f>
        <v>1</v>
      </c>
      <c r="R1938">
        <f t="shared" si="90"/>
        <v>0.296875</v>
      </c>
      <c r="S1938">
        <f t="shared" si="91"/>
        <v>1</v>
      </c>
      <c r="T1938">
        <f>IF(AND(S1938&gt;1,COUNTIF($A$2:A1938,A1938)=1),1,0)</f>
        <v>0</v>
      </c>
      <c r="U1938">
        <f>COUNTIF(Customers!$A$2:$A$301,C1938)</f>
        <v>1</v>
      </c>
      <c r="V1938">
        <f t="shared" si="92"/>
        <v>0</v>
      </c>
    </row>
    <row r="1939" spans="1:22" ht="14.25" customHeight="1" x14ac:dyDescent="0.35">
      <c r="A1939" s="10" t="s">
        <v>2402</v>
      </c>
      <c r="B1939" s="11">
        <v>45422</v>
      </c>
      <c r="C1939" s="10" t="s">
        <v>684</v>
      </c>
      <c r="D1939" s="10" t="s">
        <v>79</v>
      </c>
      <c r="E1939" s="10" t="s">
        <v>261</v>
      </c>
      <c r="F1939" s="12">
        <v>3</v>
      </c>
      <c r="G1939" s="12">
        <v>960</v>
      </c>
      <c r="H1939" s="12">
        <v>12.3</v>
      </c>
      <c r="I1939" s="12">
        <v>2525.7600000000002</v>
      </c>
      <c r="J1939" s="10" t="s">
        <v>51</v>
      </c>
      <c r="K1939" s="10" t="s">
        <v>52</v>
      </c>
      <c r="L1939" t="str">
        <f>IFERROR(VLOOKUP(D1939,Products!A:F,3,0),"")</f>
        <v>Sports</v>
      </c>
      <c r="M1939" t="str">
        <f>IFERROR(VLOOKUP(E1939,Sales_Reps!A:E,3,0),"")</f>
        <v>North</v>
      </c>
      <c r="N1939" t="str">
        <f>IFERROR(VLOOKUP(C1939,Customers!A:F,5,0),"")</f>
        <v>Retail</v>
      </c>
      <c r="O1939">
        <f>IFERROR(VLOOKUP(C1939,Customers!A:F,3,0),"")</f>
        <v>48</v>
      </c>
      <c r="P1939">
        <f>IFERROR(VLOOKUP(D1939,Products!A:F,4,0),"")</f>
        <v>705</v>
      </c>
      <c r="Q1939" t="b">
        <f>IFERROR(VLOOKUP(D1939,Products!A:F,6,0),"")</f>
        <v>1</v>
      </c>
      <c r="R1939">
        <f t="shared" si="90"/>
        <v>0.265625</v>
      </c>
      <c r="S1939">
        <f t="shared" si="91"/>
        <v>1</v>
      </c>
      <c r="T1939">
        <f>IF(AND(S1939&gt;1,COUNTIF($A$2:A1939,A1939)=1),1,0)</f>
        <v>0</v>
      </c>
      <c r="U1939">
        <f>COUNTIF(Customers!$A$2:$A$301,C1939)</f>
        <v>1</v>
      </c>
      <c r="V1939">
        <f t="shared" si="92"/>
        <v>0</v>
      </c>
    </row>
    <row r="1940" spans="1:22" ht="14.25" customHeight="1" x14ac:dyDescent="0.35">
      <c r="A1940" s="10" t="s">
        <v>2403</v>
      </c>
      <c r="B1940" s="11">
        <v>45413</v>
      </c>
      <c r="C1940" s="10" t="s">
        <v>521</v>
      </c>
      <c r="D1940" s="10" t="s">
        <v>256</v>
      </c>
      <c r="E1940" s="10" t="s">
        <v>193</v>
      </c>
      <c r="F1940" s="12">
        <v>7</v>
      </c>
      <c r="G1940" s="12">
        <v>620</v>
      </c>
      <c r="H1940" s="12">
        <v>5.8</v>
      </c>
      <c r="I1940" s="12">
        <v>4088.28</v>
      </c>
      <c r="J1940" s="10" t="s">
        <v>51</v>
      </c>
      <c r="K1940" s="10" t="s">
        <v>76</v>
      </c>
      <c r="L1940" t="str">
        <f>IFERROR(VLOOKUP(D1940,Products!A:F,3,0),"")</f>
        <v>Apparel</v>
      </c>
      <c r="M1940" t="str">
        <f>IFERROR(VLOOKUP(E1940,Sales_Reps!A:E,3,0),"")</f>
        <v>West</v>
      </c>
      <c r="N1940" t="str">
        <f>IFERROR(VLOOKUP(C1940,Customers!A:F,5,0),"")</f>
        <v>Retail</v>
      </c>
      <c r="O1940">
        <f>IFERROR(VLOOKUP(C1940,Customers!A:F,3,0),"")</f>
        <v>65</v>
      </c>
      <c r="P1940">
        <f>IFERROR(VLOOKUP(D1940,Products!A:F,4,0),"")</f>
        <v>396</v>
      </c>
      <c r="Q1940" t="b">
        <f>IFERROR(VLOOKUP(D1940,Products!A:F,6,0),"")</f>
        <v>1</v>
      </c>
      <c r="R1940">
        <f t="shared" si="90"/>
        <v>0.36129032258064514</v>
      </c>
      <c r="S1940">
        <f t="shared" si="91"/>
        <v>1</v>
      </c>
      <c r="T1940">
        <f>IF(AND(S1940&gt;1,COUNTIF($A$2:A1940,A1940)=1),1,0)</f>
        <v>0</v>
      </c>
      <c r="U1940">
        <f>COUNTIF(Customers!$A$2:$A$301,C1940)</f>
        <v>1</v>
      </c>
      <c r="V1940">
        <f t="shared" si="92"/>
        <v>0</v>
      </c>
    </row>
    <row r="1941" spans="1:22" ht="14.25" customHeight="1" x14ac:dyDescent="0.35">
      <c r="A1941" s="10" t="s">
        <v>2404</v>
      </c>
      <c r="B1941" s="11">
        <v>45467</v>
      </c>
      <c r="C1941" s="10" t="s">
        <v>699</v>
      </c>
      <c r="D1941" s="10" t="s">
        <v>79</v>
      </c>
      <c r="E1941" s="10" t="s">
        <v>156</v>
      </c>
      <c r="F1941" s="12">
        <v>1</v>
      </c>
      <c r="G1941" s="12">
        <v>960</v>
      </c>
      <c r="H1941" s="12">
        <v>4.5999999999999996</v>
      </c>
      <c r="I1941" s="12">
        <v>915.84</v>
      </c>
      <c r="J1941" s="10" t="s">
        <v>51</v>
      </c>
      <c r="K1941" s="10" t="s">
        <v>52</v>
      </c>
      <c r="L1941" t="str">
        <f>IFERROR(VLOOKUP(D1941,Products!A:F,3,0),"")</f>
        <v>Sports</v>
      </c>
      <c r="M1941" t="str">
        <f>IFERROR(VLOOKUP(E1941,Sales_Reps!A:E,3,0),"")</f>
        <v>East</v>
      </c>
      <c r="N1941" t="str">
        <f>IFERROR(VLOOKUP(C1941,Customers!A:F,5,0),"")</f>
        <v>Retail</v>
      </c>
      <c r="O1941">
        <f>IFERROR(VLOOKUP(C1941,Customers!A:F,3,0),"")</f>
        <v>54</v>
      </c>
      <c r="P1941">
        <f>IFERROR(VLOOKUP(D1941,Products!A:F,4,0),"")</f>
        <v>705</v>
      </c>
      <c r="Q1941" t="b">
        <f>IFERROR(VLOOKUP(D1941,Products!A:F,6,0),"")</f>
        <v>1</v>
      </c>
      <c r="R1941">
        <f t="shared" si="90"/>
        <v>0.265625</v>
      </c>
      <c r="S1941">
        <f t="shared" si="91"/>
        <v>1</v>
      </c>
      <c r="T1941">
        <f>IF(AND(S1941&gt;1,COUNTIF($A$2:A1941,A1941)=1),1,0)</f>
        <v>0</v>
      </c>
      <c r="U1941">
        <f>COUNTIF(Customers!$A$2:$A$301,C1941)</f>
        <v>1</v>
      </c>
      <c r="V1941">
        <f t="shared" si="92"/>
        <v>0</v>
      </c>
    </row>
    <row r="1942" spans="1:22" ht="14.25" customHeight="1" x14ac:dyDescent="0.35">
      <c r="A1942" s="10" t="s">
        <v>2405</v>
      </c>
      <c r="B1942" s="11">
        <v>45520</v>
      </c>
      <c r="C1942" s="10" t="s">
        <v>457</v>
      </c>
      <c r="D1942" s="10" t="s">
        <v>121</v>
      </c>
      <c r="E1942" s="10" t="s">
        <v>92</v>
      </c>
      <c r="F1942" s="12">
        <v>4</v>
      </c>
      <c r="G1942" s="12">
        <v>3450</v>
      </c>
      <c r="H1942" s="12">
        <v>13.3</v>
      </c>
      <c r="I1942" s="12">
        <v>11964.6</v>
      </c>
      <c r="J1942" s="10" t="s">
        <v>51</v>
      </c>
      <c r="K1942" s="10" t="s">
        <v>52</v>
      </c>
      <c r="L1942" t="str">
        <f>IFERROR(VLOOKUP(D1942,Products!A:F,3,0),"")</f>
        <v>Beauty</v>
      </c>
      <c r="M1942" t="str">
        <f>IFERROR(VLOOKUP(E1942,Sales_Reps!A:E,3,0),"")</f>
        <v>West</v>
      </c>
      <c r="N1942" t="str">
        <f>IFERROR(VLOOKUP(C1942,Customers!A:F,5,0),"")</f>
        <v>Retail</v>
      </c>
      <c r="O1942">
        <f>IFERROR(VLOOKUP(C1942,Customers!A:F,3,0),"")</f>
        <v>57</v>
      </c>
      <c r="P1942">
        <f>IFERROR(VLOOKUP(D1942,Products!A:F,4,0),"")</f>
        <v>2420</v>
      </c>
      <c r="Q1942" t="b">
        <f>IFERROR(VLOOKUP(D1942,Products!A:F,6,0),"")</f>
        <v>1</v>
      </c>
      <c r="R1942">
        <f t="shared" si="90"/>
        <v>0.29855072463768118</v>
      </c>
      <c r="S1942">
        <f t="shared" si="91"/>
        <v>1</v>
      </c>
      <c r="T1942">
        <f>IF(AND(S1942&gt;1,COUNTIF($A$2:A1942,A1942)=1),1,0)</f>
        <v>0</v>
      </c>
      <c r="U1942">
        <f>COUNTIF(Customers!$A$2:$A$301,C1942)</f>
        <v>1</v>
      </c>
      <c r="V1942">
        <f t="shared" si="92"/>
        <v>0</v>
      </c>
    </row>
    <row r="1943" spans="1:22" ht="14.25" customHeight="1" x14ac:dyDescent="0.35">
      <c r="A1943" s="10" t="s">
        <v>2406</v>
      </c>
      <c r="B1943" s="11">
        <v>45626</v>
      </c>
      <c r="C1943" s="10" t="s">
        <v>525</v>
      </c>
      <c r="D1943" s="10" t="s">
        <v>137</v>
      </c>
      <c r="E1943" s="10" t="s">
        <v>85</v>
      </c>
      <c r="F1943" s="12">
        <v>10</v>
      </c>
      <c r="G1943" s="12">
        <v>2720</v>
      </c>
      <c r="H1943" s="12">
        <v>3.4</v>
      </c>
      <c r="I1943" s="12">
        <v>26275.200000000001</v>
      </c>
      <c r="J1943" s="10" t="s">
        <v>51</v>
      </c>
      <c r="K1943" s="10" t="s">
        <v>97</v>
      </c>
      <c r="L1943" t="str">
        <f>IFERROR(VLOOKUP(D1943,Products!A:F,3,0),"")</f>
        <v>Apparel</v>
      </c>
      <c r="M1943" t="str">
        <f>IFERROR(VLOOKUP(E1943,Sales_Reps!A:E,3,0),"")</f>
        <v>East</v>
      </c>
      <c r="N1943" t="str">
        <f>IFERROR(VLOOKUP(C1943,Customers!A:F,5,0),"")</f>
        <v>SMB</v>
      </c>
      <c r="O1943">
        <f>IFERROR(VLOOKUP(C1943,Customers!A:F,3,0),"")</f>
        <v>43</v>
      </c>
      <c r="P1943">
        <f>IFERROR(VLOOKUP(D1943,Products!A:F,4,0),"")</f>
        <v>1962</v>
      </c>
      <c r="Q1943" t="b">
        <f>IFERROR(VLOOKUP(D1943,Products!A:F,6,0),"")</f>
        <v>1</v>
      </c>
      <c r="R1943">
        <f t="shared" si="90"/>
        <v>0.2786764705882353</v>
      </c>
      <c r="S1943">
        <f t="shared" si="91"/>
        <v>1</v>
      </c>
      <c r="T1943">
        <f>IF(AND(S1943&gt;1,COUNTIF($A$2:A1943,A1943)=1),1,0)</f>
        <v>0</v>
      </c>
      <c r="U1943">
        <f>COUNTIF(Customers!$A$2:$A$301,C1943)</f>
        <v>1</v>
      </c>
      <c r="V1943">
        <f t="shared" si="92"/>
        <v>0</v>
      </c>
    </row>
    <row r="1944" spans="1:22" ht="14.25" customHeight="1" x14ac:dyDescent="0.35">
      <c r="A1944" s="10" t="s">
        <v>2407</v>
      </c>
      <c r="B1944" s="11">
        <v>45452</v>
      </c>
      <c r="C1944" s="10" t="s">
        <v>581</v>
      </c>
      <c r="D1944" s="10" t="s">
        <v>121</v>
      </c>
      <c r="E1944" s="10" t="s">
        <v>85</v>
      </c>
      <c r="F1944" s="12">
        <v>1</v>
      </c>
      <c r="G1944" s="12">
        <v>3450</v>
      </c>
      <c r="H1944" s="12">
        <v>29.4</v>
      </c>
      <c r="I1944" s="12">
        <v>2435.6999999999998</v>
      </c>
      <c r="J1944" s="10" t="s">
        <v>51</v>
      </c>
      <c r="K1944" s="10" t="s">
        <v>76</v>
      </c>
      <c r="L1944" t="str">
        <f>IFERROR(VLOOKUP(D1944,Products!A:F,3,0),"")</f>
        <v>Beauty</v>
      </c>
      <c r="M1944" t="str">
        <f>IFERROR(VLOOKUP(E1944,Sales_Reps!A:E,3,0),"")</f>
        <v>East</v>
      </c>
      <c r="N1944" t="str">
        <f>IFERROR(VLOOKUP(C1944,Customers!A:F,5,0),"")</f>
        <v>SMB</v>
      </c>
      <c r="O1944">
        <f>IFERROR(VLOOKUP(C1944,Customers!A:F,3,0),"")</f>
        <v>65</v>
      </c>
      <c r="P1944">
        <f>IFERROR(VLOOKUP(D1944,Products!A:F,4,0),"")</f>
        <v>2420</v>
      </c>
      <c r="Q1944" t="b">
        <f>IFERROR(VLOOKUP(D1944,Products!A:F,6,0),"")</f>
        <v>1</v>
      </c>
      <c r="R1944">
        <f t="shared" si="90"/>
        <v>0.29855072463768118</v>
      </c>
      <c r="S1944">
        <f t="shared" si="91"/>
        <v>1</v>
      </c>
      <c r="T1944">
        <f>IF(AND(S1944&gt;1,COUNTIF($A$2:A1944,A1944)=1),1,0)</f>
        <v>0</v>
      </c>
      <c r="U1944">
        <f>COUNTIF(Customers!$A$2:$A$301,C1944)</f>
        <v>1</v>
      </c>
      <c r="V1944">
        <f t="shared" si="92"/>
        <v>0</v>
      </c>
    </row>
    <row r="1945" spans="1:22" ht="14.25" customHeight="1" x14ac:dyDescent="0.35">
      <c r="A1945" s="10" t="s">
        <v>2408</v>
      </c>
      <c r="B1945" s="11">
        <v>45529</v>
      </c>
      <c r="C1945" s="10" t="s">
        <v>521</v>
      </c>
      <c r="D1945" s="10" t="s">
        <v>140</v>
      </c>
      <c r="E1945" s="10" t="s">
        <v>80</v>
      </c>
      <c r="F1945" s="12">
        <v>5</v>
      </c>
      <c r="G1945" s="12">
        <v>1650</v>
      </c>
      <c r="H1945" s="12">
        <v>29.4</v>
      </c>
      <c r="I1945" s="12">
        <v>5824.5</v>
      </c>
      <c r="J1945" s="10" t="s">
        <v>51</v>
      </c>
      <c r="K1945" s="10" t="s">
        <v>76</v>
      </c>
      <c r="L1945" t="str">
        <f>IFERROR(VLOOKUP(D1945,Products!A:F,3,0),"")</f>
        <v>Beauty</v>
      </c>
      <c r="M1945" t="str">
        <f>IFERROR(VLOOKUP(E1945,Sales_Reps!A:E,3,0),"")</f>
        <v>West</v>
      </c>
      <c r="N1945" t="str">
        <f>IFERROR(VLOOKUP(C1945,Customers!A:F,5,0),"")</f>
        <v>Retail</v>
      </c>
      <c r="O1945">
        <f>IFERROR(VLOOKUP(C1945,Customers!A:F,3,0),"")</f>
        <v>65</v>
      </c>
      <c r="P1945">
        <f>IFERROR(VLOOKUP(D1945,Products!A:F,4,0),"")</f>
        <v>1222</v>
      </c>
      <c r="Q1945" t="b">
        <f>IFERROR(VLOOKUP(D1945,Products!A:F,6,0),"")</f>
        <v>1</v>
      </c>
      <c r="R1945">
        <f t="shared" si="90"/>
        <v>0.2593939393939394</v>
      </c>
      <c r="S1945">
        <f t="shared" si="91"/>
        <v>1</v>
      </c>
      <c r="T1945">
        <f>IF(AND(S1945&gt;1,COUNTIF($A$2:A1945,A1945)=1),1,0)</f>
        <v>0</v>
      </c>
      <c r="U1945">
        <f>COUNTIF(Customers!$A$2:$A$301,C1945)</f>
        <v>1</v>
      </c>
      <c r="V1945">
        <f t="shared" si="92"/>
        <v>0</v>
      </c>
    </row>
    <row r="1946" spans="1:22" ht="14.25" customHeight="1" x14ac:dyDescent="0.35">
      <c r="A1946" s="10" t="s">
        <v>2409</v>
      </c>
      <c r="B1946" s="11">
        <v>45639</v>
      </c>
      <c r="C1946" s="10" t="s">
        <v>745</v>
      </c>
      <c r="D1946" s="10" t="s">
        <v>49</v>
      </c>
      <c r="E1946" s="10" t="s">
        <v>168</v>
      </c>
      <c r="F1946" s="12">
        <v>2</v>
      </c>
      <c r="G1946" s="12">
        <v>3620</v>
      </c>
      <c r="H1946" s="12">
        <v>15.6</v>
      </c>
      <c r="I1946" s="12">
        <v>6110.56</v>
      </c>
      <c r="J1946" s="10" t="s">
        <v>51</v>
      </c>
      <c r="K1946" s="10" t="s">
        <v>63</v>
      </c>
      <c r="L1946" t="str">
        <f>IFERROR(VLOOKUP(D1946,Products!A:F,3,0),"")</f>
        <v>Apparel</v>
      </c>
      <c r="M1946" t="str">
        <f>IFERROR(VLOOKUP(E1946,Sales_Reps!A:E,3,0),"")</f>
        <v>South</v>
      </c>
      <c r="N1946" t="str">
        <f>IFERROR(VLOOKUP(C1946,Customers!A:F,5,0),"")</f>
        <v>SMB</v>
      </c>
      <c r="O1946">
        <f>IFERROR(VLOOKUP(C1946,Customers!A:F,3,0),"")</f>
        <v>29</v>
      </c>
      <c r="P1946">
        <f>IFERROR(VLOOKUP(D1946,Products!A:F,4,0),"")</f>
        <v>2509</v>
      </c>
      <c r="Q1946" t="b">
        <f>IFERROR(VLOOKUP(D1946,Products!A:F,6,0),"")</f>
        <v>1</v>
      </c>
      <c r="R1946">
        <f t="shared" si="90"/>
        <v>0.3069060773480663</v>
      </c>
      <c r="S1946">
        <f t="shared" si="91"/>
        <v>1</v>
      </c>
      <c r="T1946">
        <f>IF(AND(S1946&gt;1,COUNTIF($A$2:A1946,A1946)=1),1,0)</f>
        <v>0</v>
      </c>
      <c r="U1946">
        <f>COUNTIF(Customers!$A$2:$A$301,C1946)</f>
        <v>1</v>
      </c>
      <c r="V1946">
        <f t="shared" si="92"/>
        <v>0</v>
      </c>
    </row>
    <row r="1947" spans="1:22" ht="14.25" customHeight="1" x14ac:dyDescent="0.35">
      <c r="A1947" s="10" t="s">
        <v>2410</v>
      </c>
      <c r="B1947" s="11">
        <v>45592</v>
      </c>
      <c r="C1947" s="10" t="s">
        <v>60</v>
      </c>
      <c r="D1947" s="10" t="s">
        <v>246</v>
      </c>
      <c r="E1947" s="10" t="s">
        <v>289</v>
      </c>
      <c r="F1947" s="12">
        <v>3</v>
      </c>
      <c r="G1947" s="12">
        <v>300</v>
      </c>
      <c r="H1947" s="12">
        <v>24.8</v>
      </c>
      <c r="I1947" s="12">
        <v>676.8</v>
      </c>
      <c r="J1947" s="10" t="s">
        <v>51</v>
      </c>
      <c r="K1947" s="10" t="s">
        <v>63</v>
      </c>
      <c r="L1947" t="str">
        <f>IFERROR(VLOOKUP(D1947,Products!A:F,3,0),"")</f>
        <v>Electronics</v>
      </c>
      <c r="M1947" t="str">
        <f>IFERROR(VLOOKUP(E1947,Sales_Reps!A:E,3,0),"")</f>
        <v>South</v>
      </c>
      <c r="N1947" t="str">
        <f>IFERROR(VLOOKUP(C1947,Customers!A:F,5,0),"")</f>
        <v>Retail</v>
      </c>
      <c r="O1947">
        <f>IFERROR(VLOOKUP(C1947,Customers!A:F,3,0),"")</f>
        <v>52</v>
      </c>
      <c r="P1947">
        <f>IFERROR(VLOOKUP(D1947,Products!A:F,4,0),"")</f>
        <v>128</v>
      </c>
      <c r="Q1947" t="b">
        <f>IFERROR(VLOOKUP(D1947,Products!A:F,6,0),"")</f>
        <v>1</v>
      </c>
      <c r="R1947">
        <f t="shared" si="90"/>
        <v>0.57333333333333336</v>
      </c>
      <c r="S1947">
        <f t="shared" si="91"/>
        <v>1</v>
      </c>
      <c r="T1947">
        <f>IF(AND(S1947&gt;1,COUNTIF($A$2:A1947,A1947)=1),1,0)</f>
        <v>0</v>
      </c>
      <c r="U1947">
        <f>COUNTIF(Customers!$A$2:$A$301,C1947)</f>
        <v>1</v>
      </c>
      <c r="V1947">
        <f t="shared" si="92"/>
        <v>0</v>
      </c>
    </row>
    <row r="1948" spans="1:22" ht="14.25" customHeight="1" x14ac:dyDescent="0.35">
      <c r="A1948" s="10" t="s">
        <v>2411</v>
      </c>
      <c r="B1948" s="11">
        <v>45338</v>
      </c>
      <c r="C1948" s="10" t="s">
        <v>236</v>
      </c>
      <c r="D1948" s="10" t="s">
        <v>223</v>
      </c>
      <c r="E1948" s="10" t="s">
        <v>179</v>
      </c>
      <c r="F1948" s="12">
        <v>3</v>
      </c>
      <c r="G1948" s="12">
        <v>1540</v>
      </c>
      <c r="H1948" s="12">
        <v>29.5</v>
      </c>
      <c r="I1948" s="12">
        <v>3257.1</v>
      </c>
      <c r="J1948" s="10" t="s">
        <v>51</v>
      </c>
      <c r="K1948" s="10" t="s">
        <v>58</v>
      </c>
      <c r="L1948" t="str">
        <f>IFERROR(VLOOKUP(D1948,Products!A:F,3,0),"")</f>
        <v>Beauty</v>
      </c>
      <c r="M1948" t="str">
        <f>IFERROR(VLOOKUP(E1948,Sales_Reps!A:E,3,0),"")</f>
        <v>North</v>
      </c>
      <c r="N1948" t="str">
        <f>IFERROR(VLOOKUP(C1948,Customers!A:F,5,0),"")</f>
        <v>SMB</v>
      </c>
      <c r="O1948">
        <f>IFERROR(VLOOKUP(C1948,Customers!A:F,3,0),"")</f>
        <v>55</v>
      </c>
      <c r="P1948">
        <f>IFERROR(VLOOKUP(D1948,Products!A:F,4,0),"")</f>
        <v>647</v>
      </c>
      <c r="Q1948" t="b">
        <f>IFERROR(VLOOKUP(D1948,Products!A:F,6,0),"")</f>
        <v>0</v>
      </c>
      <c r="R1948">
        <f t="shared" si="90"/>
        <v>0.57987012987012987</v>
      </c>
      <c r="S1948">
        <f t="shared" si="91"/>
        <v>1</v>
      </c>
      <c r="T1948">
        <f>IF(AND(S1948&gt;1,COUNTIF($A$2:A1948,A1948)=1),1,0)</f>
        <v>0</v>
      </c>
      <c r="U1948">
        <f>COUNTIF(Customers!$A$2:$A$301,C1948)</f>
        <v>1</v>
      </c>
      <c r="V1948">
        <f t="shared" si="92"/>
        <v>0</v>
      </c>
    </row>
    <row r="1949" spans="1:22" ht="14.25" customHeight="1" x14ac:dyDescent="0.35">
      <c r="A1949" s="10" t="s">
        <v>2412</v>
      </c>
      <c r="B1949" s="11">
        <v>45551</v>
      </c>
      <c r="C1949" s="10" t="s">
        <v>743</v>
      </c>
      <c r="D1949" s="10" t="s">
        <v>95</v>
      </c>
      <c r="E1949" s="10" t="s">
        <v>85</v>
      </c>
      <c r="F1949" s="12">
        <v>10</v>
      </c>
      <c r="G1949" s="12">
        <v>2270</v>
      </c>
      <c r="H1949" s="12">
        <v>5.5</v>
      </c>
      <c r="I1949" s="12">
        <v>21451.5</v>
      </c>
      <c r="J1949" s="10" t="s">
        <v>104</v>
      </c>
      <c r="K1949" s="10" t="s">
        <v>81</v>
      </c>
      <c r="L1949" t="str">
        <f>IFERROR(VLOOKUP(D1949,Products!A:F,3,0),"")</f>
        <v>Grocery</v>
      </c>
      <c r="M1949" t="str">
        <f>IFERROR(VLOOKUP(E1949,Sales_Reps!A:E,3,0),"")</f>
        <v>East</v>
      </c>
      <c r="N1949" t="str">
        <f>IFERROR(VLOOKUP(C1949,Customers!A:F,5,0),"")</f>
        <v>Retail</v>
      </c>
      <c r="O1949">
        <f>IFERROR(VLOOKUP(C1949,Customers!A:F,3,0),"")</f>
        <v>27</v>
      </c>
      <c r="P1949">
        <f>IFERROR(VLOOKUP(D1949,Products!A:F,4,0),"")</f>
        <v>1203</v>
      </c>
      <c r="Q1949" t="b">
        <f>IFERROR(VLOOKUP(D1949,Products!A:F,6,0),"")</f>
        <v>1</v>
      </c>
      <c r="R1949">
        <f t="shared" si="90"/>
        <v>0.47004405286343615</v>
      </c>
      <c r="S1949">
        <f t="shared" si="91"/>
        <v>1</v>
      </c>
      <c r="T1949">
        <f>IF(AND(S1949&gt;1,COUNTIF($A$2:A1949,A1949)=1),1,0)</f>
        <v>0</v>
      </c>
      <c r="U1949">
        <f>COUNTIF(Customers!$A$2:$A$301,C1949)</f>
        <v>1</v>
      </c>
      <c r="V1949">
        <f t="shared" si="92"/>
        <v>21451.5</v>
      </c>
    </row>
    <row r="1950" spans="1:22" ht="14.25" customHeight="1" x14ac:dyDescent="0.35">
      <c r="A1950" s="10" t="s">
        <v>2413</v>
      </c>
      <c r="B1950" s="11">
        <v>45350</v>
      </c>
      <c r="C1950" s="10" t="s">
        <v>820</v>
      </c>
      <c r="D1950" s="10" t="s">
        <v>99</v>
      </c>
      <c r="E1950" s="10" t="s">
        <v>71</v>
      </c>
      <c r="F1950" s="12">
        <v>3</v>
      </c>
      <c r="G1950" s="12">
        <v>2640</v>
      </c>
      <c r="H1950" s="12">
        <v>28.2</v>
      </c>
      <c r="I1950" s="12">
        <v>5686.56</v>
      </c>
      <c r="J1950" s="10" t="s">
        <v>108</v>
      </c>
      <c r="K1950" s="10" t="s">
        <v>52</v>
      </c>
      <c r="L1950" t="str">
        <f>IFERROR(VLOOKUP(D1950,Products!A:F,3,0),"")</f>
        <v>Electronics</v>
      </c>
      <c r="M1950" t="str">
        <f>IFERROR(VLOOKUP(E1950,Sales_Reps!A:E,3,0),"")</f>
        <v>North</v>
      </c>
      <c r="N1950" t="str">
        <f>IFERROR(VLOOKUP(C1950,Customers!A:F,5,0),"")</f>
        <v>SMB</v>
      </c>
      <c r="O1950">
        <f>IFERROR(VLOOKUP(C1950,Customers!A:F,3,0),"")</f>
        <v>59</v>
      </c>
      <c r="P1950">
        <f>IFERROR(VLOOKUP(D1950,Products!A:F,4,0),"")</f>
        <v>1149</v>
      </c>
      <c r="Q1950" t="b">
        <f>IFERROR(VLOOKUP(D1950,Products!A:F,6,0),"")</f>
        <v>1</v>
      </c>
      <c r="R1950">
        <f t="shared" si="90"/>
        <v>0.56477272727272732</v>
      </c>
      <c r="S1950">
        <f t="shared" si="91"/>
        <v>1</v>
      </c>
      <c r="T1950">
        <f>IF(AND(S1950&gt;1,COUNTIF($A$2:A1950,A1950)=1),1,0)</f>
        <v>0</v>
      </c>
      <c r="U1950">
        <f>COUNTIF(Customers!$A$2:$A$301,C1950)</f>
        <v>1</v>
      </c>
      <c r="V1950">
        <f t="shared" si="92"/>
        <v>0</v>
      </c>
    </row>
    <row r="1951" spans="1:22" ht="14.25" customHeight="1" x14ac:dyDescent="0.35">
      <c r="A1951" s="10" t="s">
        <v>2414</v>
      </c>
      <c r="B1951" s="11">
        <v>45507</v>
      </c>
      <c r="C1951" s="10" t="s">
        <v>1214</v>
      </c>
      <c r="D1951" s="10" t="s">
        <v>99</v>
      </c>
      <c r="E1951" s="10" t="s">
        <v>152</v>
      </c>
      <c r="F1951" s="12">
        <v>10</v>
      </c>
      <c r="G1951" s="12">
        <v>2640</v>
      </c>
      <c r="H1951" s="12">
        <v>25.9</v>
      </c>
      <c r="I1951" s="12">
        <v>19562.400000000001</v>
      </c>
      <c r="J1951" s="10" t="s">
        <v>51</v>
      </c>
      <c r="K1951" s="10" t="s">
        <v>52</v>
      </c>
      <c r="L1951" t="str">
        <f>IFERROR(VLOOKUP(D1951,Products!A:F,3,0),"")</f>
        <v>Electronics</v>
      </c>
      <c r="M1951" t="str">
        <f>IFERROR(VLOOKUP(E1951,Sales_Reps!A:E,3,0),"")</f>
        <v>South</v>
      </c>
      <c r="N1951" t="str">
        <f>IFERROR(VLOOKUP(C1951,Customers!A:F,5,0),"")</f>
        <v>Retail</v>
      </c>
      <c r="O1951">
        <f>IFERROR(VLOOKUP(C1951,Customers!A:F,3,0),"")</f>
        <v>44</v>
      </c>
      <c r="P1951">
        <f>IFERROR(VLOOKUP(D1951,Products!A:F,4,0),"")</f>
        <v>1149</v>
      </c>
      <c r="Q1951" t="b">
        <f>IFERROR(VLOOKUP(D1951,Products!A:F,6,0),"")</f>
        <v>1</v>
      </c>
      <c r="R1951">
        <f t="shared" si="90"/>
        <v>0.56477272727272732</v>
      </c>
      <c r="S1951">
        <f t="shared" si="91"/>
        <v>1</v>
      </c>
      <c r="T1951">
        <f>IF(AND(S1951&gt;1,COUNTIF($A$2:A1951,A1951)=1),1,0)</f>
        <v>0</v>
      </c>
      <c r="U1951">
        <f>COUNTIF(Customers!$A$2:$A$301,C1951)</f>
        <v>1</v>
      </c>
      <c r="V1951">
        <f t="shared" si="92"/>
        <v>0</v>
      </c>
    </row>
    <row r="1952" spans="1:22" ht="14.25" customHeight="1" x14ac:dyDescent="0.35">
      <c r="A1952" s="10" t="s">
        <v>2415</v>
      </c>
      <c r="B1952" s="11">
        <v>45538</v>
      </c>
      <c r="C1952" s="10" t="s">
        <v>669</v>
      </c>
      <c r="D1952" s="10" t="s">
        <v>84</v>
      </c>
      <c r="E1952" s="10" t="s">
        <v>134</v>
      </c>
      <c r="F1952" s="12">
        <v>2</v>
      </c>
      <c r="G1952" s="12">
        <v>1430</v>
      </c>
      <c r="H1952" s="12">
        <v>5</v>
      </c>
      <c r="I1952" s="12">
        <v>2717</v>
      </c>
      <c r="J1952" s="10" t="s">
        <v>104</v>
      </c>
      <c r="K1952" s="10" t="s">
        <v>63</v>
      </c>
      <c r="L1952" t="str">
        <f>IFERROR(VLOOKUP(D1952,Products!A:F,3,0),"")</f>
        <v>Electronics</v>
      </c>
      <c r="M1952" t="str">
        <f>IFERROR(VLOOKUP(E1952,Sales_Reps!A:E,3,0),"")</f>
        <v>West</v>
      </c>
      <c r="N1952" t="str">
        <f>IFERROR(VLOOKUP(C1952,Customers!A:F,5,0),"")</f>
        <v>Retail</v>
      </c>
      <c r="O1952">
        <f>IFERROR(VLOOKUP(C1952,Customers!A:F,3,0),"")</f>
        <v>53</v>
      </c>
      <c r="P1952">
        <f>IFERROR(VLOOKUP(D1952,Products!A:F,4,0),"")</f>
        <v>861</v>
      </c>
      <c r="Q1952" t="b">
        <f>IFERROR(VLOOKUP(D1952,Products!A:F,6,0),"")</f>
        <v>1</v>
      </c>
      <c r="R1952">
        <f t="shared" si="90"/>
        <v>0.39790209790209791</v>
      </c>
      <c r="S1952">
        <f t="shared" si="91"/>
        <v>1</v>
      </c>
      <c r="T1952">
        <f>IF(AND(S1952&gt;1,COUNTIF($A$2:A1952,A1952)=1),1,0)</f>
        <v>0</v>
      </c>
      <c r="U1952">
        <f>COUNTIF(Customers!$A$2:$A$301,C1952)</f>
        <v>1</v>
      </c>
      <c r="V1952">
        <f t="shared" si="92"/>
        <v>0</v>
      </c>
    </row>
    <row r="1953" spans="1:22" ht="14.25" customHeight="1" x14ac:dyDescent="0.35">
      <c r="A1953" s="10" t="s">
        <v>2416</v>
      </c>
      <c r="B1953" s="11">
        <v>45618</v>
      </c>
      <c r="C1953" s="10" t="s">
        <v>404</v>
      </c>
      <c r="D1953" s="10" t="s">
        <v>151</v>
      </c>
      <c r="E1953" s="10" t="s">
        <v>156</v>
      </c>
      <c r="F1953" s="12">
        <v>6</v>
      </c>
      <c r="G1953" s="12">
        <v>3570</v>
      </c>
      <c r="H1953" s="12">
        <v>28.5</v>
      </c>
      <c r="I1953" s="12">
        <v>15315.3</v>
      </c>
      <c r="J1953" s="10" t="s">
        <v>104</v>
      </c>
      <c r="K1953" s="10" t="s">
        <v>52</v>
      </c>
      <c r="L1953" t="str">
        <f>IFERROR(VLOOKUP(D1953,Products!A:F,3,0),"")</f>
        <v>Electronics</v>
      </c>
      <c r="M1953" t="str">
        <f>IFERROR(VLOOKUP(E1953,Sales_Reps!A:E,3,0),"")</f>
        <v>East</v>
      </c>
      <c r="N1953" t="str">
        <f>IFERROR(VLOOKUP(C1953,Customers!A:F,5,0),"")</f>
        <v>SMB</v>
      </c>
      <c r="O1953">
        <f>IFERROR(VLOOKUP(C1953,Customers!A:F,3,0),"")</f>
        <v>30</v>
      </c>
      <c r="P1953">
        <f>IFERROR(VLOOKUP(D1953,Products!A:F,4,0),"")</f>
        <v>1665</v>
      </c>
      <c r="Q1953" t="b">
        <f>IFERROR(VLOOKUP(D1953,Products!A:F,6,0),"")</f>
        <v>1</v>
      </c>
      <c r="R1953">
        <f t="shared" si="90"/>
        <v>0.53361344537815125</v>
      </c>
      <c r="S1953">
        <f t="shared" si="91"/>
        <v>1</v>
      </c>
      <c r="T1953">
        <f>IF(AND(S1953&gt;1,COUNTIF($A$2:A1953,A1953)=1),1,0)</f>
        <v>0</v>
      </c>
      <c r="U1953">
        <f>COUNTIF(Customers!$A$2:$A$301,C1953)</f>
        <v>1</v>
      </c>
      <c r="V1953">
        <f t="shared" si="92"/>
        <v>0</v>
      </c>
    </row>
    <row r="1954" spans="1:22" ht="14.25" customHeight="1" x14ac:dyDescent="0.35">
      <c r="A1954" s="10" t="s">
        <v>2417</v>
      </c>
      <c r="B1954" s="11">
        <v>45444</v>
      </c>
      <c r="C1954" s="10" t="s">
        <v>361</v>
      </c>
      <c r="D1954" s="10" t="s">
        <v>151</v>
      </c>
      <c r="E1954" s="10" t="s">
        <v>80</v>
      </c>
      <c r="F1954" s="12">
        <v>1</v>
      </c>
      <c r="G1954" s="12">
        <v>3570</v>
      </c>
      <c r="H1954" s="12">
        <v>7.7</v>
      </c>
      <c r="I1954" s="12">
        <v>3295.11</v>
      </c>
      <c r="J1954" s="10" t="s">
        <v>51</v>
      </c>
      <c r="K1954" s="10" t="s">
        <v>63</v>
      </c>
      <c r="L1954" t="str">
        <f>IFERROR(VLOOKUP(D1954,Products!A:F,3,0),"")</f>
        <v>Electronics</v>
      </c>
      <c r="M1954" t="str">
        <f>IFERROR(VLOOKUP(E1954,Sales_Reps!A:E,3,0),"")</f>
        <v>West</v>
      </c>
      <c r="N1954" t="str">
        <f>IFERROR(VLOOKUP(C1954,Customers!A:F,5,0),"")</f>
        <v>Retail</v>
      </c>
      <c r="O1954">
        <f>IFERROR(VLOOKUP(C1954,Customers!A:F,3,0),"")</f>
        <v>30</v>
      </c>
      <c r="P1954">
        <f>IFERROR(VLOOKUP(D1954,Products!A:F,4,0),"")</f>
        <v>1665</v>
      </c>
      <c r="Q1954" t="b">
        <f>IFERROR(VLOOKUP(D1954,Products!A:F,6,0),"")</f>
        <v>1</v>
      </c>
      <c r="R1954">
        <f t="shared" si="90"/>
        <v>0.53361344537815125</v>
      </c>
      <c r="S1954">
        <f t="shared" si="91"/>
        <v>1</v>
      </c>
      <c r="T1954">
        <f>IF(AND(S1954&gt;1,COUNTIF($A$2:A1954,A1954)=1),1,0)</f>
        <v>0</v>
      </c>
      <c r="U1954">
        <f>COUNTIF(Customers!$A$2:$A$301,C1954)</f>
        <v>1</v>
      </c>
      <c r="V1954">
        <f t="shared" si="92"/>
        <v>0</v>
      </c>
    </row>
    <row r="1955" spans="1:22" ht="14.25" customHeight="1" x14ac:dyDescent="0.35">
      <c r="A1955" s="10" t="s">
        <v>2418</v>
      </c>
      <c r="B1955" s="11">
        <v>45377</v>
      </c>
      <c r="C1955" s="10" t="s">
        <v>1258</v>
      </c>
      <c r="D1955" s="10" t="s">
        <v>212</v>
      </c>
      <c r="E1955" s="10" t="s">
        <v>134</v>
      </c>
      <c r="F1955" s="12">
        <v>9</v>
      </c>
      <c r="G1955" s="12">
        <v>3870</v>
      </c>
      <c r="H1955" s="12">
        <v>11.9</v>
      </c>
      <c r="I1955" s="12">
        <v>30685.23</v>
      </c>
      <c r="J1955" s="10" t="s">
        <v>104</v>
      </c>
      <c r="K1955" s="10" t="s">
        <v>58</v>
      </c>
      <c r="L1955" t="str">
        <f>IFERROR(VLOOKUP(D1955,Products!A:F,3,0),"")</f>
        <v>Electronics</v>
      </c>
      <c r="M1955" t="str">
        <f>IFERROR(VLOOKUP(E1955,Sales_Reps!A:E,3,0),"")</f>
        <v>West</v>
      </c>
      <c r="N1955" t="str">
        <f>IFERROR(VLOOKUP(C1955,Customers!A:F,5,0),"")</f>
        <v>SMB</v>
      </c>
      <c r="O1955">
        <f>IFERROR(VLOOKUP(C1955,Customers!A:F,3,0),"")</f>
        <v>43</v>
      </c>
      <c r="P1955">
        <f>IFERROR(VLOOKUP(D1955,Products!A:F,4,0),"")</f>
        <v>1559</v>
      </c>
      <c r="Q1955" t="b">
        <f>IFERROR(VLOOKUP(D1955,Products!A:F,6,0),"")</f>
        <v>1</v>
      </c>
      <c r="R1955">
        <f t="shared" si="90"/>
        <v>0.59715762273901807</v>
      </c>
      <c r="S1955">
        <f t="shared" si="91"/>
        <v>1</v>
      </c>
      <c r="T1955">
        <f>IF(AND(S1955&gt;1,COUNTIF($A$2:A1955,A1955)=1),1,0)</f>
        <v>0</v>
      </c>
      <c r="U1955">
        <f>COUNTIF(Customers!$A$2:$A$301,C1955)</f>
        <v>1</v>
      </c>
      <c r="V1955">
        <f t="shared" si="92"/>
        <v>0</v>
      </c>
    </row>
    <row r="1956" spans="1:22" ht="14.25" customHeight="1" x14ac:dyDescent="0.35">
      <c r="A1956" s="10" t="s">
        <v>2419</v>
      </c>
      <c r="B1956" s="11">
        <v>45515</v>
      </c>
      <c r="C1956" s="10" t="s">
        <v>814</v>
      </c>
      <c r="D1956" s="10" t="s">
        <v>479</v>
      </c>
      <c r="E1956" s="10" t="s">
        <v>62</v>
      </c>
      <c r="F1956" s="12">
        <v>5</v>
      </c>
      <c r="G1956" s="12">
        <v>6940</v>
      </c>
      <c r="H1956" s="12">
        <v>17.399999999999999</v>
      </c>
      <c r="I1956" s="12">
        <v>28662.2</v>
      </c>
      <c r="J1956" s="10" t="s">
        <v>51</v>
      </c>
      <c r="K1956" s="10" t="s">
        <v>58</v>
      </c>
      <c r="L1956" t="str">
        <f>IFERROR(VLOOKUP(D1956,Products!A:F,3,0),"")</f>
        <v>Sports</v>
      </c>
      <c r="M1956" t="str">
        <f>IFERROR(VLOOKUP(E1956,Sales_Reps!A:E,3,0),"")</f>
        <v>South</v>
      </c>
      <c r="N1956" t="str">
        <f>IFERROR(VLOOKUP(C1956,Customers!A:F,5,0),"")</f>
        <v>SMB</v>
      </c>
      <c r="O1956">
        <f>IFERROR(VLOOKUP(C1956,Customers!A:F,3,0),"")</f>
        <v>26</v>
      </c>
      <c r="P1956">
        <f>IFERROR(VLOOKUP(D1956,Products!A:F,4,0),"")</f>
        <v>2827</v>
      </c>
      <c r="Q1956" t="b">
        <f>IFERROR(VLOOKUP(D1956,Products!A:F,6,0),"")</f>
        <v>1</v>
      </c>
      <c r="R1956">
        <f t="shared" si="90"/>
        <v>0.5926512968299712</v>
      </c>
      <c r="S1956">
        <f t="shared" si="91"/>
        <v>1</v>
      </c>
      <c r="T1956">
        <f>IF(AND(S1956&gt;1,COUNTIF($A$2:A1956,A1956)=1),1,0)</f>
        <v>0</v>
      </c>
      <c r="U1956">
        <f>COUNTIF(Customers!$A$2:$A$301,C1956)</f>
        <v>1</v>
      </c>
      <c r="V1956">
        <f t="shared" si="92"/>
        <v>0</v>
      </c>
    </row>
    <row r="1957" spans="1:22" ht="14.25" customHeight="1" x14ac:dyDescent="0.35">
      <c r="A1957" s="10" t="s">
        <v>2420</v>
      </c>
      <c r="B1957" s="11">
        <v>45312</v>
      </c>
      <c r="C1957" s="10" t="s">
        <v>227</v>
      </c>
      <c r="D1957" s="10" t="s">
        <v>74</v>
      </c>
      <c r="E1957" s="10" t="s">
        <v>165</v>
      </c>
      <c r="F1957" s="12">
        <v>6</v>
      </c>
      <c r="G1957" s="12">
        <v>370</v>
      </c>
      <c r="H1957" s="12">
        <v>8.1</v>
      </c>
      <c r="I1957" s="12">
        <v>2040.18</v>
      </c>
      <c r="J1957" s="10" t="s">
        <v>104</v>
      </c>
      <c r="K1957" s="10" t="s">
        <v>97</v>
      </c>
      <c r="L1957" t="str">
        <f>IFERROR(VLOOKUP(D1957,Products!A:F,3,0),"")</f>
        <v>Home</v>
      </c>
      <c r="M1957" t="str">
        <f>IFERROR(VLOOKUP(E1957,Sales_Reps!A:E,3,0),"")</f>
        <v>West</v>
      </c>
      <c r="N1957" t="str">
        <f>IFERROR(VLOOKUP(C1957,Customers!A:F,5,0),"")</f>
        <v>Retail</v>
      </c>
      <c r="O1957">
        <f>IFERROR(VLOOKUP(C1957,Customers!A:F,3,0),"")</f>
        <v>53</v>
      </c>
      <c r="P1957">
        <f>IFERROR(VLOOKUP(D1957,Products!A:F,4,0),"")</f>
        <v>288</v>
      </c>
      <c r="Q1957" t="b">
        <f>IFERROR(VLOOKUP(D1957,Products!A:F,6,0),"")</f>
        <v>1</v>
      </c>
      <c r="R1957">
        <f t="shared" si="90"/>
        <v>0.22162162162162163</v>
      </c>
      <c r="S1957">
        <f t="shared" si="91"/>
        <v>1</v>
      </c>
      <c r="T1957">
        <f>IF(AND(S1957&gt;1,COUNTIF($A$2:A1957,A1957)=1),1,0)</f>
        <v>0</v>
      </c>
      <c r="U1957">
        <f>COUNTIF(Customers!$A$2:$A$301,C1957)</f>
        <v>1</v>
      </c>
      <c r="V1957">
        <f t="shared" si="92"/>
        <v>0</v>
      </c>
    </row>
    <row r="1958" spans="1:22" ht="14.25" customHeight="1" x14ac:dyDescent="0.35">
      <c r="A1958" s="10" t="s">
        <v>2421</v>
      </c>
      <c r="B1958" s="11">
        <v>45549</v>
      </c>
      <c r="C1958" s="10" t="s">
        <v>230</v>
      </c>
      <c r="D1958" s="10" t="s">
        <v>623</v>
      </c>
      <c r="E1958" s="10" t="s">
        <v>307</v>
      </c>
      <c r="F1958" s="12">
        <v>8</v>
      </c>
      <c r="G1958" s="12">
        <v>3560</v>
      </c>
      <c r="H1958" s="12">
        <v>23.3</v>
      </c>
      <c r="I1958" s="12">
        <v>21844.16</v>
      </c>
      <c r="J1958" s="10" t="s">
        <v>51</v>
      </c>
      <c r="K1958" s="10" t="s">
        <v>63</v>
      </c>
      <c r="L1958" t="str">
        <f>IFERROR(VLOOKUP(D1958,Products!A:F,3,0),"")</f>
        <v>Apparel</v>
      </c>
      <c r="M1958" t="str">
        <f>IFERROR(VLOOKUP(E1958,Sales_Reps!A:E,3,0),"")</f>
        <v>West</v>
      </c>
      <c r="N1958" t="str">
        <f>IFERROR(VLOOKUP(C1958,Customers!A:F,5,0),"")</f>
        <v>Corporate</v>
      </c>
      <c r="O1958">
        <f>IFERROR(VLOOKUP(C1958,Customers!A:F,3,0),"")</f>
        <v>55</v>
      </c>
      <c r="P1958">
        <f>IFERROR(VLOOKUP(D1958,Products!A:F,4,0),"")</f>
        <v>2629</v>
      </c>
      <c r="Q1958" t="b">
        <f>IFERROR(VLOOKUP(D1958,Products!A:F,6,0),"")</f>
        <v>1</v>
      </c>
      <c r="R1958">
        <f t="shared" si="90"/>
        <v>0.26151685393258428</v>
      </c>
      <c r="S1958">
        <f t="shared" si="91"/>
        <v>1</v>
      </c>
      <c r="T1958">
        <f>IF(AND(S1958&gt;1,COUNTIF($A$2:A1958,A1958)=1),1,0)</f>
        <v>0</v>
      </c>
      <c r="U1958">
        <f>COUNTIF(Customers!$A$2:$A$301,C1958)</f>
        <v>1</v>
      </c>
      <c r="V1958">
        <f t="shared" si="92"/>
        <v>0</v>
      </c>
    </row>
    <row r="1959" spans="1:22" ht="14.25" customHeight="1" x14ac:dyDescent="0.35">
      <c r="A1959" s="10" t="s">
        <v>2422</v>
      </c>
      <c r="B1959" s="11">
        <v>45633</v>
      </c>
      <c r="C1959" s="10" t="s">
        <v>577</v>
      </c>
      <c r="D1959" s="10" t="s">
        <v>231</v>
      </c>
      <c r="E1959" s="10" t="s">
        <v>92</v>
      </c>
      <c r="F1959" s="12">
        <v>4</v>
      </c>
      <c r="G1959" s="12">
        <v>1220</v>
      </c>
      <c r="H1959" s="12">
        <v>2.7</v>
      </c>
      <c r="I1959" s="12">
        <v>4748.24</v>
      </c>
      <c r="J1959" s="10" t="s">
        <v>51</v>
      </c>
      <c r="K1959" s="10" t="s">
        <v>76</v>
      </c>
      <c r="L1959" t="str">
        <f>IFERROR(VLOOKUP(D1959,Products!A:F,3,0),"")</f>
        <v>Electronics</v>
      </c>
      <c r="M1959" t="str">
        <f>IFERROR(VLOOKUP(E1959,Sales_Reps!A:E,3,0),"")</f>
        <v>West</v>
      </c>
      <c r="N1959" t="str">
        <f>IFERROR(VLOOKUP(C1959,Customers!A:F,5,0),"")</f>
        <v>Retail</v>
      </c>
      <c r="O1959">
        <f>IFERROR(VLOOKUP(C1959,Customers!A:F,3,0),"")</f>
        <v>44</v>
      </c>
      <c r="P1959">
        <f>IFERROR(VLOOKUP(D1959,Products!A:F,4,0),"")</f>
        <v>517</v>
      </c>
      <c r="Q1959" t="b">
        <f>IFERROR(VLOOKUP(D1959,Products!A:F,6,0),"")</f>
        <v>1</v>
      </c>
      <c r="R1959">
        <f t="shared" si="90"/>
        <v>0.57622950819672136</v>
      </c>
      <c r="S1959">
        <f t="shared" si="91"/>
        <v>1</v>
      </c>
      <c r="T1959">
        <f>IF(AND(S1959&gt;1,COUNTIF($A$2:A1959,A1959)=1),1,0)</f>
        <v>0</v>
      </c>
      <c r="U1959">
        <f>COUNTIF(Customers!$A$2:$A$301,C1959)</f>
        <v>1</v>
      </c>
      <c r="V1959">
        <f t="shared" si="92"/>
        <v>0</v>
      </c>
    </row>
    <row r="1960" spans="1:22" ht="14.25" customHeight="1" x14ac:dyDescent="0.35">
      <c r="A1960" s="10" t="s">
        <v>2423</v>
      </c>
      <c r="B1960" s="11">
        <v>45598</v>
      </c>
      <c r="C1960" s="10" t="s">
        <v>681</v>
      </c>
      <c r="D1960" s="10" t="s">
        <v>228</v>
      </c>
      <c r="E1960" s="10" t="s">
        <v>156</v>
      </c>
      <c r="F1960" s="12">
        <v>10</v>
      </c>
      <c r="G1960" s="12">
        <v>4070</v>
      </c>
      <c r="H1960" s="12">
        <v>11.6</v>
      </c>
      <c r="I1960" s="12">
        <v>35978.800000000003</v>
      </c>
      <c r="J1960" s="10" t="s">
        <v>51</v>
      </c>
      <c r="K1960" s="10" t="s">
        <v>58</v>
      </c>
      <c r="L1960" t="str">
        <f>IFERROR(VLOOKUP(D1960,Products!A:F,3,0),"")</f>
        <v>Grocery</v>
      </c>
      <c r="M1960" t="str">
        <f>IFERROR(VLOOKUP(E1960,Sales_Reps!A:E,3,0),"")</f>
        <v>East</v>
      </c>
      <c r="N1960" t="str">
        <f>IFERROR(VLOOKUP(C1960,Customers!A:F,5,0),"")</f>
        <v>Retail</v>
      </c>
      <c r="O1960">
        <f>IFERROR(VLOOKUP(C1960,Customers!A:F,3,0),"")</f>
        <v>24</v>
      </c>
      <c r="P1960">
        <f>IFERROR(VLOOKUP(D1960,Products!A:F,4,0),"")</f>
        <v>2027</v>
      </c>
      <c r="Q1960" t="b">
        <f>IFERROR(VLOOKUP(D1960,Products!A:F,6,0),"")</f>
        <v>1</v>
      </c>
      <c r="R1960">
        <f t="shared" si="90"/>
        <v>0.50196560196560192</v>
      </c>
      <c r="S1960">
        <f t="shared" si="91"/>
        <v>1</v>
      </c>
      <c r="T1960">
        <f>IF(AND(S1960&gt;1,COUNTIF($A$2:A1960,A1960)=1),1,0)</f>
        <v>0</v>
      </c>
      <c r="U1960">
        <f>COUNTIF(Customers!$A$2:$A$301,C1960)</f>
        <v>1</v>
      </c>
      <c r="V1960">
        <f t="shared" si="92"/>
        <v>0</v>
      </c>
    </row>
    <row r="1961" spans="1:22" ht="14.25" customHeight="1" x14ac:dyDescent="0.35">
      <c r="A1961" s="10" t="s">
        <v>2424</v>
      </c>
      <c r="B1961" s="11">
        <v>45336</v>
      </c>
      <c r="C1961" s="10" t="s">
        <v>761</v>
      </c>
      <c r="D1961" s="10" t="s">
        <v>66</v>
      </c>
      <c r="E1961" s="10" t="s">
        <v>85</v>
      </c>
      <c r="F1961" s="12">
        <v>10</v>
      </c>
      <c r="G1961" s="12">
        <v>3660</v>
      </c>
      <c r="H1961" s="12">
        <v>28.8</v>
      </c>
      <c r="I1961" s="12">
        <v>26059.200000000001</v>
      </c>
      <c r="J1961" s="10" t="s">
        <v>51</v>
      </c>
      <c r="K1961" s="10" t="s">
        <v>63</v>
      </c>
      <c r="L1961" t="str">
        <f>IFERROR(VLOOKUP(D1961,Products!A:F,3,0),"")</f>
        <v>Grocery</v>
      </c>
      <c r="M1961" t="str">
        <f>IFERROR(VLOOKUP(E1961,Sales_Reps!A:E,3,0),"")</f>
        <v>East</v>
      </c>
      <c r="N1961" t="str">
        <f>IFERROR(VLOOKUP(C1961,Customers!A:F,5,0),"")</f>
        <v>Retail</v>
      </c>
      <c r="O1961">
        <f>IFERROR(VLOOKUP(C1961,Customers!A:F,3,0),"")</f>
        <v>63</v>
      </c>
      <c r="P1961">
        <f>IFERROR(VLOOKUP(D1961,Products!A:F,4,0),"")</f>
        <v>2214</v>
      </c>
      <c r="Q1961" t="b">
        <f>IFERROR(VLOOKUP(D1961,Products!A:F,6,0),"")</f>
        <v>0</v>
      </c>
      <c r="R1961">
        <f t="shared" si="90"/>
        <v>0.39508196721311473</v>
      </c>
      <c r="S1961">
        <f t="shared" si="91"/>
        <v>1</v>
      </c>
      <c r="T1961">
        <f>IF(AND(S1961&gt;1,COUNTIF($A$2:A1961,A1961)=1),1,0)</f>
        <v>0</v>
      </c>
      <c r="U1961">
        <f>COUNTIF(Customers!$A$2:$A$301,C1961)</f>
        <v>1</v>
      </c>
      <c r="V1961">
        <f t="shared" si="92"/>
        <v>0</v>
      </c>
    </row>
    <row r="1962" spans="1:22" ht="14.25" customHeight="1" x14ac:dyDescent="0.35">
      <c r="A1962" s="10" t="s">
        <v>2425</v>
      </c>
      <c r="B1962" s="11">
        <v>45449</v>
      </c>
      <c r="C1962" s="10" t="s">
        <v>579</v>
      </c>
      <c r="D1962" s="10" t="s">
        <v>407</v>
      </c>
      <c r="E1962" s="10" t="s">
        <v>267</v>
      </c>
      <c r="F1962" s="12">
        <v>5</v>
      </c>
      <c r="G1962" s="12">
        <v>5080</v>
      </c>
      <c r="H1962" s="12">
        <v>12.1</v>
      </c>
      <c r="I1962" s="12">
        <v>22326.6</v>
      </c>
      <c r="J1962" s="10" t="s">
        <v>51</v>
      </c>
      <c r="K1962" s="10" t="s">
        <v>76</v>
      </c>
      <c r="L1962" t="str">
        <f>IFERROR(VLOOKUP(D1962,Products!A:F,3,0),"")</f>
        <v>Home</v>
      </c>
      <c r="M1962" t="str">
        <f>IFERROR(VLOOKUP(E1962,Sales_Reps!A:E,3,0),"")</f>
        <v>East</v>
      </c>
      <c r="N1962" t="str">
        <f>IFERROR(VLOOKUP(C1962,Customers!A:F,5,0),"")</f>
        <v>Retail</v>
      </c>
      <c r="O1962">
        <f>IFERROR(VLOOKUP(C1962,Customers!A:F,3,0),"")</f>
        <v>53</v>
      </c>
      <c r="P1962">
        <f>IFERROR(VLOOKUP(D1962,Products!A:F,4,0),"")</f>
        <v>2459</v>
      </c>
      <c r="Q1962" t="b">
        <f>IFERROR(VLOOKUP(D1962,Products!A:F,6,0),"")</f>
        <v>1</v>
      </c>
      <c r="R1962">
        <f t="shared" si="90"/>
        <v>0.51594488188976373</v>
      </c>
      <c r="S1962">
        <f t="shared" si="91"/>
        <v>1</v>
      </c>
      <c r="T1962">
        <f>IF(AND(S1962&gt;1,COUNTIF($A$2:A1962,A1962)=1),1,0)</f>
        <v>0</v>
      </c>
      <c r="U1962">
        <f>COUNTIF(Customers!$A$2:$A$301,C1962)</f>
        <v>1</v>
      </c>
      <c r="V1962">
        <f t="shared" si="92"/>
        <v>0</v>
      </c>
    </row>
    <row r="1963" spans="1:22" ht="14.25" customHeight="1" x14ac:dyDescent="0.35">
      <c r="A1963" s="10" t="s">
        <v>2426</v>
      </c>
      <c r="B1963" s="11">
        <v>45338</v>
      </c>
      <c r="C1963" s="10" t="s">
        <v>761</v>
      </c>
      <c r="D1963" s="10" t="s">
        <v>234</v>
      </c>
      <c r="E1963" s="10" t="s">
        <v>216</v>
      </c>
      <c r="F1963" s="12">
        <v>10</v>
      </c>
      <c r="G1963" s="12">
        <v>4610</v>
      </c>
      <c r="H1963" s="12">
        <v>22.5</v>
      </c>
      <c r="I1963" s="12">
        <v>35727.5</v>
      </c>
      <c r="J1963" s="10" t="s">
        <v>51</v>
      </c>
      <c r="K1963" s="10" t="s">
        <v>63</v>
      </c>
      <c r="L1963" t="str">
        <f>IFERROR(VLOOKUP(D1963,Products!A:F,3,0),"")</f>
        <v>Home</v>
      </c>
      <c r="M1963" t="str">
        <f>IFERROR(VLOOKUP(E1963,Sales_Reps!A:E,3,0),"")</f>
        <v>South</v>
      </c>
      <c r="N1963" t="str">
        <f>IFERROR(VLOOKUP(C1963,Customers!A:F,5,0),"")</f>
        <v>Retail</v>
      </c>
      <c r="O1963">
        <f>IFERROR(VLOOKUP(C1963,Customers!A:F,3,0),"")</f>
        <v>63</v>
      </c>
      <c r="P1963">
        <f>IFERROR(VLOOKUP(D1963,Products!A:F,4,0),"")</f>
        <v>1850</v>
      </c>
      <c r="Q1963" t="b">
        <f>IFERROR(VLOOKUP(D1963,Products!A:F,6,0),"")</f>
        <v>1</v>
      </c>
      <c r="R1963">
        <f t="shared" si="90"/>
        <v>0.59869848156182215</v>
      </c>
      <c r="S1963">
        <f t="shared" si="91"/>
        <v>1</v>
      </c>
      <c r="T1963">
        <f>IF(AND(S1963&gt;1,COUNTIF($A$2:A1963,A1963)=1),1,0)</f>
        <v>0</v>
      </c>
      <c r="U1963">
        <f>COUNTIF(Customers!$A$2:$A$301,C1963)</f>
        <v>1</v>
      </c>
      <c r="V1963">
        <f t="shared" si="92"/>
        <v>0</v>
      </c>
    </row>
    <row r="1964" spans="1:22" ht="14.25" customHeight="1" x14ac:dyDescent="0.35">
      <c r="A1964" s="10" t="s">
        <v>2427</v>
      </c>
      <c r="B1964" s="11">
        <v>45317</v>
      </c>
      <c r="C1964" s="10" t="s">
        <v>743</v>
      </c>
      <c r="D1964" s="10" t="s">
        <v>243</v>
      </c>
      <c r="E1964" s="10" t="s">
        <v>50</v>
      </c>
      <c r="F1964" s="12">
        <v>3</v>
      </c>
      <c r="G1964" s="12">
        <v>2660</v>
      </c>
      <c r="H1964" s="12">
        <v>15</v>
      </c>
      <c r="I1964" s="12">
        <v>6783</v>
      </c>
      <c r="J1964" s="10" t="s">
        <v>51</v>
      </c>
      <c r="K1964" s="10" t="s">
        <v>81</v>
      </c>
      <c r="L1964" t="str">
        <f>IFERROR(VLOOKUP(D1964,Products!A:F,3,0),"")</f>
        <v>Electronics</v>
      </c>
      <c r="M1964" t="str">
        <f>IFERROR(VLOOKUP(E1964,Sales_Reps!A:E,3,0),"")</f>
        <v>North</v>
      </c>
      <c r="N1964" t="str">
        <f>IFERROR(VLOOKUP(C1964,Customers!A:F,5,0),"")</f>
        <v>Retail</v>
      </c>
      <c r="O1964">
        <f>IFERROR(VLOOKUP(C1964,Customers!A:F,3,0),"")</f>
        <v>27</v>
      </c>
      <c r="P1964">
        <f>IFERROR(VLOOKUP(D1964,Products!A:F,4,0),"")</f>
        <v>1259</v>
      </c>
      <c r="Q1964" t="b">
        <f>IFERROR(VLOOKUP(D1964,Products!A:F,6,0),"")</f>
        <v>0</v>
      </c>
      <c r="R1964">
        <f t="shared" si="90"/>
        <v>0.52669172932330832</v>
      </c>
      <c r="S1964">
        <f t="shared" si="91"/>
        <v>1</v>
      </c>
      <c r="T1964">
        <f>IF(AND(S1964&gt;1,COUNTIF($A$2:A1964,A1964)=1),1,0)</f>
        <v>0</v>
      </c>
      <c r="U1964">
        <f>COUNTIF(Customers!$A$2:$A$301,C1964)</f>
        <v>1</v>
      </c>
      <c r="V1964">
        <f t="shared" si="92"/>
        <v>0</v>
      </c>
    </row>
    <row r="1965" spans="1:22" ht="14.25" customHeight="1" x14ac:dyDescent="0.35">
      <c r="A1965" s="10" t="s">
        <v>2428</v>
      </c>
      <c r="B1965" s="11">
        <v>45384</v>
      </c>
      <c r="C1965" s="10" t="s">
        <v>559</v>
      </c>
      <c r="D1965" s="10" t="s">
        <v>70</v>
      </c>
      <c r="E1965" s="10" t="s">
        <v>67</v>
      </c>
      <c r="F1965" s="12">
        <v>5</v>
      </c>
      <c r="G1965" s="12">
        <v>3160</v>
      </c>
      <c r="H1965" s="12">
        <v>1.3</v>
      </c>
      <c r="I1965" s="12">
        <v>15594.6</v>
      </c>
      <c r="J1965" s="10" t="s">
        <v>51</v>
      </c>
      <c r="K1965" s="10" t="s">
        <v>63</v>
      </c>
      <c r="L1965" t="str">
        <f>IFERROR(VLOOKUP(D1965,Products!A:F,3,0),"")</f>
        <v>Apparel</v>
      </c>
      <c r="M1965" t="str">
        <f>IFERROR(VLOOKUP(E1965,Sales_Reps!A:E,3,0),"")</f>
        <v>North</v>
      </c>
      <c r="N1965" t="str">
        <f>IFERROR(VLOOKUP(C1965,Customers!A:F,5,0),"")</f>
        <v>SMB</v>
      </c>
      <c r="O1965">
        <f>IFERROR(VLOOKUP(C1965,Customers!A:F,3,0),"")</f>
        <v>48</v>
      </c>
      <c r="P1965">
        <f>IFERROR(VLOOKUP(D1965,Products!A:F,4,0),"")</f>
        <v>1886</v>
      </c>
      <c r="Q1965" t="b">
        <f>IFERROR(VLOOKUP(D1965,Products!A:F,6,0),"")</f>
        <v>1</v>
      </c>
      <c r="R1965">
        <f t="shared" si="90"/>
        <v>0.4031645569620253</v>
      </c>
      <c r="S1965">
        <f t="shared" si="91"/>
        <v>1</v>
      </c>
      <c r="T1965">
        <f>IF(AND(S1965&gt;1,COUNTIF($A$2:A1965,A1965)=1),1,0)</f>
        <v>0</v>
      </c>
      <c r="U1965">
        <f>COUNTIF(Customers!$A$2:$A$301,C1965)</f>
        <v>1</v>
      </c>
      <c r="V1965">
        <f t="shared" si="92"/>
        <v>0</v>
      </c>
    </row>
    <row r="1966" spans="1:22" ht="14.25" customHeight="1" x14ac:dyDescent="0.35">
      <c r="A1966" s="10" t="s">
        <v>2429</v>
      </c>
      <c r="B1966" s="11">
        <v>45325</v>
      </c>
      <c r="C1966" s="10" t="s">
        <v>648</v>
      </c>
      <c r="D1966" s="10" t="s">
        <v>74</v>
      </c>
      <c r="E1966" s="10" t="s">
        <v>103</v>
      </c>
      <c r="F1966" s="12">
        <v>10</v>
      </c>
      <c r="G1966" s="12">
        <v>370</v>
      </c>
      <c r="H1966" s="12">
        <v>29</v>
      </c>
      <c r="I1966" s="12">
        <v>2627</v>
      </c>
      <c r="J1966" s="10" t="s">
        <v>51</v>
      </c>
      <c r="K1966" s="10" t="s">
        <v>63</v>
      </c>
      <c r="L1966" t="str">
        <f>IFERROR(VLOOKUP(D1966,Products!A:F,3,0),"")</f>
        <v>Home</v>
      </c>
      <c r="M1966" t="str">
        <f>IFERROR(VLOOKUP(E1966,Sales_Reps!A:E,3,0),"")</f>
        <v>North</v>
      </c>
      <c r="N1966" t="str">
        <f>IFERROR(VLOOKUP(C1966,Customers!A:F,5,0),"")</f>
        <v>Retail</v>
      </c>
      <c r="O1966">
        <f>IFERROR(VLOOKUP(C1966,Customers!A:F,3,0),"")</f>
        <v>41</v>
      </c>
      <c r="P1966">
        <f>IFERROR(VLOOKUP(D1966,Products!A:F,4,0),"")</f>
        <v>288</v>
      </c>
      <c r="Q1966" t="b">
        <f>IFERROR(VLOOKUP(D1966,Products!A:F,6,0),"")</f>
        <v>1</v>
      </c>
      <c r="R1966">
        <f t="shared" si="90"/>
        <v>0.22162162162162163</v>
      </c>
      <c r="S1966">
        <f t="shared" si="91"/>
        <v>1</v>
      </c>
      <c r="T1966">
        <f>IF(AND(S1966&gt;1,COUNTIF($A$2:A1966,A1966)=1),1,0)</f>
        <v>0</v>
      </c>
      <c r="U1966">
        <f>COUNTIF(Customers!$A$2:$A$301,C1966)</f>
        <v>1</v>
      </c>
      <c r="V1966">
        <f t="shared" si="92"/>
        <v>0</v>
      </c>
    </row>
    <row r="1967" spans="1:22" ht="14.25" customHeight="1" x14ac:dyDescent="0.35">
      <c r="A1967" s="10" t="s">
        <v>2430</v>
      </c>
      <c r="B1967" s="11">
        <v>45358</v>
      </c>
      <c r="C1967" s="10" t="s">
        <v>1015</v>
      </c>
      <c r="D1967" s="10" t="s">
        <v>146</v>
      </c>
      <c r="E1967" s="10" t="s">
        <v>71</v>
      </c>
      <c r="F1967" s="12">
        <v>10</v>
      </c>
      <c r="G1967" s="12">
        <v>1010</v>
      </c>
      <c r="H1967" s="12">
        <v>14.1</v>
      </c>
      <c r="I1967" s="12">
        <v>8675.9</v>
      </c>
      <c r="J1967" s="10" t="s">
        <v>108</v>
      </c>
      <c r="K1967" s="10" t="s">
        <v>76</v>
      </c>
      <c r="L1967" t="str">
        <f>IFERROR(VLOOKUP(D1967,Products!A:F,3,0),"")</f>
        <v>Sports</v>
      </c>
      <c r="M1967" t="str">
        <f>IFERROR(VLOOKUP(E1967,Sales_Reps!A:E,3,0),"")</f>
        <v>North</v>
      </c>
      <c r="N1967" t="str">
        <f>IFERROR(VLOOKUP(C1967,Customers!A:F,5,0),"")</f>
        <v>Retail</v>
      </c>
      <c r="O1967">
        <f>IFERROR(VLOOKUP(C1967,Customers!A:F,3,0),"")</f>
        <v>54</v>
      </c>
      <c r="P1967">
        <f>IFERROR(VLOOKUP(D1967,Products!A:F,4,0),"")</f>
        <v>516</v>
      </c>
      <c r="Q1967" t="b">
        <f>IFERROR(VLOOKUP(D1967,Products!A:F,6,0),"")</f>
        <v>1</v>
      </c>
      <c r="R1967">
        <f t="shared" si="90"/>
        <v>0.4891089108910891</v>
      </c>
      <c r="S1967">
        <f t="shared" si="91"/>
        <v>1</v>
      </c>
      <c r="T1967">
        <f>IF(AND(S1967&gt;1,COUNTIF($A$2:A1967,A1967)=1),1,0)</f>
        <v>0</v>
      </c>
      <c r="U1967">
        <f>COUNTIF(Customers!$A$2:$A$301,C1967)</f>
        <v>1</v>
      </c>
      <c r="V1967">
        <f t="shared" si="92"/>
        <v>0</v>
      </c>
    </row>
    <row r="1968" spans="1:22" ht="14.25" customHeight="1" x14ac:dyDescent="0.35">
      <c r="A1968" s="10" t="s">
        <v>2431</v>
      </c>
      <c r="B1968" s="11">
        <v>45586</v>
      </c>
      <c r="C1968" s="10" t="s">
        <v>297</v>
      </c>
      <c r="D1968" s="10" t="s">
        <v>623</v>
      </c>
      <c r="E1968" s="10" t="s">
        <v>134</v>
      </c>
      <c r="F1968" s="12">
        <v>3</v>
      </c>
      <c r="G1968" s="12">
        <v>3560</v>
      </c>
      <c r="H1968" s="12">
        <v>23.6</v>
      </c>
      <c r="I1968" s="12">
        <v>8159.52</v>
      </c>
      <c r="J1968" s="10" t="s">
        <v>51</v>
      </c>
      <c r="K1968" s="10" t="s">
        <v>97</v>
      </c>
      <c r="L1968" t="str">
        <f>IFERROR(VLOOKUP(D1968,Products!A:F,3,0),"")</f>
        <v>Apparel</v>
      </c>
      <c r="M1968" t="str">
        <f>IFERROR(VLOOKUP(E1968,Sales_Reps!A:E,3,0),"")</f>
        <v>West</v>
      </c>
      <c r="N1968" t="str">
        <f>IFERROR(VLOOKUP(C1968,Customers!A:F,5,0),"")</f>
        <v>SMB</v>
      </c>
      <c r="O1968">
        <f>IFERROR(VLOOKUP(C1968,Customers!A:F,3,0),"")</f>
        <v>65</v>
      </c>
      <c r="P1968">
        <f>IFERROR(VLOOKUP(D1968,Products!A:F,4,0),"")</f>
        <v>2629</v>
      </c>
      <c r="Q1968" t="b">
        <f>IFERROR(VLOOKUP(D1968,Products!A:F,6,0),"")</f>
        <v>1</v>
      </c>
      <c r="R1968">
        <f t="shared" si="90"/>
        <v>0.26151685393258428</v>
      </c>
      <c r="S1968">
        <f t="shared" si="91"/>
        <v>1</v>
      </c>
      <c r="T1968">
        <f>IF(AND(S1968&gt;1,COUNTIF($A$2:A1968,A1968)=1),1,0)</f>
        <v>0</v>
      </c>
      <c r="U1968">
        <f>COUNTIF(Customers!$A$2:$A$301,C1968)</f>
        <v>1</v>
      </c>
      <c r="V1968">
        <f t="shared" si="92"/>
        <v>0</v>
      </c>
    </row>
    <row r="1969" spans="1:22" ht="14.25" customHeight="1" x14ac:dyDescent="0.35">
      <c r="A1969" s="10" t="s">
        <v>2432</v>
      </c>
      <c r="B1969" s="11">
        <v>45340</v>
      </c>
      <c r="C1969" s="10" t="s">
        <v>288</v>
      </c>
      <c r="D1969" s="10" t="s">
        <v>231</v>
      </c>
      <c r="E1969" s="10" t="s">
        <v>92</v>
      </c>
      <c r="F1969" s="12">
        <v>9</v>
      </c>
      <c r="G1969" s="12">
        <v>1220</v>
      </c>
      <c r="H1969" s="12">
        <v>16.600000000000001</v>
      </c>
      <c r="I1969" s="12">
        <v>9157.32</v>
      </c>
      <c r="J1969" s="10" t="s">
        <v>51</v>
      </c>
      <c r="K1969" s="10" t="s">
        <v>97</v>
      </c>
      <c r="L1969" t="str">
        <f>IFERROR(VLOOKUP(D1969,Products!A:F,3,0),"")</f>
        <v>Electronics</v>
      </c>
      <c r="M1969" t="str">
        <f>IFERROR(VLOOKUP(E1969,Sales_Reps!A:E,3,0),"")</f>
        <v>West</v>
      </c>
      <c r="N1969" t="str">
        <f>IFERROR(VLOOKUP(C1969,Customers!A:F,5,0),"")</f>
        <v>Retail</v>
      </c>
      <c r="O1969">
        <f>IFERROR(VLOOKUP(C1969,Customers!A:F,3,0),"")</f>
        <v>28</v>
      </c>
      <c r="P1969">
        <f>IFERROR(VLOOKUP(D1969,Products!A:F,4,0),"")</f>
        <v>517</v>
      </c>
      <c r="Q1969" t="b">
        <f>IFERROR(VLOOKUP(D1969,Products!A:F,6,0),"")</f>
        <v>1</v>
      </c>
      <c r="R1969">
        <f t="shared" si="90"/>
        <v>0.57622950819672136</v>
      </c>
      <c r="S1969">
        <f t="shared" si="91"/>
        <v>1</v>
      </c>
      <c r="T1969">
        <f>IF(AND(S1969&gt;1,COUNTIF($A$2:A1969,A1969)=1),1,0)</f>
        <v>0</v>
      </c>
      <c r="U1969">
        <f>COUNTIF(Customers!$A$2:$A$301,C1969)</f>
        <v>1</v>
      </c>
      <c r="V1969">
        <f t="shared" si="92"/>
        <v>0</v>
      </c>
    </row>
    <row r="1970" spans="1:22" ht="14.25" customHeight="1" x14ac:dyDescent="0.35">
      <c r="A1970" s="10" t="s">
        <v>2433</v>
      </c>
      <c r="B1970" s="11">
        <v>45343</v>
      </c>
      <c r="C1970" s="10" t="s">
        <v>1195</v>
      </c>
      <c r="D1970" s="10" t="s">
        <v>111</v>
      </c>
      <c r="E1970" s="10" t="s">
        <v>71</v>
      </c>
      <c r="F1970" s="12">
        <v>8</v>
      </c>
      <c r="G1970" s="12">
        <v>190</v>
      </c>
      <c r="H1970" s="12">
        <v>22.3</v>
      </c>
      <c r="I1970" s="12">
        <v>1181.04</v>
      </c>
      <c r="J1970" s="10" t="s">
        <v>51</v>
      </c>
      <c r="K1970" s="10" t="s">
        <v>52</v>
      </c>
      <c r="L1970" t="str">
        <f>IFERROR(VLOOKUP(D1970,Products!A:F,3,0),"")</f>
        <v>Sports</v>
      </c>
      <c r="M1970" t="str">
        <f>IFERROR(VLOOKUP(E1970,Sales_Reps!A:E,3,0),"")</f>
        <v>North</v>
      </c>
      <c r="N1970" t="str">
        <f>IFERROR(VLOOKUP(C1970,Customers!A:F,5,0),"")</f>
        <v>Retail</v>
      </c>
      <c r="O1970">
        <f>IFERROR(VLOOKUP(C1970,Customers!A:F,3,0),"")</f>
        <v>42</v>
      </c>
      <c r="P1970">
        <f>IFERROR(VLOOKUP(D1970,Products!A:F,4,0),"")</f>
        <v>147</v>
      </c>
      <c r="Q1970" t="b">
        <f>IFERROR(VLOOKUP(D1970,Products!A:F,6,0),"")</f>
        <v>1</v>
      </c>
      <c r="R1970">
        <f t="shared" si="90"/>
        <v>0.22631578947368422</v>
      </c>
      <c r="S1970">
        <f t="shared" si="91"/>
        <v>1</v>
      </c>
      <c r="T1970">
        <f>IF(AND(S1970&gt;1,COUNTIF($A$2:A1970,A1970)=1),1,0)</f>
        <v>0</v>
      </c>
      <c r="U1970">
        <f>COUNTIF(Customers!$A$2:$A$301,C1970)</f>
        <v>1</v>
      </c>
      <c r="V1970">
        <f t="shared" si="92"/>
        <v>0</v>
      </c>
    </row>
    <row r="1971" spans="1:22" ht="14.25" customHeight="1" x14ac:dyDescent="0.35">
      <c r="A1971" s="10" t="s">
        <v>2434</v>
      </c>
      <c r="B1971" s="11">
        <v>45468</v>
      </c>
      <c r="C1971" s="10" t="s">
        <v>369</v>
      </c>
      <c r="D1971" s="10" t="s">
        <v>146</v>
      </c>
      <c r="E1971" s="10" t="s">
        <v>261</v>
      </c>
      <c r="F1971" s="12">
        <v>2</v>
      </c>
      <c r="G1971" s="12">
        <v>1010</v>
      </c>
      <c r="H1971" s="12">
        <v>3.8</v>
      </c>
      <c r="I1971" s="12">
        <v>1943.24</v>
      </c>
      <c r="J1971" s="10" t="s">
        <v>51</v>
      </c>
      <c r="K1971" s="10" t="s">
        <v>58</v>
      </c>
      <c r="L1971" t="str">
        <f>IFERROR(VLOOKUP(D1971,Products!A:F,3,0),"")</f>
        <v>Sports</v>
      </c>
      <c r="M1971" t="str">
        <f>IFERROR(VLOOKUP(E1971,Sales_Reps!A:E,3,0),"")</f>
        <v>North</v>
      </c>
      <c r="N1971" t="str">
        <f>IFERROR(VLOOKUP(C1971,Customers!A:F,5,0),"")</f>
        <v>Corporate</v>
      </c>
      <c r="O1971">
        <f>IFERROR(VLOOKUP(C1971,Customers!A:F,3,0),"")</f>
        <v>24</v>
      </c>
      <c r="P1971">
        <f>IFERROR(VLOOKUP(D1971,Products!A:F,4,0),"")</f>
        <v>516</v>
      </c>
      <c r="Q1971" t="b">
        <f>IFERROR(VLOOKUP(D1971,Products!A:F,6,0),"")</f>
        <v>1</v>
      </c>
      <c r="R1971">
        <f t="shared" si="90"/>
        <v>0.4891089108910891</v>
      </c>
      <c r="S1971">
        <f t="shared" si="91"/>
        <v>1</v>
      </c>
      <c r="T1971">
        <f>IF(AND(S1971&gt;1,COUNTIF($A$2:A1971,A1971)=1),1,0)</f>
        <v>0</v>
      </c>
      <c r="U1971">
        <f>COUNTIF(Customers!$A$2:$A$301,C1971)</f>
        <v>1</v>
      </c>
      <c r="V1971">
        <f t="shared" si="92"/>
        <v>0</v>
      </c>
    </row>
    <row r="1972" spans="1:22" ht="14.25" customHeight="1" x14ac:dyDescent="0.35">
      <c r="A1972" s="10" t="s">
        <v>2435</v>
      </c>
      <c r="B1972" s="11">
        <v>45439</v>
      </c>
      <c r="C1972" s="10" t="s">
        <v>838</v>
      </c>
      <c r="D1972" s="10" t="s">
        <v>102</v>
      </c>
      <c r="E1972" s="10" t="s">
        <v>168</v>
      </c>
      <c r="F1972" s="12">
        <v>4</v>
      </c>
      <c r="G1972" s="12">
        <v>2600</v>
      </c>
      <c r="H1972" s="12">
        <v>29.1</v>
      </c>
      <c r="I1972" s="12">
        <v>7373.6</v>
      </c>
      <c r="J1972" s="10" t="s">
        <v>51</v>
      </c>
      <c r="K1972" s="10" t="s">
        <v>76</v>
      </c>
      <c r="L1972" t="str">
        <f>IFERROR(VLOOKUP(D1972,Products!A:F,3,0),"")</f>
        <v>Electronics</v>
      </c>
      <c r="M1972" t="str">
        <f>IFERROR(VLOOKUP(E1972,Sales_Reps!A:E,3,0),"")</f>
        <v>South</v>
      </c>
      <c r="N1972" t="str">
        <f>IFERROR(VLOOKUP(C1972,Customers!A:F,5,0),"")</f>
        <v>Retail</v>
      </c>
      <c r="O1972">
        <f>IFERROR(VLOOKUP(C1972,Customers!A:F,3,0),"")</f>
        <v>57</v>
      </c>
      <c r="P1972">
        <f>IFERROR(VLOOKUP(D1972,Products!A:F,4,0),"")</f>
        <v>1052</v>
      </c>
      <c r="Q1972" t="b">
        <f>IFERROR(VLOOKUP(D1972,Products!A:F,6,0),"")</f>
        <v>1</v>
      </c>
      <c r="R1972">
        <f t="shared" si="90"/>
        <v>0.5953846153846154</v>
      </c>
      <c r="S1972">
        <f t="shared" si="91"/>
        <v>1</v>
      </c>
      <c r="T1972">
        <f>IF(AND(S1972&gt;1,COUNTIF($A$2:A1972,A1972)=1),1,0)</f>
        <v>0</v>
      </c>
      <c r="U1972">
        <f>COUNTIF(Customers!$A$2:$A$301,C1972)</f>
        <v>1</v>
      </c>
      <c r="V1972">
        <f t="shared" si="92"/>
        <v>0</v>
      </c>
    </row>
    <row r="1973" spans="1:22" ht="14.25" customHeight="1" x14ac:dyDescent="0.35">
      <c r="A1973" s="10" t="s">
        <v>2436</v>
      </c>
      <c r="B1973" s="11">
        <v>45517</v>
      </c>
      <c r="C1973" s="10" t="s">
        <v>648</v>
      </c>
      <c r="D1973" s="10" t="s">
        <v>416</v>
      </c>
      <c r="E1973" s="10" t="s">
        <v>193</v>
      </c>
      <c r="F1973" s="12">
        <v>7</v>
      </c>
      <c r="G1973" s="12">
        <v>3450</v>
      </c>
      <c r="H1973" s="12">
        <v>4</v>
      </c>
      <c r="I1973" s="12">
        <v>23184</v>
      </c>
      <c r="J1973" s="10" t="s">
        <v>51</v>
      </c>
      <c r="K1973" s="10" t="s">
        <v>63</v>
      </c>
      <c r="L1973" t="str">
        <f>IFERROR(VLOOKUP(D1973,Products!A:F,3,0),"")</f>
        <v>Apparel</v>
      </c>
      <c r="M1973" t="str">
        <f>IFERROR(VLOOKUP(E1973,Sales_Reps!A:E,3,0),"")</f>
        <v>West</v>
      </c>
      <c r="N1973" t="str">
        <f>IFERROR(VLOOKUP(C1973,Customers!A:F,5,0),"")</f>
        <v>Retail</v>
      </c>
      <c r="O1973">
        <f>IFERROR(VLOOKUP(C1973,Customers!A:F,3,0),"")</f>
        <v>41</v>
      </c>
      <c r="P1973">
        <f>IFERROR(VLOOKUP(D1973,Products!A:F,4,0),"")</f>
        <v>1748</v>
      </c>
      <c r="Q1973" t="b">
        <f>IFERROR(VLOOKUP(D1973,Products!A:F,6,0),"")</f>
        <v>1</v>
      </c>
      <c r="R1973">
        <f t="shared" si="90"/>
        <v>0.49333333333333335</v>
      </c>
      <c r="S1973">
        <f t="shared" si="91"/>
        <v>1</v>
      </c>
      <c r="T1973">
        <f>IF(AND(S1973&gt;1,COUNTIF($A$2:A1973,A1973)=1),1,0)</f>
        <v>0</v>
      </c>
      <c r="U1973">
        <f>COUNTIF(Customers!$A$2:$A$301,C1973)</f>
        <v>1</v>
      </c>
      <c r="V1973">
        <f t="shared" si="92"/>
        <v>0</v>
      </c>
    </row>
    <row r="1974" spans="1:22" ht="14.25" customHeight="1" x14ac:dyDescent="0.35">
      <c r="A1974" s="10" t="s">
        <v>2437</v>
      </c>
      <c r="B1974" s="11">
        <v>45311</v>
      </c>
      <c r="C1974" s="10" t="s">
        <v>208</v>
      </c>
      <c r="D1974" s="10" t="s">
        <v>319</v>
      </c>
      <c r="E1974" s="10" t="s">
        <v>85</v>
      </c>
      <c r="F1974" s="12">
        <v>6</v>
      </c>
      <c r="G1974" s="12">
        <v>2510</v>
      </c>
      <c r="H1974" s="12">
        <v>12.7</v>
      </c>
      <c r="I1974" s="12">
        <v>13147.38</v>
      </c>
      <c r="J1974" s="10" t="s">
        <v>51</v>
      </c>
      <c r="K1974" s="10" t="s">
        <v>58</v>
      </c>
      <c r="L1974" t="str">
        <f>IFERROR(VLOOKUP(D1974,Products!A:F,3,0),"")</f>
        <v>Apparel</v>
      </c>
      <c r="M1974" t="str">
        <f>IFERROR(VLOOKUP(E1974,Sales_Reps!A:E,3,0),"")</f>
        <v>East</v>
      </c>
      <c r="N1974" t="str">
        <f>IFERROR(VLOOKUP(C1974,Customers!A:F,5,0),"")</f>
        <v>Corporate</v>
      </c>
      <c r="O1974">
        <f>IFERROR(VLOOKUP(C1974,Customers!A:F,3,0),"")</f>
        <v>52</v>
      </c>
      <c r="P1974">
        <f>IFERROR(VLOOKUP(D1974,Products!A:F,4,0),"")</f>
        <v>1075</v>
      </c>
      <c r="Q1974" t="b">
        <f>IFERROR(VLOOKUP(D1974,Products!A:F,6,0),"")</f>
        <v>0</v>
      </c>
      <c r="R1974">
        <f t="shared" si="90"/>
        <v>0.57171314741035861</v>
      </c>
      <c r="S1974">
        <f t="shared" si="91"/>
        <v>1</v>
      </c>
      <c r="T1974">
        <f>IF(AND(S1974&gt;1,COUNTIF($A$2:A1974,A1974)=1),1,0)</f>
        <v>0</v>
      </c>
      <c r="U1974">
        <f>COUNTIF(Customers!$A$2:$A$301,C1974)</f>
        <v>1</v>
      </c>
      <c r="V1974">
        <f t="shared" si="92"/>
        <v>0</v>
      </c>
    </row>
    <row r="1975" spans="1:22" ht="14.25" customHeight="1" x14ac:dyDescent="0.35">
      <c r="A1975" s="10" t="s">
        <v>2438</v>
      </c>
      <c r="B1975" s="11">
        <v>45560</v>
      </c>
      <c r="C1975" s="10" t="s">
        <v>73</v>
      </c>
      <c r="D1975" s="10" t="s">
        <v>111</v>
      </c>
      <c r="E1975" s="10" t="s">
        <v>307</v>
      </c>
      <c r="F1975" s="12">
        <v>6</v>
      </c>
      <c r="G1975" s="12">
        <v>190</v>
      </c>
      <c r="H1975" s="12">
        <v>20</v>
      </c>
      <c r="I1975" s="12">
        <v>912</v>
      </c>
      <c r="J1975" s="10" t="s">
        <v>104</v>
      </c>
      <c r="K1975" s="10" t="s">
        <v>76</v>
      </c>
      <c r="L1975" t="str">
        <f>IFERROR(VLOOKUP(D1975,Products!A:F,3,0),"")</f>
        <v>Sports</v>
      </c>
      <c r="M1975" t="str">
        <f>IFERROR(VLOOKUP(E1975,Sales_Reps!A:E,3,0),"")</f>
        <v>West</v>
      </c>
      <c r="N1975" t="str">
        <f>IFERROR(VLOOKUP(C1975,Customers!A:F,5,0),"")</f>
        <v>Retail</v>
      </c>
      <c r="O1975">
        <f>IFERROR(VLOOKUP(C1975,Customers!A:F,3,0),"")</f>
        <v>36</v>
      </c>
      <c r="P1975">
        <f>IFERROR(VLOOKUP(D1975,Products!A:F,4,0),"")</f>
        <v>147</v>
      </c>
      <c r="Q1975" t="b">
        <f>IFERROR(VLOOKUP(D1975,Products!A:F,6,0),"")</f>
        <v>1</v>
      </c>
      <c r="R1975">
        <f t="shared" si="90"/>
        <v>0.22631578947368422</v>
      </c>
      <c r="S1975">
        <f t="shared" si="91"/>
        <v>1</v>
      </c>
      <c r="T1975">
        <f>IF(AND(S1975&gt;1,COUNTIF($A$2:A1975,A1975)=1),1,0)</f>
        <v>0</v>
      </c>
      <c r="U1975">
        <f>COUNTIF(Customers!$A$2:$A$301,C1975)</f>
        <v>1</v>
      </c>
      <c r="V1975">
        <f t="shared" si="92"/>
        <v>0</v>
      </c>
    </row>
    <row r="1976" spans="1:22" ht="14.25" customHeight="1" x14ac:dyDescent="0.35">
      <c r="A1976" s="10" t="s">
        <v>2439</v>
      </c>
      <c r="B1976" s="11">
        <v>45529</v>
      </c>
      <c r="C1976" s="10" t="s">
        <v>1195</v>
      </c>
      <c r="D1976" s="10" t="s">
        <v>140</v>
      </c>
      <c r="E1976" s="10" t="s">
        <v>193</v>
      </c>
      <c r="F1976" s="12">
        <v>10</v>
      </c>
      <c r="G1976" s="12">
        <v>1650</v>
      </c>
      <c r="H1976" s="12">
        <v>21.5</v>
      </c>
      <c r="I1976" s="12">
        <v>12952.5</v>
      </c>
      <c r="J1976" s="10" t="s">
        <v>51</v>
      </c>
      <c r="K1976" s="10" t="s">
        <v>52</v>
      </c>
      <c r="L1976" t="str">
        <f>IFERROR(VLOOKUP(D1976,Products!A:F,3,0),"")</f>
        <v>Beauty</v>
      </c>
      <c r="M1976" t="str">
        <f>IFERROR(VLOOKUP(E1976,Sales_Reps!A:E,3,0),"")</f>
        <v>West</v>
      </c>
      <c r="N1976" t="str">
        <f>IFERROR(VLOOKUP(C1976,Customers!A:F,5,0),"")</f>
        <v>Retail</v>
      </c>
      <c r="O1976">
        <f>IFERROR(VLOOKUP(C1976,Customers!A:F,3,0),"")</f>
        <v>42</v>
      </c>
      <c r="P1976">
        <f>IFERROR(VLOOKUP(D1976,Products!A:F,4,0),"")</f>
        <v>1222</v>
      </c>
      <c r="Q1976" t="b">
        <f>IFERROR(VLOOKUP(D1976,Products!A:F,6,0),"")</f>
        <v>1</v>
      </c>
      <c r="R1976">
        <f t="shared" si="90"/>
        <v>0.2593939393939394</v>
      </c>
      <c r="S1976">
        <f t="shared" si="91"/>
        <v>1</v>
      </c>
      <c r="T1976">
        <f>IF(AND(S1976&gt;1,COUNTIF($A$2:A1976,A1976)=1),1,0)</f>
        <v>0</v>
      </c>
      <c r="U1976">
        <f>COUNTIF(Customers!$A$2:$A$301,C1976)</f>
        <v>1</v>
      </c>
      <c r="V1976">
        <f t="shared" si="92"/>
        <v>0</v>
      </c>
    </row>
    <row r="1977" spans="1:22" ht="14.25" customHeight="1" x14ac:dyDescent="0.35">
      <c r="A1977" s="10" t="s">
        <v>2440</v>
      </c>
      <c r="B1977" s="11">
        <v>45344</v>
      </c>
      <c r="C1977" s="10" t="s">
        <v>83</v>
      </c>
      <c r="D1977" s="10" t="s">
        <v>159</v>
      </c>
      <c r="E1977" s="10" t="s">
        <v>168</v>
      </c>
      <c r="F1977" s="12">
        <v>4</v>
      </c>
      <c r="G1977" s="12">
        <v>2860</v>
      </c>
      <c r="H1977" s="12">
        <v>15.2</v>
      </c>
      <c r="I1977" s="12">
        <v>9701.1200000000008</v>
      </c>
      <c r="J1977" s="10" t="s">
        <v>51</v>
      </c>
      <c r="K1977" s="10" t="s">
        <v>81</v>
      </c>
      <c r="L1977" t="str">
        <f>IFERROR(VLOOKUP(D1977,Products!A:F,3,0),"")</f>
        <v>Sports</v>
      </c>
      <c r="M1977" t="str">
        <f>IFERROR(VLOOKUP(E1977,Sales_Reps!A:E,3,0),"")</f>
        <v>South</v>
      </c>
      <c r="N1977" t="str">
        <f>IFERROR(VLOOKUP(C1977,Customers!A:F,5,0),"")</f>
        <v>Corporate</v>
      </c>
      <c r="O1977">
        <f>IFERROR(VLOOKUP(C1977,Customers!A:F,3,0),"")</f>
        <v>57</v>
      </c>
      <c r="P1977">
        <f>IFERROR(VLOOKUP(D1977,Products!A:F,4,0),"")</f>
        <v>2028</v>
      </c>
      <c r="Q1977" t="b">
        <f>IFERROR(VLOOKUP(D1977,Products!A:F,6,0),"")</f>
        <v>1</v>
      </c>
      <c r="R1977">
        <f t="shared" si="90"/>
        <v>0.29090909090909089</v>
      </c>
      <c r="S1977">
        <f t="shared" si="91"/>
        <v>1</v>
      </c>
      <c r="T1977">
        <f>IF(AND(S1977&gt;1,COUNTIF($A$2:A1977,A1977)=1),1,0)</f>
        <v>0</v>
      </c>
      <c r="U1977">
        <f>COUNTIF(Customers!$A$2:$A$301,C1977)</f>
        <v>1</v>
      </c>
      <c r="V1977">
        <f t="shared" si="92"/>
        <v>0</v>
      </c>
    </row>
    <row r="1978" spans="1:22" ht="14.25" customHeight="1" x14ac:dyDescent="0.35">
      <c r="A1978" s="10" t="s">
        <v>2441</v>
      </c>
      <c r="B1978" s="11">
        <v>45589</v>
      </c>
      <c r="C1978" s="10" t="s">
        <v>909</v>
      </c>
      <c r="D1978" s="10" t="s">
        <v>61</v>
      </c>
      <c r="E1978" s="10" t="s">
        <v>92</v>
      </c>
      <c r="F1978" s="12">
        <v>3</v>
      </c>
      <c r="G1978" s="12">
        <v>470</v>
      </c>
      <c r="H1978" s="12">
        <v>14.2</v>
      </c>
      <c r="I1978" s="12">
        <v>1209.78</v>
      </c>
      <c r="J1978" s="10" t="s">
        <v>51</v>
      </c>
      <c r="K1978" s="10" t="s">
        <v>52</v>
      </c>
      <c r="L1978" t="str">
        <f>IFERROR(VLOOKUP(D1978,Products!A:F,3,0),"")</f>
        <v>Sports</v>
      </c>
      <c r="M1978" t="str">
        <f>IFERROR(VLOOKUP(E1978,Sales_Reps!A:E,3,0),"")</f>
        <v>West</v>
      </c>
      <c r="N1978" t="str">
        <f>IFERROR(VLOOKUP(C1978,Customers!A:F,5,0),"")</f>
        <v>Retail</v>
      </c>
      <c r="O1978">
        <f>IFERROR(VLOOKUP(C1978,Customers!A:F,3,0),"")</f>
        <v>54</v>
      </c>
      <c r="P1978">
        <f>IFERROR(VLOOKUP(D1978,Products!A:F,4,0),"")</f>
        <v>302</v>
      </c>
      <c r="Q1978" t="b">
        <f>IFERROR(VLOOKUP(D1978,Products!A:F,6,0),"")</f>
        <v>0</v>
      </c>
      <c r="R1978">
        <f t="shared" si="90"/>
        <v>0.35744680851063831</v>
      </c>
      <c r="S1978">
        <f t="shared" si="91"/>
        <v>1</v>
      </c>
      <c r="T1978">
        <f>IF(AND(S1978&gt;1,COUNTIF($A$2:A1978,A1978)=1),1,0)</f>
        <v>0</v>
      </c>
      <c r="U1978">
        <f>COUNTIF(Customers!$A$2:$A$301,C1978)</f>
        <v>1</v>
      </c>
      <c r="V1978">
        <f t="shared" si="92"/>
        <v>0</v>
      </c>
    </row>
    <row r="1979" spans="1:22" ht="14.25" customHeight="1" x14ac:dyDescent="0.35">
      <c r="A1979" s="10" t="s">
        <v>2442</v>
      </c>
      <c r="B1979" s="11">
        <v>45469</v>
      </c>
      <c r="C1979" s="10" t="s">
        <v>907</v>
      </c>
      <c r="D1979" s="10" t="s">
        <v>159</v>
      </c>
      <c r="E1979" s="10" t="s">
        <v>134</v>
      </c>
      <c r="F1979" s="12">
        <v>2</v>
      </c>
      <c r="G1979" s="12">
        <v>2860</v>
      </c>
      <c r="H1979" s="12">
        <v>17.899999999999999</v>
      </c>
      <c r="I1979" s="12">
        <v>4696.12</v>
      </c>
      <c r="J1979" s="10" t="s">
        <v>51</v>
      </c>
      <c r="K1979" s="10" t="s">
        <v>97</v>
      </c>
      <c r="L1979" t="str">
        <f>IFERROR(VLOOKUP(D1979,Products!A:F,3,0),"")</f>
        <v>Sports</v>
      </c>
      <c r="M1979" t="str">
        <f>IFERROR(VLOOKUP(E1979,Sales_Reps!A:E,3,0),"")</f>
        <v>West</v>
      </c>
      <c r="N1979" t="str">
        <f>IFERROR(VLOOKUP(C1979,Customers!A:F,5,0),"")</f>
        <v>Corporate</v>
      </c>
      <c r="O1979">
        <f>IFERROR(VLOOKUP(C1979,Customers!A:F,3,0),"")</f>
        <v>54</v>
      </c>
      <c r="P1979">
        <f>IFERROR(VLOOKUP(D1979,Products!A:F,4,0),"")</f>
        <v>2028</v>
      </c>
      <c r="Q1979" t="b">
        <f>IFERROR(VLOOKUP(D1979,Products!A:F,6,0),"")</f>
        <v>1</v>
      </c>
      <c r="R1979">
        <f t="shared" si="90"/>
        <v>0.29090909090909089</v>
      </c>
      <c r="S1979">
        <f t="shared" si="91"/>
        <v>1</v>
      </c>
      <c r="T1979">
        <f>IF(AND(S1979&gt;1,COUNTIF($A$2:A1979,A1979)=1),1,0)</f>
        <v>0</v>
      </c>
      <c r="U1979">
        <f>COUNTIF(Customers!$A$2:$A$301,C1979)</f>
        <v>1</v>
      </c>
      <c r="V1979">
        <f t="shared" si="92"/>
        <v>0</v>
      </c>
    </row>
    <row r="1980" spans="1:22" ht="14.25" customHeight="1" x14ac:dyDescent="0.35">
      <c r="A1980" s="10" t="s">
        <v>2443</v>
      </c>
      <c r="B1980" s="11">
        <v>45407</v>
      </c>
      <c r="C1980" s="10" t="s">
        <v>1314</v>
      </c>
      <c r="D1980" s="10" t="s">
        <v>131</v>
      </c>
      <c r="E1980" s="10" t="s">
        <v>267</v>
      </c>
      <c r="F1980" s="12">
        <v>2</v>
      </c>
      <c r="G1980" s="12">
        <v>2480</v>
      </c>
      <c r="H1980" s="12">
        <v>11.5</v>
      </c>
      <c r="I1980" s="12">
        <v>4389.6000000000004</v>
      </c>
      <c r="J1980" s="10" t="s">
        <v>104</v>
      </c>
      <c r="K1980" s="10" t="s">
        <v>76</v>
      </c>
      <c r="L1980" t="str">
        <f>IFERROR(VLOOKUP(D1980,Products!A:F,3,0),"")</f>
        <v>Apparel</v>
      </c>
      <c r="M1980" t="str">
        <f>IFERROR(VLOOKUP(E1980,Sales_Reps!A:E,3,0),"")</f>
        <v>East</v>
      </c>
      <c r="N1980" t="str">
        <f>IFERROR(VLOOKUP(C1980,Customers!A:F,5,0),"")</f>
        <v>Retail</v>
      </c>
      <c r="O1980">
        <f>IFERROR(VLOOKUP(C1980,Customers!A:F,3,0),"")</f>
        <v>38</v>
      </c>
      <c r="P1980">
        <f>IFERROR(VLOOKUP(D1980,Products!A:F,4,0),"")</f>
        <v>1173</v>
      </c>
      <c r="Q1980" t="b">
        <f>IFERROR(VLOOKUP(D1980,Products!A:F,6,0),"")</f>
        <v>1</v>
      </c>
      <c r="R1980">
        <f t="shared" si="90"/>
        <v>0.52701612903225803</v>
      </c>
      <c r="S1980">
        <f t="shared" si="91"/>
        <v>1</v>
      </c>
      <c r="T1980">
        <f>IF(AND(S1980&gt;1,COUNTIF($A$2:A1980,A1980)=1),1,0)</f>
        <v>0</v>
      </c>
      <c r="U1980">
        <f>COUNTIF(Customers!$A$2:$A$301,C1980)</f>
        <v>1</v>
      </c>
      <c r="V1980">
        <f t="shared" si="92"/>
        <v>0</v>
      </c>
    </row>
    <row r="1981" spans="1:22" ht="14.25" customHeight="1" x14ac:dyDescent="0.35">
      <c r="A1981" s="10" t="s">
        <v>2444</v>
      </c>
      <c r="B1981" s="11">
        <v>45635</v>
      </c>
      <c r="C1981" s="10" t="s">
        <v>970</v>
      </c>
      <c r="D1981" s="10" t="s">
        <v>259</v>
      </c>
      <c r="E1981" s="10" t="s">
        <v>67</v>
      </c>
      <c r="F1981" s="12">
        <v>10</v>
      </c>
      <c r="G1981" s="12">
        <v>2030</v>
      </c>
      <c r="H1981" s="12">
        <v>29.2</v>
      </c>
      <c r="I1981" s="12">
        <v>14372.4</v>
      </c>
      <c r="J1981" s="10" t="s">
        <v>51</v>
      </c>
      <c r="K1981" s="10" t="s">
        <v>81</v>
      </c>
      <c r="L1981" t="str">
        <f>IFERROR(VLOOKUP(D1981,Products!A:F,3,0),"")</f>
        <v>Home</v>
      </c>
      <c r="M1981" t="str">
        <f>IFERROR(VLOOKUP(E1981,Sales_Reps!A:E,3,0),"")</f>
        <v>North</v>
      </c>
      <c r="N1981" t="str">
        <f>IFERROR(VLOOKUP(C1981,Customers!A:F,5,0),"")</f>
        <v>SMB</v>
      </c>
      <c r="O1981">
        <f>IFERROR(VLOOKUP(C1981,Customers!A:F,3,0),"")</f>
        <v>44</v>
      </c>
      <c r="P1981">
        <f>IFERROR(VLOOKUP(D1981,Products!A:F,4,0),"")</f>
        <v>1143</v>
      </c>
      <c r="Q1981" t="b">
        <f>IFERROR(VLOOKUP(D1981,Products!A:F,6,0),"")</f>
        <v>1</v>
      </c>
      <c r="R1981">
        <f t="shared" si="90"/>
        <v>0.43694581280788175</v>
      </c>
      <c r="S1981">
        <f t="shared" si="91"/>
        <v>1</v>
      </c>
      <c r="T1981">
        <f>IF(AND(S1981&gt;1,COUNTIF($A$2:A1981,A1981)=1),1,0)</f>
        <v>0</v>
      </c>
      <c r="U1981">
        <f>COUNTIF(Customers!$A$2:$A$301,C1981)</f>
        <v>1</v>
      </c>
      <c r="V1981">
        <f t="shared" si="92"/>
        <v>0</v>
      </c>
    </row>
    <row r="1982" spans="1:22" ht="14.25" customHeight="1" x14ac:dyDescent="0.35">
      <c r="A1982" s="10" t="s">
        <v>2445</v>
      </c>
      <c r="B1982" s="11">
        <v>45489</v>
      </c>
      <c r="C1982" s="10" t="s">
        <v>158</v>
      </c>
      <c r="D1982" s="10" t="s">
        <v>121</v>
      </c>
      <c r="E1982" s="10" t="s">
        <v>289</v>
      </c>
      <c r="F1982" s="12">
        <v>6</v>
      </c>
      <c r="G1982" s="12">
        <v>3450</v>
      </c>
      <c r="H1982" s="12">
        <v>3.5</v>
      </c>
      <c r="I1982" s="12">
        <v>19975.5</v>
      </c>
      <c r="J1982" s="10" t="s">
        <v>108</v>
      </c>
      <c r="K1982" s="10" t="s">
        <v>52</v>
      </c>
      <c r="L1982" t="str">
        <f>IFERROR(VLOOKUP(D1982,Products!A:F,3,0),"")</f>
        <v>Beauty</v>
      </c>
      <c r="M1982" t="str">
        <f>IFERROR(VLOOKUP(E1982,Sales_Reps!A:E,3,0),"")</f>
        <v>South</v>
      </c>
      <c r="N1982" t="str">
        <f>IFERROR(VLOOKUP(C1982,Customers!A:F,5,0),"")</f>
        <v>SMB</v>
      </c>
      <c r="O1982">
        <f>IFERROR(VLOOKUP(C1982,Customers!A:F,3,0),"")</f>
        <v>44</v>
      </c>
      <c r="P1982">
        <f>IFERROR(VLOOKUP(D1982,Products!A:F,4,0),"")</f>
        <v>2420</v>
      </c>
      <c r="Q1982" t="b">
        <f>IFERROR(VLOOKUP(D1982,Products!A:F,6,0),"")</f>
        <v>1</v>
      </c>
      <c r="R1982">
        <f t="shared" si="90"/>
        <v>0.29855072463768118</v>
      </c>
      <c r="S1982">
        <f t="shared" si="91"/>
        <v>1</v>
      </c>
      <c r="T1982">
        <f>IF(AND(S1982&gt;1,COUNTIF($A$2:A1982,A1982)=1),1,0)</f>
        <v>0</v>
      </c>
      <c r="U1982">
        <f>COUNTIF(Customers!$A$2:$A$301,C1982)</f>
        <v>1</v>
      </c>
      <c r="V1982">
        <f t="shared" si="92"/>
        <v>0</v>
      </c>
    </row>
    <row r="1983" spans="1:22" ht="14.25" customHeight="1" x14ac:dyDescent="0.35">
      <c r="A1983" s="10" t="s">
        <v>2446</v>
      </c>
      <c r="B1983" s="11">
        <v>45356</v>
      </c>
      <c r="C1983" s="10" t="s">
        <v>566</v>
      </c>
      <c r="D1983" s="10" t="s">
        <v>84</v>
      </c>
      <c r="E1983" s="10" t="s">
        <v>237</v>
      </c>
      <c r="F1983" s="12">
        <v>10</v>
      </c>
      <c r="G1983" s="12">
        <v>1430</v>
      </c>
      <c r="H1983" s="12">
        <v>3.5</v>
      </c>
      <c r="I1983" s="12">
        <v>13799.5</v>
      </c>
      <c r="J1983" s="10" t="s">
        <v>51</v>
      </c>
      <c r="K1983" s="10" t="s">
        <v>58</v>
      </c>
      <c r="L1983" t="str">
        <f>IFERROR(VLOOKUP(D1983,Products!A:F,3,0),"")</f>
        <v>Electronics</v>
      </c>
      <c r="M1983" t="str">
        <f>IFERROR(VLOOKUP(E1983,Sales_Reps!A:E,3,0),"")</f>
        <v>South</v>
      </c>
      <c r="N1983" t="str">
        <f>IFERROR(VLOOKUP(C1983,Customers!A:F,5,0),"")</f>
        <v>Retail</v>
      </c>
      <c r="O1983">
        <f>IFERROR(VLOOKUP(C1983,Customers!A:F,3,0),"")</f>
        <v>61</v>
      </c>
      <c r="P1983">
        <f>IFERROR(VLOOKUP(D1983,Products!A:F,4,0),"")</f>
        <v>861</v>
      </c>
      <c r="Q1983" t="b">
        <f>IFERROR(VLOOKUP(D1983,Products!A:F,6,0),"")</f>
        <v>1</v>
      </c>
      <c r="R1983">
        <f t="shared" si="90"/>
        <v>0.39790209790209791</v>
      </c>
      <c r="S1983">
        <f t="shared" si="91"/>
        <v>1</v>
      </c>
      <c r="T1983">
        <f>IF(AND(S1983&gt;1,COUNTIF($A$2:A1983,A1983)=1),1,0)</f>
        <v>0</v>
      </c>
      <c r="U1983">
        <f>COUNTIF(Customers!$A$2:$A$301,C1983)</f>
        <v>1</v>
      </c>
      <c r="V1983">
        <f t="shared" si="92"/>
        <v>0</v>
      </c>
    </row>
    <row r="1984" spans="1:22" ht="14.25" customHeight="1" x14ac:dyDescent="0.35">
      <c r="A1984" s="10" t="s">
        <v>2447</v>
      </c>
      <c r="B1984" s="11">
        <v>45422</v>
      </c>
      <c r="C1984" s="10" t="s">
        <v>549</v>
      </c>
      <c r="D1984" s="10" t="s">
        <v>55</v>
      </c>
      <c r="E1984" s="10" t="s">
        <v>202</v>
      </c>
      <c r="F1984" s="12">
        <v>1</v>
      </c>
      <c r="G1984" s="12">
        <v>820</v>
      </c>
      <c r="H1984" s="12">
        <v>14.5</v>
      </c>
      <c r="I1984" s="12">
        <v>701.1</v>
      </c>
      <c r="J1984" s="10" t="s">
        <v>104</v>
      </c>
      <c r="K1984" s="10" t="s">
        <v>58</v>
      </c>
      <c r="L1984" t="str">
        <f>IFERROR(VLOOKUP(D1984,Products!A:F,3,0),"")</f>
        <v>Apparel</v>
      </c>
      <c r="M1984" t="str">
        <f>IFERROR(VLOOKUP(E1984,Sales_Reps!A:E,3,0),"")</f>
        <v>East</v>
      </c>
      <c r="N1984" t="str">
        <f>IFERROR(VLOOKUP(C1984,Customers!A:F,5,0),"")</f>
        <v>Retail</v>
      </c>
      <c r="O1984">
        <f>IFERROR(VLOOKUP(C1984,Customers!A:F,3,0),"")</f>
        <v>26</v>
      </c>
      <c r="P1984">
        <f>IFERROR(VLOOKUP(D1984,Products!A:F,4,0),"")</f>
        <v>391</v>
      </c>
      <c r="Q1984" t="b">
        <f>IFERROR(VLOOKUP(D1984,Products!A:F,6,0),"")</f>
        <v>1</v>
      </c>
      <c r="R1984">
        <f t="shared" si="90"/>
        <v>0.52317073170731709</v>
      </c>
      <c r="S1984">
        <f t="shared" si="91"/>
        <v>1</v>
      </c>
      <c r="T1984">
        <f>IF(AND(S1984&gt;1,COUNTIF($A$2:A1984,A1984)=1),1,0)</f>
        <v>0</v>
      </c>
      <c r="U1984">
        <f>COUNTIF(Customers!$A$2:$A$301,C1984)</f>
        <v>1</v>
      </c>
      <c r="V1984">
        <f t="shared" si="92"/>
        <v>0</v>
      </c>
    </row>
    <row r="1985" spans="1:22" ht="14.25" customHeight="1" x14ac:dyDescent="0.35">
      <c r="A1985" s="10" t="s">
        <v>2448</v>
      </c>
      <c r="B1985" s="11">
        <v>45333</v>
      </c>
      <c r="C1985" s="10" t="s">
        <v>1002</v>
      </c>
      <c r="D1985" s="10" t="s">
        <v>148</v>
      </c>
      <c r="E1985" s="10" t="s">
        <v>118</v>
      </c>
      <c r="F1985" s="12">
        <v>5</v>
      </c>
      <c r="G1985" s="12">
        <v>4880</v>
      </c>
      <c r="H1985" s="12">
        <v>1.8</v>
      </c>
      <c r="I1985" s="12">
        <v>23960.799999999999</v>
      </c>
      <c r="J1985" s="10" t="s">
        <v>51</v>
      </c>
      <c r="K1985" s="10" t="s">
        <v>81</v>
      </c>
      <c r="L1985" t="str">
        <f>IFERROR(VLOOKUP(D1985,Products!A:F,3,0),"")</f>
        <v>Beauty</v>
      </c>
      <c r="M1985" t="str">
        <f>IFERROR(VLOOKUP(E1985,Sales_Reps!A:E,3,0),"")</f>
        <v>East</v>
      </c>
      <c r="N1985" t="str">
        <f>IFERROR(VLOOKUP(C1985,Customers!A:F,5,0),"")</f>
        <v>Corporate</v>
      </c>
      <c r="O1985">
        <f>IFERROR(VLOOKUP(C1985,Customers!A:F,3,0),"")</f>
        <v>55</v>
      </c>
      <c r="P1985">
        <f>IFERROR(VLOOKUP(D1985,Products!A:F,4,0),"")</f>
        <v>2768</v>
      </c>
      <c r="Q1985" t="b">
        <f>IFERROR(VLOOKUP(D1985,Products!A:F,6,0),"")</f>
        <v>1</v>
      </c>
      <c r="R1985">
        <f t="shared" si="90"/>
        <v>0.43278688524590164</v>
      </c>
      <c r="S1985">
        <f t="shared" si="91"/>
        <v>1</v>
      </c>
      <c r="T1985">
        <f>IF(AND(S1985&gt;1,COUNTIF($A$2:A1985,A1985)=1),1,0)</f>
        <v>0</v>
      </c>
      <c r="U1985">
        <f>COUNTIF(Customers!$A$2:$A$301,C1985)</f>
        <v>1</v>
      </c>
      <c r="V1985">
        <f t="shared" si="92"/>
        <v>0</v>
      </c>
    </row>
    <row r="1986" spans="1:22" ht="14.25" customHeight="1" x14ac:dyDescent="0.35">
      <c r="A1986" s="10" t="s">
        <v>2449</v>
      </c>
      <c r="B1986" s="11">
        <v>45385</v>
      </c>
      <c r="C1986" s="10" t="s">
        <v>73</v>
      </c>
      <c r="D1986" s="10" t="s">
        <v>143</v>
      </c>
      <c r="E1986" s="10" t="s">
        <v>310</v>
      </c>
      <c r="F1986" s="12">
        <v>8</v>
      </c>
      <c r="G1986" s="12">
        <v>3350</v>
      </c>
      <c r="H1986" s="12">
        <v>26.3</v>
      </c>
      <c r="I1986" s="12">
        <v>19751.599999999999</v>
      </c>
      <c r="J1986" s="10" t="s">
        <v>104</v>
      </c>
      <c r="K1986" s="10" t="s">
        <v>76</v>
      </c>
      <c r="L1986" t="str">
        <f>IFERROR(VLOOKUP(D1986,Products!A:F,3,0),"")</f>
        <v>Beauty</v>
      </c>
      <c r="M1986" t="str">
        <f>IFERROR(VLOOKUP(E1986,Sales_Reps!A:E,3,0),"")</f>
        <v>South</v>
      </c>
      <c r="N1986" t="str">
        <f>IFERROR(VLOOKUP(C1986,Customers!A:F,5,0),"")</f>
        <v>Retail</v>
      </c>
      <c r="O1986">
        <f>IFERROR(VLOOKUP(C1986,Customers!A:F,3,0),"")</f>
        <v>36</v>
      </c>
      <c r="P1986">
        <f>IFERROR(VLOOKUP(D1986,Products!A:F,4,0),"")</f>
        <v>1728</v>
      </c>
      <c r="Q1986" t="b">
        <f>IFERROR(VLOOKUP(D1986,Products!A:F,6,0),"")</f>
        <v>1</v>
      </c>
      <c r="R1986">
        <f t="shared" ref="R1986:R2001" si="93">IFERROR((G1986-P1986)/G1986,"")</f>
        <v>0.48417910447761192</v>
      </c>
      <c r="S1986">
        <f t="shared" ref="S1986:S2001" si="94">COUNTIF($A$2:$A$2001,A1986)</f>
        <v>1</v>
      </c>
      <c r="T1986">
        <f>IF(AND(S1986&gt;1,COUNTIF($A$2:A1986,A1986)=1),1,0)</f>
        <v>0</v>
      </c>
      <c r="U1986">
        <f>COUNTIF(Customers!$A$2:$A$301,C1986)</f>
        <v>1</v>
      </c>
      <c r="V1986">
        <f t="shared" ref="V1986:V2001" si="95">IF(AND(K1986="Bengaluru",L1986="Grocery"),I1986,0)</f>
        <v>0</v>
      </c>
    </row>
    <row r="1987" spans="1:22" ht="14.25" customHeight="1" x14ac:dyDescent="0.35">
      <c r="A1987" s="10" t="s">
        <v>2450</v>
      </c>
      <c r="B1987" s="11">
        <v>45298</v>
      </c>
      <c r="C1987" s="10" t="s">
        <v>130</v>
      </c>
      <c r="D1987" s="10" t="s">
        <v>131</v>
      </c>
      <c r="E1987" s="10" t="s">
        <v>249</v>
      </c>
      <c r="F1987" s="12">
        <v>9</v>
      </c>
      <c r="G1987" s="12">
        <v>2480</v>
      </c>
      <c r="H1987" s="12">
        <v>24.3</v>
      </c>
      <c r="I1987" s="12">
        <v>16896.240000000002</v>
      </c>
      <c r="J1987" s="10" t="s">
        <v>51</v>
      </c>
      <c r="K1987" s="10" t="s">
        <v>97</v>
      </c>
      <c r="L1987" t="str">
        <f>IFERROR(VLOOKUP(D1987,Products!A:F,3,0),"")</f>
        <v>Apparel</v>
      </c>
      <c r="M1987" t="str">
        <f>IFERROR(VLOOKUP(E1987,Sales_Reps!A:E,3,0),"")</f>
        <v>East</v>
      </c>
      <c r="N1987" t="str">
        <f>IFERROR(VLOOKUP(C1987,Customers!A:F,5,0),"")</f>
        <v>Retail</v>
      </c>
      <c r="O1987">
        <f>IFERROR(VLOOKUP(C1987,Customers!A:F,3,0),"")</f>
        <v>32</v>
      </c>
      <c r="P1987">
        <f>IFERROR(VLOOKUP(D1987,Products!A:F,4,0),"")</f>
        <v>1173</v>
      </c>
      <c r="Q1987" t="b">
        <f>IFERROR(VLOOKUP(D1987,Products!A:F,6,0),"")</f>
        <v>1</v>
      </c>
      <c r="R1987">
        <f t="shared" si="93"/>
        <v>0.52701612903225803</v>
      </c>
      <c r="S1987">
        <f t="shared" si="94"/>
        <v>1</v>
      </c>
      <c r="T1987">
        <f>IF(AND(S1987&gt;1,COUNTIF($A$2:A1987,A1987)=1),1,0)</f>
        <v>0</v>
      </c>
      <c r="U1987">
        <f>COUNTIF(Customers!$A$2:$A$301,C1987)</f>
        <v>1</v>
      </c>
      <c r="V1987">
        <f t="shared" si="95"/>
        <v>0</v>
      </c>
    </row>
    <row r="1988" spans="1:22" ht="14.25" customHeight="1" x14ac:dyDescent="0.35">
      <c r="A1988" s="10" t="s">
        <v>2451</v>
      </c>
      <c r="B1988" s="11">
        <v>45500</v>
      </c>
      <c r="C1988" s="10" t="s">
        <v>195</v>
      </c>
      <c r="D1988" s="10" t="s">
        <v>234</v>
      </c>
      <c r="E1988" s="10" t="s">
        <v>80</v>
      </c>
      <c r="F1988" s="12">
        <v>9</v>
      </c>
      <c r="G1988" s="12">
        <v>4610</v>
      </c>
      <c r="H1988" s="12">
        <v>10</v>
      </c>
      <c r="I1988" s="12">
        <v>37341</v>
      </c>
      <c r="J1988" s="10" t="s">
        <v>51</v>
      </c>
      <c r="K1988" s="10" t="s">
        <v>81</v>
      </c>
      <c r="L1988" t="str">
        <f>IFERROR(VLOOKUP(D1988,Products!A:F,3,0),"")</f>
        <v>Home</v>
      </c>
      <c r="M1988" t="str">
        <f>IFERROR(VLOOKUP(E1988,Sales_Reps!A:E,3,0),"")</f>
        <v>West</v>
      </c>
      <c r="N1988" t="str">
        <f>IFERROR(VLOOKUP(C1988,Customers!A:F,5,0),"")</f>
        <v>SMB</v>
      </c>
      <c r="O1988">
        <f>IFERROR(VLOOKUP(C1988,Customers!A:F,3,0),"")</f>
        <v>64</v>
      </c>
      <c r="P1988">
        <f>IFERROR(VLOOKUP(D1988,Products!A:F,4,0),"")</f>
        <v>1850</v>
      </c>
      <c r="Q1988" t="b">
        <f>IFERROR(VLOOKUP(D1988,Products!A:F,6,0),"")</f>
        <v>1</v>
      </c>
      <c r="R1988">
        <f t="shared" si="93"/>
        <v>0.59869848156182215</v>
      </c>
      <c r="S1988">
        <f t="shared" si="94"/>
        <v>1</v>
      </c>
      <c r="T1988">
        <f>IF(AND(S1988&gt;1,COUNTIF($A$2:A1988,A1988)=1),1,0)</f>
        <v>0</v>
      </c>
      <c r="U1988">
        <f>COUNTIF(Customers!$A$2:$A$301,C1988)</f>
        <v>1</v>
      </c>
      <c r="V1988">
        <f t="shared" si="95"/>
        <v>0</v>
      </c>
    </row>
    <row r="1989" spans="1:22" ht="14.25" customHeight="1" x14ac:dyDescent="0.35">
      <c r="A1989" s="10" t="s">
        <v>2452</v>
      </c>
      <c r="B1989" s="11">
        <v>45409</v>
      </c>
      <c r="C1989" s="10" t="s">
        <v>1015</v>
      </c>
      <c r="D1989" s="10" t="s">
        <v>198</v>
      </c>
      <c r="E1989" s="10" t="s">
        <v>103</v>
      </c>
      <c r="F1989" s="12">
        <v>1</v>
      </c>
      <c r="G1989" s="12">
        <v>3780</v>
      </c>
      <c r="H1989" s="12">
        <v>2.2000000000000002</v>
      </c>
      <c r="I1989" s="12">
        <v>3696.84</v>
      </c>
      <c r="J1989" s="10" t="s">
        <v>51</v>
      </c>
      <c r="K1989" s="10" t="s">
        <v>76</v>
      </c>
      <c r="L1989" t="str">
        <f>IFERROR(VLOOKUP(D1989,Products!A:F,3,0),"")</f>
        <v>Grocery</v>
      </c>
      <c r="M1989" t="str">
        <f>IFERROR(VLOOKUP(E1989,Sales_Reps!A:E,3,0),"")</f>
        <v>North</v>
      </c>
      <c r="N1989" t="str">
        <f>IFERROR(VLOOKUP(C1989,Customers!A:F,5,0),"")</f>
        <v>Retail</v>
      </c>
      <c r="O1989">
        <f>IFERROR(VLOOKUP(C1989,Customers!A:F,3,0),"")</f>
        <v>54</v>
      </c>
      <c r="P1989">
        <f>IFERROR(VLOOKUP(D1989,Products!A:F,4,0),"")</f>
        <v>2436</v>
      </c>
      <c r="Q1989" t="b">
        <f>IFERROR(VLOOKUP(D1989,Products!A:F,6,0),"")</f>
        <v>1</v>
      </c>
      <c r="R1989">
        <f t="shared" si="93"/>
        <v>0.35555555555555557</v>
      </c>
      <c r="S1989">
        <f t="shared" si="94"/>
        <v>1</v>
      </c>
      <c r="T1989">
        <f>IF(AND(S1989&gt;1,COUNTIF($A$2:A1989,A1989)=1),1,0)</f>
        <v>0</v>
      </c>
      <c r="U1989">
        <f>COUNTIF(Customers!$A$2:$A$301,C1989)</f>
        <v>1</v>
      </c>
      <c r="V1989">
        <f t="shared" si="95"/>
        <v>0</v>
      </c>
    </row>
    <row r="1990" spans="1:22" ht="14.25" customHeight="1" x14ac:dyDescent="0.35">
      <c r="A1990" s="10" t="s">
        <v>2453</v>
      </c>
      <c r="B1990" s="11">
        <v>45401</v>
      </c>
      <c r="C1990" s="10" t="s">
        <v>669</v>
      </c>
      <c r="D1990" s="10" t="s">
        <v>240</v>
      </c>
      <c r="E1990" s="10" t="s">
        <v>165</v>
      </c>
      <c r="F1990" s="12">
        <v>3</v>
      </c>
      <c r="G1990" s="12">
        <v>3020</v>
      </c>
      <c r="H1990" s="12">
        <v>21.4</v>
      </c>
      <c r="I1990" s="12">
        <v>7121.16</v>
      </c>
      <c r="J1990" s="10" t="s">
        <v>104</v>
      </c>
      <c r="K1990" s="10" t="s">
        <v>63</v>
      </c>
      <c r="L1990" t="str">
        <f>IFERROR(VLOOKUP(D1990,Products!A:F,3,0),"")</f>
        <v>Beauty</v>
      </c>
      <c r="M1990" t="str">
        <f>IFERROR(VLOOKUP(E1990,Sales_Reps!A:E,3,0),"")</f>
        <v>West</v>
      </c>
      <c r="N1990" t="str">
        <f>IFERROR(VLOOKUP(C1990,Customers!A:F,5,0),"")</f>
        <v>Retail</v>
      </c>
      <c r="O1990">
        <f>IFERROR(VLOOKUP(C1990,Customers!A:F,3,0),"")</f>
        <v>53</v>
      </c>
      <c r="P1990">
        <f>IFERROR(VLOOKUP(D1990,Products!A:F,4,0),"")</f>
        <v>1626</v>
      </c>
      <c r="Q1990" t="b">
        <f>IFERROR(VLOOKUP(D1990,Products!A:F,6,0),"")</f>
        <v>1</v>
      </c>
      <c r="R1990">
        <f t="shared" si="93"/>
        <v>0.46158940397350995</v>
      </c>
      <c r="S1990">
        <f t="shared" si="94"/>
        <v>1</v>
      </c>
      <c r="T1990">
        <f>IF(AND(S1990&gt;1,COUNTIF($A$2:A1990,A1990)=1),1,0)</f>
        <v>0</v>
      </c>
      <c r="U1990">
        <f>COUNTIF(Customers!$A$2:$A$301,C1990)</f>
        <v>1</v>
      </c>
      <c r="V1990">
        <f t="shared" si="95"/>
        <v>0</v>
      </c>
    </row>
    <row r="1991" spans="1:22" ht="14.25" customHeight="1" x14ac:dyDescent="0.35">
      <c r="A1991" s="10" t="s">
        <v>2454</v>
      </c>
      <c r="B1991" s="11">
        <v>45645</v>
      </c>
      <c r="C1991" s="10" t="s">
        <v>130</v>
      </c>
      <c r="D1991" s="10" t="s">
        <v>466</v>
      </c>
      <c r="E1991" s="10" t="s">
        <v>67</v>
      </c>
      <c r="F1991" s="12">
        <v>10</v>
      </c>
      <c r="G1991" s="12">
        <v>1090</v>
      </c>
      <c r="H1991" s="12">
        <v>29.2</v>
      </c>
      <c r="I1991" s="12">
        <v>7717.2</v>
      </c>
      <c r="J1991" s="10" t="s">
        <v>104</v>
      </c>
      <c r="K1991" s="10" t="s">
        <v>97</v>
      </c>
      <c r="L1991" t="str">
        <f>IFERROR(VLOOKUP(D1991,Products!A:F,3,0),"")</f>
        <v>Home</v>
      </c>
      <c r="M1991" t="str">
        <f>IFERROR(VLOOKUP(E1991,Sales_Reps!A:E,3,0),"")</f>
        <v>North</v>
      </c>
      <c r="N1991" t="str">
        <f>IFERROR(VLOOKUP(C1991,Customers!A:F,5,0),"")</f>
        <v>Retail</v>
      </c>
      <c r="O1991">
        <f>IFERROR(VLOOKUP(C1991,Customers!A:F,3,0),"")</f>
        <v>32</v>
      </c>
      <c r="P1991">
        <f>IFERROR(VLOOKUP(D1991,Products!A:F,4,0),"")</f>
        <v>464</v>
      </c>
      <c r="Q1991" t="b">
        <f>IFERROR(VLOOKUP(D1991,Products!A:F,6,0),"")</f>
        <v>1</v>
      </c>
      <c r="R1991">
        <f t="shared" si="93"/>
        <v>0.57431192660550456</v>
      </c>
      <c r="S1991">
        <f t="shared" si="94"/>
        <v>1</v>
      </c>
      <c r="T1991">
        <f>IF(AND(S1991&gt;1,COUNTIF($A$2:A1991,A1991)=1),1,0)</f>
        <v>0</v>
      </c>
      <c r="U1991">
        <f>COUNTIF(Customers!$A$2:$A$301,C1991)</f>
        <v>1</v>
      </c>
      <c r="V1991">
        <f t="shared" si="95"/>
        <v>0</v>
      </c>
    </row>
    <row r="1992" spans="1:22" ht="14.25" customHeight="1" x14ac:dyDescent="0.35">
      <c r="A1992" s="10" t="s">
        <v>2455</v>
      </c>
      <c r="B1992" s="11">
        <v>45616</v>
      </c>
      <c r="C1992" s="10" t="s">
        <v>1068</v>
      </c>
      <c r="D1992" s="10" t="s">
        <v>155</v>
      </c>
      <c r="E1992" s="10" t="s">
        <v>216</v>
      </c>
      <c r="F1992" s="12">
        <v>5</v>
      </c>
      <c r="G1992" s="12">
        <v>5100</v>
      </c>
      <c r="H1992" s="12">
        <v>28.4</v>
      </c>
      <c r="I1992" s="12">
        <v>18258</v>
      </c>
      <c r="J1992" s="10" t="s">
        <v>51</v>
      </c>
      <c r="K1992" s="10" t="s">
        <v>81</v>
      </c>
      <c r="L1992" t="str">
        <f>IFERROR(VLOOKUP(D1992,Products!A:F,3,0),"")</f>
        <v>Beauty</v>
      </c>
      <c r="M1992" t="str">
        <f>IFERROR(VLOOKUP(E1992,Sales_Reps!A:E,3,0),"")</f>
        <v>South</v>
      </c>
      <c r="N1992" t="str">
        <f>IFERROR(VLOOKUP(C1992,Customers!A:F,5,0),"")</f>
        <v>Corporate</v>
      </c>
      <c r="O1992">
        <f>IFERROR(VLOOKUP(C1992,Customers!A:F,3,0),"")</f>
        <v>31</v>
      </c>
      <c r="P1992">
        <f>IFERROR(VLOOKUP(D1992,Products!A:F,4,0),"")</f>
        <v>2237</v>
      </c>
      <c r="Q1992" t="b">
        <f>IFERROR(VLOOKUP(D1992,Products!A:F,6,0),"")</f>
        <v>1</v>
      </c>
      <c r="R1992">
        <f t="shared" si="93"/>
        <v>0.56137254901960787</v>
      </c>
      <c r="S1992">
        <f t="shared" si="94"/>
        <v>1</v>
      </c>
      <c r="T1992">
        <f>IF(AND(S1992&gt;1,COUNTIF($A$2:A1992,A1992)=1),1,0)</f>
        <v>0</v>
      </c>
      <c r="U1992">
        <f>COUNTIF(Customers!$A$2:$A$301,C1992)</f>
        <v>1</v>
      </c>
      <c r="V1992">
        <f t="shared" si="95"/>
        <v>0</v>
      </c>
    </row>
    <row r="1993" spans="1:22" ht="14.25" customHeight="1" x14ac:dyDescent="0.35">
      <c r="A1993" s="10" t="s">
        <v>2456</v>
      </c>
      <c r="B1993" s="11">
        <v>45352</v>
      </c>
      <c r="C1993" s="10" t="s">
        <v>546</v>
      </c>
      <c r="D1993" s="10" t="s">
        <v>148</v>
      </c>
      <c r="E1993" s="10" t="s">
        <v>71</v>
      </c>
      <c r="F1993" s="12">
        <v>6</v>
      </c>
      <c r="G1993" s="12">
        <v>4880</v>
      </c>
      <c r="H1993" s="12">
        <v>16.8</v>
      </c>
      <c r="I1993" s="12">
        <v>24360.959999999999</v>
      </c>
      <c r="J1993" s="10" t="s">
        <v>51</v>
      </c>
      <c r="K1993" s="10" t="s">
        <v>58</v>
      </c>
      <c r="L1993" t="str">
        <f>IFERROR(VLOOKUP(D1993,Products!A:F,3,0),"")</f>
        <v>Beauty</v>
      </c>
      <c r="M1993" t="str">
        <f>IFERROR(VLOOKUP(E1993,Sales_Reps!A:E,3,0),"")</f>
        <v>North</v>
      </c>
      <c r="N1993" t="str">
        <f>IFERROR(VLOOKUP(C1993,Customers!A:F,5,0),"")</f>
        <v>SMB</v>
      </c>
      <c r="O1993">
        <f>IFERROR(VLOOKUP(C1993,Customers!A:F,3,0),"")</f>
        <v>59</v>
      </c>
      <c r="P1993">
        <f>IFERROR(VLOOKUP(D1993,Products!A:F,4,0),"")</f>
        <v>2768</v>
      </c>
      <c r="Q1993" t="b">
        <f>IFERROR(VLOOKUP(D1993,Products!A:F,6,0),"")</f>
        <v>1</v>
      </c>
      <c r="R1993">
        <f t="shared" si="93"/>
        <v>0.43278688524590164</v>
      </c>
      <c r="S1993">
        <f t="shared" si="94"/>
        <v>1</v>
      </c>
      <c r="T1993">
        <f>IF(AND(S1993&gt;1,COUNTIF($A$2:A1993,A1993)=1),1,0)</f>
        <v>0</v>
      </c>
      <c r="U1993">
        <f>COUNTIF(Customers!$A$2:$A$301,C1993)</f>
        <v>1</v>
      </c>
      <c r="V1993">
        <f t="shared" si="95"/>
        <v>0</v>
      </c>
    </row>
    <row r="1994" spans="1:22" ht="14.25" customHeight="1" x14ac:dyDescent="0.35">
      <c r="A1994" s="10" t="s">
        <v>2457</v>
      </c>
      <c r="B1994" s="11">
        <v>45451</v>
      </c>
      <c r="C1994" s="10" t="s">
        <v>661</v>
      </c>
      <c r="D1994" s="10" t="s">
        <v>328</v>
      </c>
      <c r="E1994" s="10" t="s">
        <v>307</v>
      </c>
      <c r="F1994" s="12">
        <v>1</v>
      </c>
      <c r="G1994" s="12">
        <v>5330</v>
      </c>
      <c r="H1994" s="12">
        <v>27.5</v>
      </c>
      <c r="I1994" s="12">
        <v>3864.25</v>
      </c>
      <c r="J1994" s="10" t="s">
        <v>51</v>
      </c>
      <c r="K1994" s="10" t="s">
        <v>97</v>
      </c>
      <c r="L1994" t="str">
        <f>IFERROR(VLOOKUP(D1994,Products!A:F,3,0),"")</f>
        <v>Electronics</v>
      </c>
      <c r="M1994" t="str">
        <f>IFERROR(VLOOKUP(E1994,Sales_Reps!A:E,3,0),"")</f>
        <v>West</v>
      </c>
      <c r="N1994" t="str">
        <f>IFERROR(VLOOKUP(C1994,Customers!A:F,5,0),"")</f>
        <v>Retail</v>
      </c>
      <c r="O1994">
        <f>IFERROR(VLOOKUP(C1994,Customers!A:F,3,0),"")</f>
        <v>65</v>
      </c>
      <c r="P1994">
        <f>IFERROR(VLOOKUP(D1994,Products!A:F,4,0),"")</f>
        <v>2405</v>
      </c>
      <c r="Q1994" t="b">
        <f>IFERROR(VLOOKUP(D1994,Products!A:F,6,0),"")</f>
        <v>1</v>
      </c>
      <c r="R1994">
        <f t="shared" si="93"/>
        <v>0.54878048780487809</v>
      </c>
      <c r="S1994">
        <f t="shared" si="94"/>
        <v>1</v>
      </c>
      <c r="T1994">
        <f>IF(AND(S1994&gt;1,COUNTIF($A$2:A1994,A1994)=1),1,0)</f>
        <v>0</v>
      </c>
      <c r="U1994">
        <f>COUNTIF(Customers!$A$2:$A$301,C1994)</f>
        <v>1</v>
      </c>
      <c r="V1994">
        <f t="shared" si="95"/>
        <v>0</v>
      </c>
    </row>
    <row r="1995" spans="1:22" ht="14.25" customHeight="1" x14ac:dyDescent="0.35">
      <c r="A1995" s="10" t="s">
        <v>2458</v>
      </c>
      <c r="B1995" s="11">
        <v>45477</v>
      </c>
      <c r="C1995" s="10" t="s">
        <v>106</v>
      </c>
      <c r="D1995" s="10" t="s">
        <v>259</v>
      </c>
      <c r="E1995" s="10" t="s">
        <v>193</v>
      </c>
      <c r="F1995" s="12">
        <v>7</v>
      </c>
      <c r="G1995" s="12">
        <v>2030</v>
      </c>
      <c r="H1995" s="12">
        <v>5.3</v>
      </c>
      <c r="I1995" s="12">
        <v>13456.87</v>
      </c>
      <c r="J1995" s="10" t="s">
        <v>104</v>
      </c>
      <c r="K1995" s="10" t="s">
        <v>52</v>
      </c>
      <c r="L1995" t="str">
        <f>IFERROR(VLOOKUP(D1995,Products!A:F,3,0),"")</f>
        <v>Home</v>
      </c>
      <c r="M1995" t="str">
        <f>IFERROR(VLOOKUP(E1995,Sales_Reps!A:E,3,0),"")</f>
        <v>West</v>
      </c>
      <c r="N1995" t="str">
        <f>IFERROR(VLOOKUP(C1995,Customers!A:F,5,0),"")</f>
        <v>SMB</v>
      </c>
      <c r="O1995">
        <f>IFERROR(VLOOKUP(C1995,Customers!A:F,3,0),"")</f>
        <v>39</v>
      </c>
      <c r="P1995">
        <f>IFERROR(VLOOKUP(D1995,Products!A:F,4,0),"")</f>
        <v>1143</v>
      </c>
      <c r="Q1995" t="b">
        <f>IFERROR(VLOOKUP(D1995,Products!A:F,6,0),"")</f>
        <v>1</v>
      </c>
      <c r="R1995">
        <f t="shared" si="93"/>
        <v>0.43694581280788175</v>
      </c>
      <c r="S1995">
        <f t="shared" si="94"/>
        <v>1</v>
      </c>
      <c r="T1995">
        <f>IF(AND(S1995&gt;1,COUNTIF($A$2:A1995,A1995)=1),1,0)</f>
        <v>0</v>
      </c>
      <c r="U1995">
        <f>COUNTIF(Customers!$A$2:$A$301,C1995)</f>
        <v>1</v>
      </c>
      <c r="V1995">
        <f t="shared" si="95"/>
        <v>0</v>
      </c>
    </row>
    <row r="1996" spans="1:22" ht="14.25" customHeight="1" x14ac:dyDescent="0.35">
      <c r="A1996" s="10" t="s">
        <v>2459</v>
      </c>
      <c r="B1996" s="11">
        <v>45360</v>
      </c>
      <c r="C1996" s="10" t="s">
        <v>87</v>
      </c>
      <c r="D1996" s="10" t="s">
        <v>143</v>
      </c>
      <c r="E1996" s="10" t="s">
        <v>80</v>
      </c>
      <c r="F1996" s="12">
        <v>7</v>
      </c>
      <c r="G1996" s="12">
        <v>3350</v>
      </c>
      <c r="H1996" s="12">
        <v>0.4</v>
      </c>
      <c r="I1996" s="12">
        <v>23356.2</v>
      </c>
      <c r="J1996" s="10" t="s">
        <v>51</v>
      </c>
      <c r="K1996" s="10" t="s">
        <v>81</v>
      </c>
      <c r="L1996" t="str">
        <f>IFERROR(VLOOKUP(D1996,Products!A:F,3,0),"")</f>
        <v>Beauty</v>
      </c>
      <c r="M1996" t="str">
        <f>IFERROR(VLOOKUP(E1996,Sales_Reps!A:E,3,0),"")</f>
        <v>West</v>
      </c>
      <c r="N1996" t="str">
        <f>IFERROR(VLOOKUP(C1996,Customers!A:F,5,0),"")</f>
        <v>Retail</v>
      </c>
      <c r="O1996">
        <f>IFERROR(VLOOKUP(C1996,Customers!A:F,3,0),"")</f>
        <v>42</v>
      </c>
      <c r="P1996">
        <f>IFERROR(VLOOKUP(D1996,Products!A:F,4,0),"")</f>
        <v>1728</v>
      </c>
      <c r="Q1996" t="b">
        <f>IFERROR(VLOOKUP(D1996,Products!A:F,6,0),"")</f>
        <v>1</v>
      </c>
      <c r="R1996">
        <f t="shared" si="93"/>
        <v>0.48417910447761192</v>
      </c>
      <c r="S1996">
        <f t="shared" si="94"/>
        <v>1</v>
      </c>
      <c r="T1996">
        <f>IF(AND(S1996&gt;1,COUNTIF($A$2:A1996,A1996)=1),1,0)</f>
        <v>0</v>
      </c>
      <c r="U1996">
        <f>COUNTIF(Customers!$A$2:$A$301,C1996)</f>
        <v>1</v>
      </c>
      <c r="V1996">
        <f t="shared" si="95"/>
        <v>0</v>
      </c>
    </row>
    <row r="1997" spans="1:22" ht="14.25" customHeight="1" x14ac:dyDescent="0.35">
      <c r="A1997" s="10" t="s">
        <v>2460</v>
      </c>
      <c r="B1997" s="11">
        <v>45292</v>
      </c>
      <c r="C1997" s="10" t="s">
        <v>127</v>
      </c>
      <c r="D1997" s="10" t="s">
        <v>190</v>
      </c>
      <c r="E1997" s="10" t="s">
        <v>152</v>
      </c>
      <c r="F1997" s="12">
        <v>6</v>
      </c>
      <c r="G1997" s="12">
        <v>3730</v>
      </c>
      <c r="H1997" s="12">
        <v>13.8</v>
      </c>
      <c r="I1997" s="12">
        <v>19291.560000000001</v>
      </c>
      <c r="J1997" s="10" t="s">
        <v>51</v>
      </c>
      <c r="K1997" s="10" t="s">
        <v>58</v>
      </c>
      <c r="L1997" t="str">
        <f>IFERROR(VLOOKUP(D1997,Products!A:F,3,0),"")</f>
        <v>Home</v>
      </c>
      <c r="M1997" t="str">
        <f>IFERROR(VLOOKUP(E1997,Sales_Reps!A:E,3,0),"")</f>
        <v>South</v>
      </c>
      <c r="N1997" t="str">
        <f>IFERROR(VLOOKUP(C1997,Customers!A:F,5,0),"")</f>
        <v>Retail</v>
      </c>
      <c r="O1997">
        <f>IFERROR(VLOOKUP(C1997,Customers!A:F,3,0),"")</f>
        <v>49</v>
      </c>
      <c r="P1997">
        <f>IFERROR(VLOOKUP(D1997,Products!A:F,4,0),"")</f>
        <v>2135</v>
      </c>
      <c r="Q1997" t="b">
        <f>IFERROR(VLOOKUP(D1997,Products!A:F,6,0),"")</f>
        <v>1</v>
      </c>
      <c r="R1997">
        <f t="shared" si="93"/>
        <v>0.42761394101876676</v>
      </c>
      <c r="S1997">
        <f t="shared" si="94"/>
        <v>1</v>
      </c>
      <c r="T1997">
        <f>IF(AND(S1997&gt;1,COUNTIF($A$2:A1997,A1997)=1),1,0)</f>
        <v>0</v>
      </c>
      <c r="U1997">
        <f>COUNTIF(Customers!$A$2:$A$301,C1997)</f>
        <v>1</v>
      </c>
      <c r="V1997">
        <f t="shared" si="95"/>
        <v>0</v>
      </c>
    </row>
    <row r="1998" spans="1:22" ht="14.25" customHeight="1" x14ac:dyDescent="0.35">
      <c r="A1998" s="10" t="s">
        <v>2461</v>
      </c>
      <c r="B1998" s="11">
        <v>45585</v>
      </c>
      <c r="C1998" s="10" t="s">
        <v>527</v>
      </c>
      <c r="D1998" s="10" t="s">
        <v>372</v>
      </c>
      <c r="E1998" s="10" t="s">
        <v>202</v>
      </c>
      <c r="F1998" s="12">
        <v>6</v>
      </c>
      <c r="G1998" s="12">
        <v>3970</v>
      </c>
      <c r="H1998" s="12">
        <v>5.8</v>
      </c>
      <c r="I1998" s="12">
        <v>22438.44</v>
      </c>
      <c r="J1998" s="10" t="s">
        <v>57</v>
      </c>
      <c r="K1998" s="10" t="s">
        <v>52</v>
      </c>
      <c r="L1998" t="str">
        <f>IFERROR(VLOOKUP(D1998,Products!A:F,3,0),"")</f>
        <v>Electronics</v>
      </c>
      <c r="M1998" t="str">
        <f>IFERROR(VLOOKUP(E1998,Sales_Reps!A:E,3,0),"")</f>
        <v>East</v>
      </c>
      <c r="N1998" t="str">
        <f>IFERROR(VLOOKUP(C1998,Customers!A:F,5,0),"")</f>
        <v>SMB</v>
      </c>
      <c r="O1998">
        <f>IFERROR(VLOOKUP(C1998,Customers!A:F,3,0),"")</f>
        <v>24</v>
      </c>
      <c r="P1998">
        <f>IFERROR(VLOOKUP(D1998,Products!A:F,4,0),"")</f>
        <v>2865</v>
      </c>
      <c r="Q1998" t="b">
        <f>IFERROR(VLOOKUP(D1998,Products!A:F,6,0),"")</f>
        <v>1</v>
      </c>
      <c r="R1998">
        <f t="shared" si="93"/>
        <v>0.27833753148614609</v>
      </c>
      <c r="S1998">
        <f t="shared" si="94"/>
        <v>1</v>
      </c>
      <c r="T1998">
        <f>IF(AND(S1998&gt;1,COUNTIF($A$2:A1998,A1998)=1),1,0)</f>
        <v>0</v>
      </c>
      <c r="U1998">
        <f>COUNTIF(Customers!$A$2:$A$301,C1998)</f>
        <v>1</v>
      </c>
      <c r="V1998">
        <f t="shared" si="95"/>
        <v>0</v>
      </c>
    </row>
    <row r="1999" spans="1:22" ht="14.25" customHeight="1" x14ac:dyDescent="0.35">
      <c r="A1999" s="10" t="s">
        <v>2462</v>
      </c>
      <c r="B1999" s="11">
        <v>45592</v>
      </c>
      <c r="C1999" s="10" t="s">
        <v>721</v>
      </c>
      <c r="D1999" s="10" t="s">
        <v>302</v>
      </c>
      <c r="E1999" s="10" t="s">
        <v>237</v>
      </c>
      <c r="F1999" s="12">
        <v>4</v>
      </c>
      <c r="G1999" s="12">
        <v>2210</v>
      </c>
      <c r="H1999" s="12">
        <v>18.2</v>
      </c>
      <c r="I1999" s="12">
        <v>7231.12</v>
      </c>
      <c r="J1999" s="10" t="s">
        <v>57</v>
      </c>
      <c r="K1999" s="10" t="s">
        <v>81</v>
      </c>
      <c r="L1999" t="str">
        <f>IFERROR(VLOOKUP(D1999,Products!A:F,3,0),"")</f>
        <v>Grocery</v>
      </c>
      <c r="M1999" t="str">
        <f>IFERROR(VLOOKUP(E1999,Sales_Reps!A:E,3,0),"")</f>
        <v>South</v>
      </c>
      <c r="N1999" t="str">
        <f>IFERROR(VLOOKUP(C1999,Customers!A:F,5,0),"")</f>
        <v>Corporate</v>
      </c>
      <c r="O1999">
        <f>IFERROR(VLOOKUP(C1999,Customers!A:F,3,0),"")</f>
        <v>43</v>
      </c>
      <c r="P1999">
        <f>IFERROR(VLOOKUP(D1999,Products!A:F,4,0),"")</f>
        <v>1010</v>
      </c>
      <c r="Q1999" t="b">
        <f>IFERROR(VLOOKUP(D1999,Products!A:F,6,0),"")</f>
        <v>1</v>
      </c>
      <c r="R1999">
        <f t="shared" si="93"/>
        <v>0.54298642533936647</v>
      </c>
      <c r="S1999">
        <f t="shared" si="94"/>
        <v>1</v>
      </c>
      <c r="T1999">
        <f>IF(AND(S1999&gt;1,COUNTIF($A$2:A1999,A1999)=1),1,0)</f>
        <v>0</v>
      </c>
      <c r="U1999">
        <f>COUNTIF(Customers!$A$2:$A$301,C1999)</f>
        <v>1</v>
      </c>
      <c r="V1999">
        <f t="shared" si="95"/>
        <v>7231.12</v>
      </c>
    </row>
    <row r="2000" spans="1:22" ht="14.25" customHeight="1" x14ac:dyDescent="0.35">
      <c r="A2000" s="10" t="s">
        <v>2463</v>
      </c>
      <c r="B2000" s="11">
        <v>45370</v>
      </c>
      <c r="C2000" s="10" t="s">
        <v>602</v>
      </c>
      <c r="D2000" s="10" t="s">
        <v>324</v>
      </c>
      <c r="E2000" s="10" t="s">
        <v>71</v>
      </c>
      <c r="F2000" s="12">
        <v>6</v>
      </c>
      <c r="G2000" s="12">
        <v>5410</v>
      </c>
      <c r="H2000" s="12">
        <v>15.5</v>
      </c>
      <c r="I2000" s="12">
        <v>27428.7</v>
      </c>
      <c r="J2000" s="10" t="s">
        <v>51</v>
      </c>
      <c r="K2000" s="10" t="s">
        <v>63</v>
      </c>
      <c r="L2000" t="str">
        <f>IFERROR(VLOOKUP(D2000,Products!A:F,3,0),"")</f>
        <v>Sports</v>
      </c>
      <c r="M2000" t="str">
        <f>IFERROR(VLOOKUP(E2000,Sales_Reps!A:E,3,0),"")</f>
        <v>North</v>
      </c>
      <c r="N2000" t="str">
        <f>IFERROR(VLOOKUP(C2000,Customers!A:F,5,0),"")</f>
        <v>Retail</v>
      </c>
      <c r="O2000">
        <f>IFERROR(VLOOKUP(C2000,Customers!A:F,3,0),"")</f>
        <v>43</v>
      </c>
      <c r="P2000">
        <f>IFERROR(VLOOKUP(D2000,Products!A:F,4,0),"")</f>
        <v>2265</v>
      </c>
      <c r="Q2000" t="b">
        <f>IFERROR(VLOOKUP(D2000,Products!A:F,6,0),"")</f>
        <v>1</v>
      </c>
      <c r="R2000">
        <f t="shared" si="93"/>
        <v>0.58133086876155271</v>
      </c>
      <c r="S2000">
        <f t="shared" si="94"/>
        <v>1</v>
      </c>
      <c r="T2000">
        <f>IF(AND(S2000&gt;1,COUNTIF($A$2:A2000,A2000)=1),1,0)</f>
        <v>0</v>
      </c>
      <c r="U2000">
        <f>COUNTIF(Customers!$A$2:$A$301,C2000)</f>
        <v>1</v>
      </c>
      <c r="V2000">
        <f t="shared" si="95"/>
        <v>0</v>
      </c>
    </row>
    <row r="2001" spans="1:22" ht="14.25" customHeight="1" x14ac:dyDescent="0.35">
      <c r="A2001" s="10" t="s">
        <v>2464</v>
      </c>
      <c r="B2001" s="11">
        <v>45325</v>
      </c>
      <c r="C2001" s="10" t="s">
        <v>599</v>
      </c>
      <c r="D2001" s="10" t="s">
        <v>407</v>
      </c>
      <c r="E2001" s="10" t="s">
        <v>118</v>
      </c>
      <c r="F2001" s="12">
        <v>6</v>
      </c>
      <c r="G2001" s="12">
        <v>5080</v>
      </c>
      <c r="H2001" s="12">
        <v>28.1</v>
      </c>
      <c r="I2001" s="12">
        <v>21915.119999999999</v>
      </c>
      <c r="J2001" s="10" t="s">
        <v>51</v>
      </c>
      <c r="K2001" s="10" t="s">
        <v>63</v>
      </c>
      <c r="L2001" t="str">
        <f>IFERROR(VLOOKUP(D2001,Products!A:F,3,0),"")</f>
        <v>Home</v>
      </c>
      <c r="M2001" t="str">
        <f>IFERROR(VLOOKUP(E2001,Sales_Reps!A:E,3,0),"")</f>
        <v>East</v>
      </c>
      <c r="N2001" t="str">
        <f>IFERROR(VLOOKUP(C2001,Customers!A:F,5,0),"")</f>
        <v>Retail</v>
      </c>
      <c r="O2001">
        <f>IFERROR(VLOOKUP(C2001,Customers!A:F,3,0),"")</f>
        <v>49</v>
      </c>
      <c r="P2001">
        <f>IFERROR(VLOOKUP(D2001,Products!A:F,4,0),"")</f>
        <v>2459</v>
      </c>
      <c r="Q2001" t="b">
        <f>IFERROR(VLOOKUP(D2001,Products!A:F,6,0),"")</f>
        <v>1</v>
      </c>
      <c r="R2001">
        <f t="shared" si="93"/>
        <v>0.51594488188976373</v>
      </c>
      <c r="S2001">
        <f t="shared" si="94"/>
        <v>1</v>
      </c>
      <c r="T2001">
        <f>IF(AND(S2001&gt;1,COUNTIF($A$2:A2001,A2001)=1),1,0)</f>
        <v>0</v>
      </c>
      <c r="U2001">
        <f>COUNTIF(Customers!$A$2:$A$301,C2001)</f>
        <v>1</v>
      </c>
      <c r="V2001">
        <f t="shared" si="95"/>
        <v>0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K3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11" ht="14.25" customHeight="1" x14ac:dyDescent="0.35">
      <c r="A1" s="6" t="s">
        <v>27</v>
      </c>
      <c r="B1" s="6" t="s">
        <v>2465</v>
      </c>
      <c r="C1" s="6" t="s">
        <v>2466</v>
      </c>
      <c r="D1" s="6" t="s">
        <v>2467</v>
      </c>
      <c r="E1" s="6" t="s">
        <v>38</v>
      </c>
      <c r="F1" s="6" t="s">
        <v>2468</v>
      </c>
      <c r="G1" s="9" t="s">
        <v>2469</v>
      </c>
      <c r="H1" s="9" t="s">
        <v>2470</v>
      </c>
      <c r="I1" s="9" t="s">
        <v>2471</v>
      </c>
      <c r="J1" s="9" t="s">
        <v>2472</v>
      </c>
      <c r="K1" s="9" t="s">
        <v>2473</v>
      </c>
    </row>
    <row r="2" spans="1:11" ht="14.25" customHeight="1" x14ac:dyDescent="0.35">
      <c r="A2" s="10" t="s">
        <v>702</v>
      </c>
      <c r="B2" s="10" t="s">
        <v>2474</v>
      </c>
      <c r="C2" s="12">
        <v>36</v>
      </c>
      <c r="D2" s="10" t="s">
        <v>52</v>
      </c>
      <c r="E2" s="10" t="s">
        <v>2475</v>
      </c>
      <c r="F2" s="11">
        <v>44819</v>
      </c>
      <c r="G2" t="str">
        <f t="shared" ref="G2:G65" si="0">UPPER(TRIM(D2))</f>
        <v>PUNE</v>
      </c>
      <c r="H2">
        <f>IF(COUNTIF($G$2:G2,G2)=1,1,0)</f>
        <v>1</v>
      </c>
      <c r="I2">
        <f t="shared" ref="I2:I65" si="1">LEN(B2)</f>
        <v>12</v>
      </c>
      <c r="J2">
        <f t="shared" ref="J2:J65" si="2">LEN(TRIM(B2))</f>
        <v>12</v>
      </c>
      <c r="K2">
        <f t="shared" ref="K2:K65" si="3">IF(I2&lt;&gt;J2,1,0)</f>
        <v>0</v>
      </c>
    </row>
    <row r="3" spans="1:11" ht="14.25" customHeight="1" x14ac:dyDescent="0.35">
      <c r="A3" s="10" t="s">
        <v>732</v>
      </c>
      <c r="B3" s="10" t="s">
        <v>2476</v>
      </c>
      <c r="C3" s="12">
        <v>42</v>
      </c>
      <c r="D3" s="10" t="s">
        <v>52</v>
      </c>
      <c r="E3" s="10" t="s">
        <v>2477</v>
      </c>
      <c r="F3" s="11">
        <v>44984</v>
      </c>
      <c r="G3" t="str">
        <f t="shared" si="0"/>
        <v>PUNE</v>
      </c>
      <c r="H3">
        <f>IF(COUNTIF($G$2:G3,G3)=1,1,0)</f>
        <v>0</v>
      </c>
      <c r="I3">
        <f t="shared" si="1"/>
        <v>15</v>
      </c>
      <c r="J3">
        <f t="shared" si="2"/>
        <v>15</v>
      </c>
      <c r="K3">
        <f t="shared" si="3"/>
        <v>0</v>
      </c>
    </row>
    <row r="4" spans="1:11" ht="14.25" customHeight="1" x14ac:dyDescent="0.35">
      <c r="A4" s="10" t="s">
        <v>671</v>
      </c>
      <c r="B4" s="10" t="s">
        <v>2478</v>
      </c>
      <c r="C4" s="12">
        <v>33</v>
      </c>
      <c r="D4" s="10" t="s">
        <v>76</v>
      </c>
      <c r="E4" s="10" t="s">
        <v>2475</v>
      </c>
      <c r="F4" s="11">
        <v>44059</v>
      </c>
      <c r="G4" t="str">
        <f t="shared" si="0"/>
        <v>MUMBAI</v>
      </c>
      <c r="H4">
        <f>IF(COUNTIF($G$2:G4,G4)=1,1,0)</f>
        <v>1</v>
      </c>
      <c r="I4">
        <f t="shared" si="1"/>
        <v>14</v>
      </c>
      <c r="J4">
        <f t="shared" si="2"/>
        <v>14</v>
      </c>
      <c r="K4">
        <f t="shared" si="3"/>
        <v>0</v>
      </c>
    </row>
    <row r="5" spans="1:11" ht="14.25" customHeight="1" x14ac:dyDescent="0.35">
      <c r="A5" s="10" t="s">
        <v>669</v>
      </c>
      <c r="B5" s="10" t="s">
        <v>2479</v>
      </c>
      <c r="C5" s="12">
        <v>53</v>
      </c>
      <c r="D5" s="10" t="s">
        <v>2480</v>
      </c>
      <c r="E5" s="10" t="s">
        <v>2475</v>
      </c>
      <c r="F5" s="11">
        <v>44054</v>
      </c>
      <c r="G5" t="str">
        <f t="shared" si="0"/>
        <v>DELHI</v>
      </c>
      <c r="H5">
        <f>IF(COUNTIF($G$2:G5,G5)=1,1,0)</f>
        <v>1</v>
      </c>
      <c r="I5">
        <f t="shared" si="1"/>
        <v>14</v>
      </c>
      <c r="J5">
        <f t="shared" si="2"/>
        <v>14</v>
      </c>
      <c r="K5">
        <f t="shared" si="3"/>
        <v>0</v>
      </c>
    </row>
    <row r="6" spans="1:11" ht="14.25" customHeight="1" x14ac:dyDescent="0.35">
      <c r="A6" s="10" t="s">
        <v>950</v>
      </c>
      <c r="B6" s="10" t="s">
        <v>2481</v>
      </c>
      <c r="C6" s="12">
        <v>52</v>
      </c>
      <c r="D6" s="10" t="s">
        <v>58</v>
      </c>
      <c r="E6" s="10" t="s">
        <v>2477</v>
      </c>
      <c r="F6" s="11">
        <v>45037</v>
      </c>
      <c r="G6" t="str">
        <f t="shared" si="0"/>
        <v>CHENNAI</v>
      </c>
      <c r="H6">
        <f>IF(COUNTIF($G$2:G6,G6)=1,1,0)</f>
        <v>1</v>
      </c>
      <c r="I6">
        <f t="shared" si="1"/>
        <v>13</v>
      </c>
      <c r="J6">
        <f t="shared" si="2"/>
        <v>13</v>
      </c>
      <c r="K6">
        <f t="shared" si="3"/>
        <v>0</v>
      </c>
    </row>
    <row r="7" spans="1:11" ht="14.25" customHeight="1" x14ac:dyDescent="0.35">
      <c r="A7" s="10" t="s">
        <v>158</v>
      </c>
      <c r="B7" s="10" t="s">
        <v>2482</v>
      </c>
      <c r="C7" s="12">
        <v>44</v>
      </c>
      <c r="D7" s="10" t="s">
        <v>52</v>
      </c>
      <c r="E7" s="10" t="s">
        <v>2483</v>
      </c>
      <c r="F7" s="11">
        <v>44302</v>
      </c>
      <c r="G7" t="str">
        <f t="shared" si="0"/>
        <v>PUNE</v>
      </c>
      <c r="H7">
        <f>IF(COUNTIF($G$2:G7,G7)=1,1,0)</f>
        <v>0</v>
      </c>
      <c r="I7">
        <f t="shared" si="1"/>
        <v>12</v>
      </c>
      <c r="J7">
        <f t="shared" si="2"/>
        <v>12</v>
      </c>
      <c r="K7">
        <f t="shared" si="3"/>
        <v>0</v>
      </c>
    </row>
    <row r="8" spans="1:11" ht="14.25" customHeight="1" x14ac:dyDescent="0.35">
      <c r="A8" s="10" t="s">
        <v>834</v>
      </c>
      <c r="B8" s="10" t="s">
        <v>2484</v>
      </c>
      <c r="C8" s="12">
        <v>47</v>
      </c>
      <c r="D8" s="10" t="s">
        <v>81</v>
      </c>
      <c r="E8" s="10" t="s">
        <v>2475</v>
      </c>
      <c r="F8" s="11">
        <v>44498</v>
      </c>
      <c r="G8" t="str">
        <f t="shared" si="0"/>
        <v>BENGALURU</v>
      </c>
      <c r="H8">
        <f>IF(COUNTIF($G$2:G8,G8)=1,1,0)</f>
        <v>1</v>
      </c>
      <c r="I8">
        <f t="shared" si="1"/>
        <v>11</v>
      </c>
      <c r="J8">
        <f t="shared" si="2"/>
        <v>11</v>
      </c>
      <c r="K8">
        <f t="shared" si="3"/>
        <v>0</v>
      </c>
    </row>
    <row r="9" spans="1:11" ht="14.25" customHeight="1" x14ac:dyDescent="0.35">
      <c r="A9" s="10" t="s">
        <v>106</v>
      </c>
      <c r="B9" s="10" t="s">
        <v>2485</v>
      </c>
      <c r="C9" s="12">
        <v>39</v>
      </c>
      <c r="D9" s="10" t="s">
        <v>52</v>
      </c>
      <c r="E9" s="10" t="s">
        <v>2483</v>
      </c>
      <c r="F9" s="11">
        <v>45162</v>
      </c>
      <c r="G9" t="str">
        <f t="shared" si="0"/>
        <v>PUNE</v>
      </c>
      <c r="H9">
        <f>IF(COUNTIF($G$2:G9,G9)=1,1,0)</f>
        <v>0</v>
      </c>
      <c r="I9">
        <f t="shared" si="1"/>
        <v>15</v>
      </c>
      <c r="J9">
        <f t="shared" si="2"/>
        <v>15</v>
      </c>
      <c r="K9">
        <f t="shared" si="3"/>
        <v>0</v>
      </c>
    </row>
    <row r="10" spans="1:11" ht="14.25" customHeight="1" x14ac:dyDescent="0.35">
      <c r="A10" s="10" t="s">
        <v>429</v>
      </c>
      <c r="B10" s="10" t="s">
        <v>2486</v>
      </c>
      <c r="C10" s="12">
        <v>61</v>
      </c>
      <c r="D10" s="10" t="s">
        <v>76</v>
      </c>
      <c r="E10" s="10" t="s">
        <v>2475</v>
      </c>
      <c r="F10" s="11">
        <v>44343</v>
      </c>
      <c r="G10" t="str">
        <f t="shared" si="0"/>
        <v>MUMBAI</v>
      </c>
      <c r="H10">
        <f>IF(COUNTIF($G$2:G10,G10)=1,1,0)</f>
        <v>0</v>
      </c>
      <c r="I10">
        <f t="shared" si="1"/>
        <v>13</v>
      </c>
      <c r="J10">
        <f t="shared" si="2"/>
        <v>13</v>
      </c>
      <c r="K10">
        <f t="shared" si="3"/>
        <v>0</v>
      </c>
    </row>
    <row r="11" spans="1:11" ht="14.25" customHeight="1" x14ac:dyDescent="0.35">
      <c r="A11" s="10" t="s">
        <v>529</v>
      </c>
      <c r="B11" s="10" t="s">
        <v>2487</v>
      </c>
      <c r="C11" s="12">
        <v>61</v>
      </c>
      <c r="D11" s="10" t="s">
        <v>76</v>
      </c>
      <c r="E11" s="10" t="s">
        <v>2483</v>
      </c>
      <c r="F11" s="11">
        <v>44975</v>
      </c>
      <c r="G11" t="str">
        <f t="shared" si="0"/>
        <v>MUMBAI</v>
      </c>
      <c r="H11">
        <f>IF(COUNTIF($G$2:G11,G11)=1,1,0)</f>
        <v>0</v>
      </c>
      <c r="I11">
        <f t="shared" si="1"/>
        <v>14</v>
      </c>
      <c r="J11">
        <f t="shared" si="2"/>
        <v>14</v>
      </c>
      <c r="K11">
        <f t="shared" si="3"/>
        <v>0</v>
      </c>
    </row>
    <row r="12" spans="1:11" ht="14.25" customHeight="1" x14ac:dyDescent="0.35">
      <c r="A12" s="10" t="s">
        <v>626</v>
      </c>
      <c r="B12" s="10" t="s">
        <v>2488</v>
      </c>
      <c r="C12" s="12">
        <v>41</v>
      </c>
      <c r="D12" s="10" t="s">
        <v>58</v>
      </c>
      <c r="E12" s="10" t="s">
        <v>2477</v>
      </c>
      <c r="F12" s="11">
        <v>44821</v>
      </c>
      <c r="G12" t="str">
        <f t="shared" si="0"/>
        <v>CHENNAI</v>
      </c>
      <c r="H12">
        <f>IF(COUNTIF($G$2:G12,G12)=1,1,0)</f>
        <v>0</v>
      </c>
      <c r="I12">
        <f t="shared" si="1"/>
        <v>10</v>
      </c>
      <c r="J12">
        <f t="shared" si="2"/>
        <v>10</v>
      </c>
      <c r="K12">
        <f t="shared" si="3"/>
        <v>0</v>
      </c>
    </row>
    <row r="13" spans="1:11" ht="14.25" customHeight="1" x14ac:dyDescent="0.35">
      <c r="A13" s="10" t="s">
        <v>337</v>
      </c>
      <c r="B13" s="10" t="s">
        <v>2489</v>
      </c>
      <c r="C13" s="12">
        <v>43</v>
      </c>
      <c r="D13" s="10" t="s">
        <v>52</v>
      </c>
      <c r="E13" s="10" t="s">
        <v>2475</v>
      </c>
      <c r="F13" s="11">
        <v>44718</v>
      </c>
      <c r="G13" t="str">
        <f t="shared" si="0"/>
        <v>PUNE</v>
      </c>
      <c r="H13">
        <f>IF(COUNTIF($G$2:G13,G13)=1,1,0)</f>
        <v>0</v>
      </c>
      <c r="I13">
        <f t="shared" si="1"/>
        <v>12</v>
      </c>
      <c r="J13">
        <f t="shared" si="2"/>
        <v>12</v>
      </c>
      <c r="K13">
        <f t="shared" si="3"/>
        <v>0</v>
      </c>
    </row>
    <row r="14" spans="1:11" ht="14.25" customHeight="1" x14ac:dyDescent="0.35">
      <c r="A14" s="10" t="s">
        <v>174</v>
      </c>
      <c r="B14" s="10" t="s">
        <v>2490</v>
      </c>
      <c r="C14" s="12">
        <v>41</v>
      </c>
      <c r="D14" s="10" t="s">
        <v>63</v>
      </c>
      <c r="E14" s="10" t="s">
        <v>2475</v>
      </c>
      <c r="F14" s="11">
        <v>45018</v>
      </c>
      <c r="G14" t="str">
        <f t="shared" si="0"/>
        <v>DELHI</v>
      </c>
      <c r="H14">
        <f>IF(COUNTIF($G$2:G14,G14)=1,1,0)</f>
        <v>0</v>
      </c>
      <c r="I14">
        <f t="shared" si="1"/>
        <v>12</v>
      </c>
      <c r="J14">
        <f t="shared" si="2"/>
        <v>12</v>
      </c>
      <c r="K14">
        <f t="shared" si="3"/>
        <v>0</v>
      </c>
    </row>
    <row r="15" spans="1:11" ht="14.25" customHeight="1" x14ac:dyDescent="0.35">
      <c r="A15" s="10" t="s">
        <v>1628</v>
      </c>
      <c r="B15" s="10" t="s">
        <v>2491</v>
      </c>
      <c r="C15" s="12">
        <v>48</v>
      </c>
      <c r="D15" s="10" t="s">
        <v>81</v>
      </c>
      <c r="E15" s="10" t="s">
        <v>2475</v>
      </c>
      <c r="F15" s="11">
        <v>45225</v>
      </c>
      <c r="G15" t="str">
        <f t="shared" si="0"/>
        <v>BENGALURU</v>
      </c>
      <c r="H15">
        <f>IF(COUNTIF($G$2:G15,G15)=1,1,0)</f>
        <v>0</v>
      </c>
      <c r="I15">
        <f t="shared" si="1"/>
        <v>14</v>
      </c>
      <c r="J15">
        <f t="shared" si="2"/>
        <v>14</v>
      </c>
      <c r="K15">
        <f t="shared" si="3"/>
        <v>0</v>
      </c>
    </row>
    <row r="16" spans="1:11" ht="14.25" customHeight="1" x14ac:dyDescent="0.35">
      <c r="A16" s="10" t="s">
        <v>1493</v>
      </c>
      <c r="B16" s="10" t="s">
        <v>2492</v>
      </c>
      <c r="C16" s="12">
        <v>31</v>
      </c>
      <c r="D16" s="10" t="s">
        <v>58</v>
      </c>
      <c r="E16" s="10" t="s">
        <v>2475</v>
      </c>
      <c r="F16" s="11">
        <v>44654</v>
      </c>
      <c r="G16" t="str">
        <f t="shared" si="0"/>
        <v>CHENNAI</v>
      </c>
      <c r="H16">
        <f>IF(COUNTIF($G$2:G16,G16)=1,1,0)</f>
        <v>0</v>
      </c>
      <c r="I16">
        <f t="shared" si="1"/>
        <v>12</v>
      </c>
      <c r="J16">
        <f t="shared" si="2"/>
        <v>12</v>
      </c>
      <c r="K16">
        <f t="shared" si="3"/>
        <v>0</v>
      </c>
    </row>
    <row r="17" spans="1:11" ht="14.25" customHeight="1" x14ac:dyDescent="0.35">
      <c r="A17" s="10" t="s">
        <v>689</v>
      </c>
      <c r="B17" s="10" t="s">
        <v>2493</v>
      </c>
      <c r="C17" s="12">
        <v>26</v>
      </c>
      <c r="D17" s="10" t="s">
        <v>63</v>
      </c>
      <c r="E17" s="10" t="s">
        <v>2483</v>
      </c>
      <c r="F17" s="11">
        <v>45196</v>
      </c>
      <c r="G17" t="str">
        <f t="shared" si="0"/>
        <v>DELHI</v>
      </c>
      <c r="H17">
        <f>IF(COUNTIF($G$2:G17,G17)=1,1,0)</f>
        <v>0</v>
      </c>
      <c r="I17">
        <f t="shared" si="1"/>
        <v>11</v>
      </c>
      <c r="J17">
        <f t="shared" si="2"/>
        <v>11</v>
      </c>
      <c r="K17">
        <f t="shared" si="3"/>
        <v>0</v>
      </c>
    </row>
    <row r="18" spans="1:11" ht="14.25" customHeight="1" x14ac:dyDescent="0.35">
      <c r="A18" s="10" t="s">
        <v>832</v>
      </c>
      <c r="B18" s="10" t="s">
        <v>2494</v>
      </c>
      <c r="C18" s="12">
        <v>38</v>
      </c>
      <c r="D18" s="10" t="s">
        <v>63</v>
      </c>
      <c r="E18" s="10" t="s">
        <v>2483</v>
      </c>
      <c r="F18" s="11">
        <v>44752</v>
      </c>
      <c r="G18" t="str">
        <f t="shared" si="0"/>
        <v>DELHI</v>
      </c>
      <c r="H18">
        <f>IF(COUNTIF($G$2:G18,G18)=1,1,0)</f>
        <v>0</v>
      </c>
      <c r="I18">
        <f t="shared" si="1"/>
        <v>12</v>
      </c>
      <c r="J18">
        <f t="shared" si="2"/>
        <v>12</v>
      </c>
      <c r="K18">
        <f t="shared" si="3"/>
        <v>0</v>
      </c>
    </row>
    <row r="19" spans="1:11" ht="14.25" customHeight="1" x14ac:dyDescent="0.35">
      <c r="A19" s="10" t="s">
        <v>354</v>
      </c>
      <c r="B19" s="10" t="s">
        <v>2495</v>
      </c>
      <c r="C19" s="12">
        <v>54</v>
      </c>
      <c r="D19" s="10" t="s">
        <v>52</v>
      </c>
      <c r="E19" s="10" t="s">
        <v>2483</v>
      </c>
      <c r="F19" s="11">
        <v>43968</v>
      </c>
      <c r="G19" t="str">
        <f t="shared" si="0"/>
        <v>PUNE</v>
      </c>
      <c r="H19">
        <f>IF(COUNTIF($G$2:G19,G19)=1,1,0)</f>
        <v>0</v>
      </c>
      <c r="I19">
        <f t="shared" si="1"/>
        <v>13</v>
      </c>
      <c r="J19">
        <f t="shared" si="2"/>
        <v>13</v>
      </c>
      <c r="K19">
        <f t="shared" si="3"/>
        <v>0</v>
      </c>
    </row>
    <row r="20" spans="1:11" ht="14.25" customHeight="1" x14ac:dyDescent="0.35">
      <c r="A20" s="10" t="s">
        <v>759</v>
      </c>
      <c r="B20" s="10" t="s">
        <v>2496</v>
      </c>
      <c r="C20" s="12">
        <v>22</v>
      </c>
      <c r="D20" s="10" t="s">
        <v>58</v>
      </c>
      <c r="E20" s="10" t="s">
        <v>2475</v>
      </c>
      <c r="F20" s="11">
        <v>44375</v>
      </c>
      <c r="G20" t="str">
        <f t="shared" si="0"/>
        <v>CHENNAI</v>
      </c>
      <c r="H20">
        <f>IF(COUNTIF($G$2:G20,G20)=1,1,0)</f>
        <v>0</v>
      </c>
      <c r="I20">
        <f t="shared" si="1"/>
        <v>9</v>
      </c>
      <c r="J20">
        <f t="shared" si="2"/>
        <v>9</v>
      </c>
      <c r="K20">
        <f t="shared" si="3"/>
        <v>0</v>
      </c>
    </row>
    <row r="21" spans="1:11" ht="14.25" customHeight="1" x14ac:dyDescent="0.35">
      <c r="A21" s="10" t="s">
        <v>276</v>
      </c>
      <c r="B21" s="10" t="s">
        <v>2497</v>
      </c>
      <c r="C21" s="12">
        <v>46</v>
      </c>
      <c r="D21" s="10" t="s">
        <v>97</v>
      </c>
      <c r="E21" s="10" t="s">
        <v>2475</v>
      </c>
      <c r="F21" s="11">
        <v>43835</v>
      </c>
      <c r="G21" t="str">
        <f t="shared" si="0"/>
        <v>HYDERABAD</v>
      </c>
      <c r="H21">
        <f>IF(COUNTIF($G$2:G21,G21)=1,1,0)</f>
        <v>1</v>
      </c>
      <c r="I21">
        <f t="shared" si="1"/>
        <v>10</v>
      </c>
      <c r="J21">
        <f t="shared" si="2"/>
        <v>10</v>
      </c>
      <c r="K21">
        <f t="shared" si="3"/>
        <v>0</v>
      </c>
    </row>
    <row r="22" spans="1:11" ht="14.25" customHeight="1" x14ac:dyDescent="0.35">
      <c r="A22" s="10" t="s">
        <v>1214</v>
      </c>
      <c r="B22" s="10" t="s">
        <v>2481</v>
      </c>
      <c r="C22" s="12">
        <v>44</v>
      </c>
      <c r="D22" s="10" t="s">
        <v>52</v>
      </c>
      <c r="E22" s="10" t="s">
        <v>2475</v>
      </c>
      <c r="F22" s="11">
        <v>44130</v>
      </c>
      <c r="G22" t="str">
        <f t="shared" si="0"/>
        <v>PUNE</v>
      </c>
      <c r="H22">
        <f>IF(COUNTIF($G$2:G22,G22)=1,1,0)</f>
        <v>0</v>
      </c>
      <c r="I22">
        <f t="shared" si="1"/>
        <v>13</v>
      </c>
      <c r="J22">
        <f t="shared" si="2"/>
        <v>13</v>
      </c>
      <c r="K22">
        <f t="shared" si="3"/>
        <v>0</v>
      </c>
    </row>
    <row r="23" spans="1:11" ht="14.25" customHeight="1" x14ac:dyDescent="0.35">
      <c r="A23" s="10" t="s">
        <v>1002</v>
      </c>
      <c r="B23" s="10" t="s">
        <v>2498</v>
      </c>
      <c r="C23" s="12">
        <v>55</v>
      </c>
      <c r="D23" s="10" t="s">
        <v>81</v>
      </c>
      <c r="E23" s="10" t="s">
        <v>2477</v>
      </c>
      <c r="F23" s="11">
        <v>44787</v>
      </c>
      <c r="G23" t="str">
        <f t="shared" si="0"/>
        <v>BENGALURU</v>
      </c>
      <c r="H23">
        <f>IF(COUNTIF($G$2:G23,G23)=1,1,0)</f>
        <v>0</v>
      </c>
      <c r="I23">
        <f t="shared" si="1"/>
        <v>11</v>
      </c>
      <c r="J23">
        <f t="shared" si="2"/>
        <v>11</v>
      </c>
      <c r="K23">
        <f t="shared" si="3"/>
        <v>0</v>
      </c>
    </row>
    <row r="24" spans="1:11" ht="14.25" customHeight="1" x14ac:dyDescent="0.35">
      <c r="A24" s="10" t="s">
        <v>1258</v>
      </c>
      <c r="B24" s="10" t="s">
        <v>2499</v>
      </c>
      <c r="C24" s="12">
        <v>43</v>
      </c>
      <c r="D24" s="10" t="s">
        <v>58</v>
      </c>
      <c r="E24" s="10" t="s">
        <v>2483</v>
      </c>
      <c r="F24" s="11">
        <v>44403</v>
      </c>
      <c r="G24" t="str">
        <f t="shared" si="0"/>
        <v>CHENNAI</v>
      </c>
      <c r="H24">
        <f>IF(COUNTIF($G$2:G24,G24)=1,1,0)</f>
        <v>0</v>
      </c>
      <c r="I24">
        <f t="shared" si="1"/>
        <v>12</v>
      </c>
      <c r="J24">
        <f t="shared" si="2"/>
        <v>12</v>
      </c>
      <c r="K24">
        <f t="shared" si="3"/>
        <v>0</v>
      </c>
    </row>
    <row r="25" spans="1:11" ht="14.25" customHeight="1" x14ac:dyDescent="0.35">
      <c r="A25" s="10" t="s">
        <v>389</v>
      </c>
      <c r="B25" s="10" t="s">
        <v>2500</v>
      </c>
      <c r="C25" s="12">
        <v>64</v>
      </c>
      <c r="D25" s="10" t="s">
        <v>2056</v>
      </c>
      <c r="E25" s="10" t="s">
        <v>2483</v>
      </c>
      <c r="F25" s="11">
        <v>44495</v>
      </c>
      <c r="G25" t="str">
        <f t="shared" si="0"/>
        <v>CHENNAI</v>
      </c>
      <c r="H25">
        <f>IF(COUNTIF($G$2:G25,G25)=1,1,0)</f>
        <v>0</v>
      </c>
      <c r="I25">
        <f t="shared" si="1"/>
        <v>12</v>
      </c>
      <c r="J25">
        <f t="shared" si="2"/>
        <v>12</v>
      </c>
      <c r="K25">
        <f t="shared" si="3"/>
        <v>0</v>
      </c>
    </row>
    <row r="26" spans="1:11" ht="14.25" customHeight="1" x14ac:dyDescent="0.35">
      <c r="A26" s="10" t="s">
        <v>349</v>
      </c>
      <c r="B26" s="10" t="s">
        <v>2501</v>
      </c>
      <c r="C26" s="12">
        <v>23</v>
      </c>
      <c r="D26" s="10" t="s">
        <v>81</v>
      </c>
      <c r="E26" s="10" t="s">
        <v>2475</v>
      </c>
      <c r="F26" s="11">
        <v>44536</v>
      </c>
      <c r="G26" t="str">
        <f t="shared" si="0"/>
        <v>BENGALURU</v>
      </c>
      <c r="H26">
        <f>IF(COUNTIF($G$2:G26,G26)=1,1,0)</f>
        <v>0</v>
      </c>
      <c r="I26">
        <f t="shared" si="1"/>
        <v>11</v>
      </c>
      <c r="J26">
        <f t="shared" si="2"/>
        <v>11</v>
      </c>
      <c r="K26">
        <f t="shared" si="3"/>
        <v>0</v>
      </c>
    </row>
    <row r="27" spans="1:11" ht="14.25" customHeight="1" x14ac:dyDescent="0.35">
      <c r="A27" s="10" t="s">
        <v>523</v>
      </c>
      <c r="B27" s="10" t="s">
        <v>2502</v>
      </c>
      <c r="C27" s="12">
        <v>62</v>
      </c>
      <c r="D27" s="10" t="s">
        <v>52</v>
      </c>
      <c r="E27" s="10" t="s">
        <v>2475</v>
      </c>
      <c r="F27" s="11">
        <v>43898</v>
      </c>
      <c r="G27" t="str">
        <f t="shared" si="0"/>
        <v>PUNE</v>
      </c>
      <c r="H27">
        <f>IF(COUNTIF($G$2:G27,G27)=1,1,0)</f>
        <v>0</v>
      </c>
      <c r="I27">
        <f t="shared" si="1"/>
        <v>11</v>
      </c>
      <c r="J27">
        <f t="shared" si="2"/>
        <v>11</v>
      </c>
      <c r="K27">
        <f t="shared" si="3"/>
        <v>0</v>
      </c>
    </row>
    <row r="28" spans="1:11" ht="14.25" customHeight="1" x14ac:dyDescent="0.35">
      <c r="A28" s="10" t="s">
        <v>446</v>
      </c>
      <c r="B28" s="10" t="s">
        <v>2503</v>
      </c>
      <c r="C28" s="12">
        <v>52</v>
      </c>
      <c r="D28" s="10" t="s">
        <v>97</v>
      </c>
      <c r="E28" s="10" t="s">
        <v>2477</v>
      </c>
      <c r="F28" s="11">
        <v>45201</v>
      </c>
      <c r="G28" t="str">
        <f t="shared" si="0"/>
        <v>HYDERABAD</v>
      </c>
      <c r="H28">
        <f>IF(COUNTIF($G$2:G28,G28)=1,1,0)</f>
        <v>0</v>
      </c>
      <c r="I28">
        <f t="shared" si="1"/>
        <v>14</v>
      </c>
      <c r="J28">
        <f t="shared" si="2"/>
        <v>11</v>
      </c>
      <c r="K28">
        <f t="shared" si="3"/>
        <v>1</v>
      </c>
    </row>
    <row r="29" spans="1:11" ht="14.25" customHeight="1" x14ac:dyDescent="0.35">
      <c r="A29" s="10" t="s">
        <v>367</v>
      </c>
      <c r="B29" s="10" t="s">
        <v>2504</v>
      </c>
      <c r="C29" s="12">
        <v>59</v>
      </c>
      <c r="D29" s="10" t="s">
        <v>81</v>
      </c>
      <c r="E29" s="10" t="s">
        <v>2475</v>
      </c>
      <c r="F29" s="11">
        <v>44686</v>
      </c>
      <c r="G29" t="str">
        <f t="shared" si="0"/>
        <v>BENGALURU</v>
      </c>
      <c r="H29">
        <f>IF(COUNTIF($G$2:G29,G29)=1,1,0)</f>
        <v>0</v>
      </c>
      <c r="I29">
        <f t="shared" si="1"/>
        <v>11</v>
      </c>
      <c r="J29">
        <f t="shared" si="2"/>
        <v>11</v>
      </c>
      <c r="K29">
        <f t="shared" si="3"/>
        <v>0</v>
      </c>
    </row>
    <row r="30" spans="1:11" ht="14.25" customHeight="1" x14ac:dyDescent="0.35">
      <c r="A30" s="10" t="s">
        <v>1839</v>
      </c>
      <c r="B30" s="10" t="s">
        <v>2505</v>
      </c>
      <c r="C30" s="12">
        <v>54</v>
      </c>
      <c r="D30" s="10" t="s">
        <v>58</v>
      </c>
      <c r="E30" s="10" t="s">
        <v>2477</v>
      </c>
      <c r="F30" s="11">
        <v>44930</v>
      </c>
      <c r="G30" t="str">
        <f t="shared" si="0"/>
        <v>CHENNAI</v>
      </c>
      <c r="H30">
        <f>IF(COUNTIF($G$2:G30,G30)=1,1,0)</f>
        <v>0</v>
      </c>
      <c r="I30">
        <f t="shared" si="1"/>
        <v>12</v>
      </c>
      <c r="J30">
        <f t="shared" si="2"/>
        <v>12</v>
      </c>
      <c r="K30">
        <f t="shared" si="3"/>
        <v>0</v>
      </c>
    </row>
    <row r="31" spans="1:11" ht="14.25" customHeight="1" x14ac:dyDescent="0.35">
      <c r="A31" s="10" t="s">
        <v>721</v>
      </c>
      <c r="B31" s="10" t="s">
        <v>2506</v>
      </c>
      <c r="C31" s="12">
        <v>43</v>
      </c>
      <c r="D31" s="10" t="s">
        <v>81</v>
      </c>
      <c r="E31" s="10" t="s">
        <v>2477</v>
      </c>
      <c r="F31" s="11">
        <v>44151</v>
      </c>
      <c r="G31" t="str">
        <f t="shared" si="0"/>
        <v>BENGALURU</v>
      </c>
      <c r="H31">
        <f>IF(COUNTIF($G$2:G31,G31)=1,1,0)</f>
        <v>0</v>
      </c>
      <c r="I31">
        <f t="shared" si="1"/>
        <v>14</v>
      </c>
      <c r="J31">
        <f t="shared" si="2"/>
        <v>14</v>
      </c>
      <c r="K31">
        <f t="shared" si="3"/>
        <v>0</v>
      </c>
    </row>
    <row r="32" spans="1:11" ht="14.25" customHeight="1" x14ac:dyDescent="0.35">
      <c r="A32" s="10" t="s">
        <v>227</v>
      </c>
      <c r="B32" s="10" t="s">
        <v>2507</v>
      </c>
      <c r="C32" s="12">
        <v>53</v>
      </c>
      <c r="D32" s="10" t="s">
        <v>97</v>
      </c>
      <c r="E32" s="10" t="s">
        <v>2475</v>
      </c>
      <c r="F32" s="11">
        <v>44599</v>
      </c>
      <c r="G32" t="str">
        <f t="shared" si="0"/>
        <v>HYDERABAD</v>
      </c>
      <c r="H32">
        <f>IF(COUNTIF($G$2:G32,G32)=1,1,0)</f>
        <v>0</v>
      </c>
      <c r="I32">
        <f t="shared" si="1"/>
        <v>11</v>
      </c>
      <c r="J32">
        <f t="shared" si="2"/>
        <v>11</v>
      </c>
      <c r="K32">
        <f t="shared" si="3"/>
        <v>0</v>
      </c>
    </row>
    <row r="33" spans="1:11" ht="14.25" customHeight="1" x14ac:dyDescent="0.35">
      <c r="A33" s="10" t="s">
        <v>288</v>
      </c>
      <c r="B33" s="10" t="s">
        <v>2508</v>
      </c>
      <c r="C33" s="12">
        <v>28</v>
      </c>
      <c r="D33" s="10" t="s">
        <v>97</v>
      </c>
      <c r="E33" s="10" t="s">
        <v>2475</v>
      </c>
      <c r="F33" s="11">
        <v>43908</v>
      </c>
      <c r="G33" t="str">
        <f t="shared" si="0"/>
        <v>HYDERABAD</v>
      </c>
      <c r="H33">
        <f>IF(COUNTIF($G$2:G33,G33)=1,1,0)</f>
        <v>0</v>
      </c>
      <c r="I33">
        <f t="shared" si="1"/>
        <v>11</v>
      </c>
      <c r="J33">
        <f t="shared" si="2"/>
        <v>11</v>
      </c>
      <c r="K33">
        <f t="shared" si="3"/>
        <v>0</v>
      </c>
    </row>
    <row r="34" spans="1:11" ht="14.25" customHeight="1" x14ac:dyDescent="0.35">
      <c r="A34" s="10" t="s">
        <v>255</v>
      </c>
      <c r="B34" s="10" t="s">
        <v>2509</v>
      </c>
      <c r="C34" s="12">
        <v>35</v>
      </c>
      <c r="D34" s="10" t="s">
        <v>63</v>
      </c>
      <c r="E34" s="10" t="s">
        <v>2475</v>
      </c>
      <c r="F34" s="11">
        <v>44830</v>
      </c>
      <c r="G34" t="str">
        <f t="shared" si="0"/>
        <v>DELHI</v>
      </c>
      <c r="H34">
        <f>IF(COUNTIF($G$2:G34,G34)=1,1,0)</f>
        <v>0</v>
      </c>
      <c r="I34">
        <f t="shared" si="1"/>
        <v>11</v>
      </c>
      <c r="J34">
        <f t="shared" si="2"/>
        <v>11</v>
      </c>
      <c r="K34">
        <f t="shared" si="3"/>
        <v>0</v>
      </c>
    </row>
    <row r="35" spans="1:11" ht="14.25" customHeight="1" x14ac:dyDescent="0.35">
      <c r="A35" s="10" t="s">
        <v>932</v>
      </c>
      <c r="B35" s="10" t="s">
        <v>2510</v>
      </c>
      <c r="C35" s="12">
        <v>47</v>
      </c>
      <c r="D35" s="10" t="s">
        <v>63</v>
      </c>
      <c r="E35" s="10" t="s">
        <v>2475</v>
      </c>
      <c r="F35" s="11">
        <v>44182</v>
      </c>
      <c r="G35" t="str">
        <f t="shared" si="0"/>
        <v>DELHI</v>
      </c>
      <c r="H35">
        <f>IF(COUNTIF($G$2:G35,G35)=1,1,0)</f>
        <v>0</v>
      </c>
      <c r="I35">
        <f t="shared" si="1"/>
        <v>9</v>
      </c>
      <c r="J35">
        <f t="shared" si="2"/>
        <v>9</v>
      </c>
      <c r="K35">
        <f t="shared" si="3"/>
        <v>0</v>
      </c>
    </row>
    <row r="36" spans="1:11" ht="14.25" customHeight="1" x14ac:dyDescent="0.35">
      <c r="A36" s="10" t="s">
        <v>163</v>
      </c>
      <c r="B36" s="10" t="s">
        <v>2511</v>
      </c>
      <c r="C36" s="12">
        <v>53</v>
      </c>
      <c r="D36" s="10" t="s">
        <v>97</v>
      </c>
      <c r="E36" s="10" t="s">
        <v>2475</v>
      </c>
      <c r="F36" s="11">
        <v>44532</v>
      </c>
      <c r="G36" t="str">
        <f t="shared" si="0"/>
        <v>HYDERABAD</v>
      </c>
      <c r="H36">
        <f>IF(COUNTIF($G$2:G36,G36)=1,1,0)</f>
        <v>0</v>
      </c>
      <c r="I36">
        <f t="shared" si="1"/>
        <v>9</v>
      </c>
      <c r="J36">
        <f t="shared" si="2"/>
        <v>9</v>
      </c>
      <c r="K36">
        <f t="shared" si="3"/>
        <v>0</v>
      </c>
    </row>
    <row r="37" spans="1:11" ht="14.25" customHeight="1" x14ac:dyDescent="0.35">
      <c r="A37" s="10" t="s">
        <v>637</v>
      </c>
      <c r="B37" s="10" t="s">
        <v>2512</v>
      </c>
      <c r="C37" s="12">
        <v>35</v>
      </c>
      <c r="D37" s="10" t="s">
        <v>76</v>
      </c>
      <c r="E37" s="10" t="s">
        <v>2475</v>
      </c>
      <c r="F37" s="11">
        <v>44617</v>
      </c>
      <c r="G37" t="str">
        <f t="shared" si="0"/>
        <v>MUMBAI</v>
      </c>
      <c r="H37">
        <f>IF(COUNTIF($G$2:G37,G37)=1,1,0)</f>
        <v>0</v>
      </c>
      <c r="I37">
        <f t="shared" si="1"/>
        <v>14</v>
      </c>
      <c r="J37">
        <f t="shared" si="2"/>
        <v>14</v>
      </c>
      <c r="K37">
        <f t="shared" si="3"/>
        <v>0</v>
      </c>
    </row>
    <row r="38" spans="1:11" ht="14.25" customHeight="1" x14ac:dyDescent="0.35">
      <c r="A38" s="10" t="s">
        <v>799</v>
      </c>
      <c r="B38" s="10" t="s">
        <v>2513</v>
      </c>
      <c r="C38" s="12">
        <v>52</v>
      </c>
      <c r="D38" s="10" t="s">
        <v>81</v>
      </c>
      <c r="E38" s="10" t="s">
        <v>2475</v>
      </c>
      <c r="F38" s="11">
        <v>44468</v>
      </c>
      <c r="G38" t="str">
        <f t="shared" si="0"/>
        <v>BENGALURU</v>
      </c>
      <c r="H38">
        <f>IF(COUNTIF($G$2:G38,G38)=1,1,0)</f>
        <v>0</v>
      </c>
      <c r="I38">
        <f t="shared" si="1"/>
        <v>11</v>
      </c>
      <c r="J38">
        <f t="shared" si="2"/>
        <v>11</v>
      </c>
      <c r="K38">
        <f t="shared" si="3"/>
        <v>0</v>
      </c>
    </row>
    <row r="39" spans="1:11" ht="14.25" customHeight="1" x14ac:dyDescent="0.35">
      <c r="A39" s="10" t="s">
        <v>838</v>
      </c>
      <c r="B39" s="10" t="s">
        <v>2514</v>
      </c>
      <c r="C39" s="12">
        <v>57</v>
      </c>
      <c r="D39" s="10" t="s">
        <v>76</v>
      </c>
      <c r="E39" s="10" t="s">
        <v>2475</v>
      </c>
      <c r="F39" s="11">
        <v>43843</v>
      </c>
      <c r="G39" t="str">
        <f t="shared" si="0"/>
        <v>MUMBAI</v>
      </c>
      <c r="H39">
        <f>IF(COUNTIF($G$2:G39,G39)=1,1,0)</f>
        <v>0</v>
      </c>
      <c r="I39">
        <f t="shared" si="1"/>
        <v>10</v>
      </c>
      <c r="J39">
        <f t="shared" si="2"/>
        <v>10</v>
      </c>
      <c r="K39">
        <f t="shared" si="3"/>
        <v>0</v>
      </c>
    </row>
    <row r="40" spans="1:11" ht="14.25" customHeight="1" x14ac:dyDescent="0.35">
      <c r="A40" s="10" t="s">
        <v>801</v>
      </c>
      <c r="B40" s="10" t="s">
        <v>2515</v>
      </c>
      <c r="C40" s="12">
        <v>37</v>
      </c>
      <c r="D40" s="10" t="s">
        <v>81</v>
      </c>
      <c r="E40" s="10" t="s">
        <v>2475</v>
      </c>
      <c r="F40" s="11">
        <v>43989</v>
      </c>
      <c r="G40" t="str">
        <f t="shared" si="0"/>
        <v>BENGALURU</v>
      </c>
      <c r="H40">
        <f>IF(COUNTIF($G$2:G40,G40)=1,1,0)</f>
        <v>0</v>
      </c>
      <c r="I40">
        <f t="shared" si="1"/>
        <v>11</v>
      </c>
      <c r="J40">
        <f t="shared" si="2"/>
        <v>11</v>
      </c>
      <c r="K40">
        <f t="shared" si="3"/>
        <v>0</v>
      </c>
    </row>
    <row r="41" spans="1:11" ht="14.25" customHeight="1" x14ac:dyDescent="0.35">
      <c r="A41" s="10" t="s">
        <v>248</v>
      </c>
      <c r="B41" s="10" t="s">
        <v>2516</v>
      </c>
      <c r="C41" s="12">
        <v>28</v>
      </c>
      <c r="D41" s="10" t="s">
        <v>58</v>
      </c>
      <c r="E41" s="10" t="s">
        <v>2475</v>
      </c>
      <c r="F41" s="11">
        <v>44625</v>
      </c>
      <c r="G41" t="str">
        <f t="shared" si="0"/>
        <v>CHENNAI</v>
      </c>
      <c r="H41">
        <f>IF(COUNTIF($G$2:G41,G41)=1,1,0)</f>
        <v>0</v>
      </c>
      <c r="I41">
        <f t="shared" si="1"/>
        <v>13</v>
      </c>
      <c r="J41">
        <f t="shared" si="2"/>
        <v>13</v>
      </c>
      <c r="K41">
        <f t="shared" si="3"/>
        <v>0</v>
      </c>
    </row>
    <row r="42" spans="1:11" ht="14.25" customHeight="1" x14ac:dyDescent="0.35">
      <c r="A42" s="10" t="s">
        <v>474</v>
      </c>
      <c r="B42" s="10" t="s">
        <v>2517</v>
      </c>
      <c r="C42" s="12">
        <v>26</v>
      </c>
      <c r="D42" s="10" t="s">
        <v>81</v>
      </c>
      <c r="E42" s="10" t="s">
        <v>2483</v>
      </c>
      <c r="F42" s="11">
        <v>43895</v>
      </c>
      <c r="G42" t="str">
        <f t="shared" si="0"/>
        <v>BENGALURU</v>
      </c>
      <c r="H42">
        <f>IF(COUNTIF($G$2:G42,G42)=1,1,0)</f>
        <v>0</v>
      </c>
      <c r="I42">
        <f t="shared" si="1"/>
        <v>10</v>
      </c>
      <c r="J42">
        <f t="shared" si="2"/>
        <v>10</v>
      </c>
      <c r="K42">
        <f t="shared" si="3"/>
        <v>0</v>
      </c>
    </row>
    <row r="43" spans="1:11" ht="14.25" customHeight="1" x14ac:dyDescent="0.35">
      <c r="A43" s="10" t="s">
        <v>304</v>
      </c>
      <c r="B43" s="10" t="s">
        <v>2518</v>
      </c>
      <c r="C43" s="12">
        <v>25</v>
      </c>
      <c r="D43" s="10" t="s">
        <v>52</v>
      </c>
      <c r="E43" s="10" t="s">
        <v>2475</v>
      </c>
      <c r="F43" s="11">
        <v>43843</v>
      </c>
      <c r="G43" t="str">
        <f t="shared" si="0"/>
        <v>PUNE</v>
      </c>
      <c r="H43">
        <f>IF(COUNTIF($G$2:G43,G43)=1,1,0)</f>
        <v>0</v>
      </c>
      <c r="I43">
        <f t="shared" si="1"/>
        <v>12</v>
      </c>
      <c r="J43">
        <f t="shared" si="2"/>
        <v>12</v>
      </c>
      <c r="K43">
        <f t="shared" si="3"/>
        <v>0</v>
      </c>
    </row>
    <row r="44" spans="1:11" ht="14.25" customHeight="1" x14ac:dyDescent="0.35">
      <c r="A44" s="10" t="s">
        <v>476</v>
      </c>
      <c r="B44" s="10" t="s">
        <v>2519</v>
      </c>
      <c r="C44" s="12">
        <v>61</v>
      </c>
      <c r="D44" s="10" t="s">
        <v>97</v>
      </c>
      <c r="E44" s="10" t="s">
        <v>2475</v>
      </c>
      <c r="F44" s="11">
        <v>44553</v>
      </c>
      <c r="G44" t="str">
        <f t="shared" si="0"/>
        <v>HYDERABAD</v>
      </c>
      <c r="H44">
        <f>IF(COUNTIF($G$2:G44,G44)=1,1,0)</f>
        <v>0</v>
      </c>
      <c r="I44">
        <f t="shared" si="1"/>
        <v>14</v>
      </c>
      <c r="J44">
        <f t="shared" si="2"/>
        <v>11</v>
      </c>
      <c r="K44">
        <f t="shared" si="3"/>
        <v>1</v>
      </c>
    </row>
    <row r="45" spans="1:11" ht="14.25" customHeight="1" x14ac:dyDescent="0.35">
      <c r="A45" s="10" t="s">
        <v>705</v>
      </c>
      <c r="B45" s="10" t="s">
        <v>2520</v>
      </c>
      <c r="C45" s="12">
        <v>29</v>
      </c>
      <c r="D45" s="10" t="s">
        <v>97</v>
      </c>
      <c r="E45" s="10" t="s">
        <v>2483</v>
      </c>
      <c r="F45" s="11">
        <v>45084</v>
      </c>
      <c r="G45" t="str">
        <f t="shared" si="0"/>
        <v>HYDERABAD</v>
      </c>
      <c r="H45">
        <f>IF(COUNTIF($G$2:G45,G45)=1,1,0)</f>
        <v>0</v>
      </c>
      <c r="I45">
        <f t="shared" si="1"/>
        <v>11</v>
      </c>
      <c r="J45">
        <f t="shared" si="2"/>
        <v>11</v>
      </c>
      <c r="K45">
        <f t="shared" si="3"/>
        <v>0</v>
      </c>
    </row>
    <row r="46" spans="1:11" ht="14.25" customHeight="1" x14ac:dyDescent="0.35">
      <c r="A46" s="10" t="s">
        <v>766</v>
      </c>
      <c r="B46" s="10" t="s">
        <v>2521</v>
      </c>
      <c r="C46" s="12">
        <v>39</v>
      </c>
      <c r="D46" s="10" t="s">
        <v>58</v>
      </c>
      <c r="E46" s="10" t="s">
        <v>2483</v>
      </c>
      <c r="F46" s="11">
        <v>45156</v>
      </c>
      <c r="G46" t="str">
        <f t="shared" si="0"/>
        <v>CHENNAI</v>
      </c>
      <c r="H46">
        <f>IF(COUNTIF($G$2:G46,G46)=1,1,0)</f>
        <v>0</v>
      </c>
      <c r="I46">
        <f t="shared" si="1"/>
        <v>10</v>
      </c>
      <c r="J46">
        <f t="shared" si="2"/>
        <v>10</v>
      </c>
      <c r="K46">
        <f t="shared" si="3"/>
        <v>0</v>
      </c>
    </row>
    <row r="47" spans="1:11" ht="14.25" customHeight="1" x14ac:dyDescent="0.35">
      <c r="A47" s="10" t="s">
        <v>967</v>
      </c>
      <c r="B47" s="10" t="s">
        <v>2522</v>
      </c>
      <c r="C47" s="12">
        <v>45</v>
      </c>
      <c r="D47" s="10" t="s">
        <v>63</v>
      </c>
      <c r="E47" s="10" t="s">
        <v>2483</v>
      </c>
      <c r="F47" s="11">
        <v>45144</v>
      </c>
      <c r="G47" t="str">
        <f t="shared" si="0"/>
        <v>DELHI</v>
      </c>
      <c r="H47">
        <f>IF(COUNTIF($G$2:G47,G47)=1,1,0)</f>
        <v>0</v>
      </c>
      <c r="I47">
        <f t="shared" si="1"/>
        <v>11</v>
      </c>
      <c r="J47">
        <f t="shared" si="2"/>
        <v>11</v>
      </c>
      <c r="K47">
        <f t="shared" si="3"/>
        <v>0</v>
      </c>
    </row>
    <row r="48" spans="1:11" ht="14.25" customHeight="1" x14ac:dyDescent="0.35">
      <c r="A48" s="10" t="s">
        <v>482</v>
      </c>
      <c r="B48" s="10" t="s">
        <v>2523</v>
      </c>
      <c r="C48" s="12">
        <v>49</v>
      </c>
      <c r="D48" s="10" t="s">
        <v>52</v>
      </c>
      <c r="E48" s="10" t="s">
        <v>2475</v>
      </c>
      <c r="F48" s="11">
        <v>44066</v>
      </c>
      <c r="G48" t="str">
        <f t="shared" si="0"/>
        <v>PUNE</v>
      </c>
      <c r="H48">
        <f>IF(COUNTIF($G$2:G48,G48)=1,1,0)</f>
        <v>0</v>
      </c>
      <c r="I48">
        <f t="shared" si="1"/>
        <v>13</v>
      </c>
      <c r="J48">
        <f t="shared" si="2"/>
        <v>13</v>
      </c>
      <c r="K48">
        <f t="shared" si="3"/>
        <v>0</v>
      </c>
    </row>
    <row r="49" spans="1:11" ht="14.25" customHeight="1" x14ac:dyDescent="0.35">
      <c r="A49" s="10" t="s">
        <v>454</v>
      </c>
      <c r="B49" s="10" t="s">
        <v>2524</v>
      </c>
      <c r="C49" s="12">
        <v>59</v>
      </c>
      <c r="D49" s="10" t="s">
        <v>63</v>
      </c>
      <c r="E49" s="10" t="s">
        <v>2475</v>
      </c>
      <c r="F49" s="11">
        <v>44479</v>
      </c>
      <c r="G49" t="str">
        <f t="shared" si="0"/>
        <v>DELHI</v>
      </c>
      <c r="H49">
        <f>IF(COUNTIF($G$2:G49,G49)=1,1,0)</f>
        <v>0</v>
      </c>
      <c r="I49">
        <f t="shared" si="1"/>
        <v>12</v>
      </c>
      <c r="J49">
        <f t="shared" si="2"/>
        <v>12</v>
      </c>
      <c r="K49">
        <f t="shared" si="3"/>
        <v>0</v>
      </c>
    </row>
    <row r="50" spans="1:11" ht="14.25" customHeight="1" x14ac:dyDescent="0.35">
      <c r="A50" s="10" t="s">
        <v>1322</v>
      </c>
      <c r="B50" s="10" t="s">
        <v>2525</v>
      </c>
      <c r="C50" s="12">
        <v>42</v>
      </c>
      <c r="D50" s="10" t="s">
        <v>76</v>
      </c>
      <c r="E50" s="10" t="s">
        <v>2477</v>
      </c>
      <c r="F50" s="11">
        <v>45116</v>
      </c>
      <c r="G50" t="str">
        <f t="shared" si="0"/>
        <v>MUMBAI</v>
      </c>
      <c r="H50">
        <f>IF(COUNTIF($G$2:G50,G50)=1,1,0)</f>
        <v>0</v>
      </c>
      <c r="I50">
        <f t="shared" si="1"/>
        <v>13</v>
      </c>
      <c r="J50">
        <f t="shared" si="2"/>
        <v>13</v>
      </c>
      <c r="K50">
        <f t="shared" si="3"/>
        <v>0</v>
      </c>
    </row>
    <row r="51" spans="1:11" ht="14.25" customHeight="1" x14ac:dyDescent="0.35">
      <c r="A51" s="10" t="s">
        <v>519</v>
      </c>
      <c r="B51" s="10" t="s">
        <v>2526</v>
      </c>
      <c r="C51" s="12">
        <v>37</v>
      </c>
      <c r="D51" s="10" t="s">
        <v>76</v>
      </c>
      <c r="E51" s="10" t="s">
        <v>2475</v>
      </c>
      <c r="F51" s="11">
        <v>43967</v>
      </c>
      <c r="G51" t="str">
        <f t="shared" si="0"/>
        <v>MUMBAI</v>
      </c>
      <c r="H51">
        <f>IF(COUNTIF($G$2:G51,G51)=1,1,0)</f>
        <v>0</v>
      </c>
      <c r="I51">
        <f t="shared" si="1"/>
        <v>12</v>
      </c>
      <c r="J51">
        <f t="shared" si="2"/>
        <v>12</v>
      </c>
      <c r="K51">
        <f t="shared" si="3"/>
        <v>0</v>
      </c>
    </row>
    <row r="52" spans="1:11" ht="14.25" customHeight="1" x14ac:dyDescent="0.35">
      <c r="A52" s="10" t="s">
        <v>272</v>
      </c>
      <c r="B52" s="10" t="s">
        <v>2527</v>
      </c>
      <c r="C52" s="12">
        <v>54</v>
      </c>
      <c r="D52" s="10" t="s">
        <v>52</v>
      </c>
      <c r="E52" s="10" t="s">
        <v>2483</v>
      </c>
      <c r="F52" s="11">
        <v>44613</v>
      </c>
      <c r="G52" t="str">
        <f t="shared" si="0"/>
        <v>PUNE</v>
      </c>
      <c r="H52">
        <f>IF(COUNTIF($G$2:G52,G52)=1,1,0)</f>
        <v>0</v>
      </c>
      <c r="I52">
        <f t="shared" si="1"/>
        <v>10</v>
      </c>
      <c r="J52">
        <f t="shared" si="2"/>
        <v>10</v>
      </c>
      <c r="K52">
        <f t="shared" si="3"/>
        <v>0</v>
      </c>
    </row>
    <row r="53" spans="1:11" ht="14.25" customHeight="1" x14ac:dyDescent="0.35">
      <c r="A53" s="10" t="s">
        <v>110</v>
      </c>
      <c r="B53" s="10" t="s">
        <v>2528</v>
      </c>
      <c r="C53" s="12">
        <v>38</v>
      </c>
      <c r="D53" s="10" t="s">
        <v>52</v>
      </c>
      <c r="E53" s="10" t="s">
        <v>2475</v>
      </c>
      <c r="F53" s="11">
        <v>44209</v>
      </c>
      <c r="G53" t="str">
        <f t="shared" si="0"/>
        <v>PUNE</v>
      </c>
      <c r="H53">
        <f>IF(COUNTIF($G$2:G53,G53)=1,1,0)</f>
        <v>0</v>
      </c>
      <c r="I53">
        <f t="shared" si="1"/>
        <v>11</v>
      </c>
      <c r="J53">
        <f t="shared" si="2"/>
        <v>11</v>
      </c>
      <c r="K53">
        <f t="shared" si="3"/>
        <v>0</v>
      </c>
    </row>
    <row r="54" spans="1:11" ht="14.25" customHeight="1" x14ac:dyDescent="0.35">
      <c r="A54" s="10" t="s">
        <v>187</v>
      </c>
      <c r="B54" s="10" t="s">
        <v>2529</v>
      </c>
      <c r="C54" s="12">
        <v>53</v>
      </c>
      <c r="D54" s="10" t="s">
        <v>63</v>
      </c>
      <c r="E54" s="10" t="s">
        <v>2475</v>
      </c>
      <c r="F54" s="11">
        <v>44288</v>
      </c>
      <c r="G54" t="str">
        <f t="shared" si="0"/>
        <v>DELHI</v>
      </c>
      <c r="H54">
        <f>IF(COUNTIF($G$2:G54,G54)=1,1,0)</f>
        <v>0</v>
      </c>
      <c r="I54">
        <f t="shared" si="1"/>
        <v>10</v>
      </c>
      <c r="J54">
        <f t="shared" si="2"/>
        <v>10</v>
      </c>
      <c r="K54">
        <f t="shared" si="3"/>
        <v>0</v>
      </c>
    </row>
    <row r="55" spans="1:11" ht="14.25" customHeight="1" x14ac:dyDescent="0.35">
      <c r="A55" s="10" t="s">
        <v>836</v>
      </c>
      <c r="B55" s="10" t="s">
        <v>2530</v>
      </c>
      <c r="C55" s="12">
        <v>62</v>
      </c>
      <c r="D55" s="10" t="s">
        <v>76</v>
      </c>
      <c r="E55" s="10" t="s">
        <v>2477</v>
      </c>
      <c r="F55" s="11">
        <v>44482</v>
      </c>
      <c r="G55" t="str">
        <f t="shared" si="0"/>
        <v>MUMBAI</v>
      </c>
      <c r="H55">
        <f>IF(COUNTIF($G$2:G55,G55)=1,1,0)</f>
        <v>0</v>
      </c>
      <c r="I55">
        <f t="shared" si="1"/>
        <v>11</v>
      </c>
      <c r="J55">
        <f t="shared" si="2"/>
        <v>11</v>
      </c>
      <c r="K55">
        <f t="shared" si="3"/>
        <v>0</v>
      </c>
    </row>
    <row r="56" spans="1:11" ht="14.25" customHeight="1" x14ac:dyDescent="0.35">
      <c r="A56" s="10" t="s">
        <v>568</v>
      </c>
      <c r="B56" s="10" t="s">
        <v>2531</v>
      </c>
      <c r="C56" s="12">
        <v>34</v>
      </c>
      <c r="D56" s="10" t="s">
        <v>81</v>
      </c>
      <c r="E56" s="10" t="s">
        <v>2475</v>
      </c>
      <c r="F56" s="11">
        <v>44753</v>
      </c>
      <c r="G56" t="str">
        <f t="shared" si="0"/>
        <v>BENGALURU</v>
      </c>
      <c r="H56">
        <f>IF(COUNTIF($G$2:G56,G56)=1,1,0)</f>
        <v>0</v>
      </c>
      <c r="I56">
        <f t="shared" si="1"/>
        <v>12</v>
      </c>
      <c r="J56">
        <f t="shared" si="2"/>
        <v>12</v>
      </c>
      <c r="K56">
        <f t="shared" si="3"/>
        <v>0</v>
      </c>
    </row>
    <row r="57" spans="1:11" ht="14.25" customHeight="1" x14ac:dyDescent="0.35">
      <c r="A57" s="10" t="s">
        <v>117</v>
      </c>
      <c r="B57" s="10" t="s">
        <v>2474</v>
      </c>
      <c r="C57" s="12">
        <v>46</v>
      </c>
      <c r="D57" s="10" t="s">
        <v>81</v>
      </c>
      <c r="E57" s="10" t="s">
        <v>2483</v>
      </c>
      <c r="F57" s="11">
        <v>45202</v>
      </c>
      <c r="G57" t="str">
        <f t="shared" si="0"/>
        <v>BENGALURU</v>
      </c>
      <c r="H57">
        <f>IF(COUNTIF($G$2:G57,G57)=1,1,0)</f>
        <v>0</v>
      </c>
      <c r="I57">
        <f t="shared" si="1"/>
        <v>12</v>
      </c>
      <c r="J57">
        <f t="shared" si="2"/>
        <v>12</v>
      </c>
      <c r="K57">
        <f t="shared" si="3"/>
        <v>0</v>
      </c>
    </row>
    <row r="58" spans="1:11" ht="14.25" customHeight="1" x14ac:dyDescent="0.35">
      <c r="A58" s="10" t="s">
        <v>734</v>
      </c>
      <c r="B58" s="10" t="s">
        <v>2532</v>
      </c>
      <c r="C58" s="12">
        <v>35</v>
      </c>
      <c r="D58" s="10" t="s">
        <v>52</v>
      </c>
      <c r="E58" s="10" t="s">
        <v>2475</v>
      </c>
      <c r="F58" s="11">
        <v>43917</v>
      </c>
      <c r="G58" t="str">
        <f t="shared" si="0"/>
        <v>PUNE</v>
      </c>
      <c r="H58">
        <f>IF(COUNTIF($G$2:G58,G58)=1,1,0)</f>
        <v>0</v>
      </c>
      <c r="I58">
        <f t="shared" si="1"/>
        <v>12</v>
      </c>
      <c r="J58">
        <f t="shared" si="2"/>
        <v>12</v>
      </c>
      <c r="K58">
        <f t="shared" si="3"/>
        <v>0</v>
      </c>
    </row>
    <row r="59" spans="1:11" ht="14.25" customHeight="1" x14ac:dyDescent="0.35">
      <c r="A59" s="10" t="s">
        <v>980</v>
      </c>
      <c r="B59" s="10" t="s">
        <v>2533</v>
      </c>
      <c r="C59" s="12">
        <v>49</v>
      </c>
      <c r="D59" s="10" t="s">
        <v>81</v>
      </c>
      <c r="E59" s="10" t="s">
        <v>2483</v>
      </c>
      <c r="F59" s="11">
        <v>44471</v>
      </c>
      <c r="G59" t="str">
        <f t="shared" si="0"/>
        <v>BENGALURU</v>
      </c>
      <c r="H59">
        <f>IF(COUNTIF($G$2:G59,G59)=1,1,0)</f>
        <v>0</v>
      </c>
      <c r="I59">
        <f t="shared" si="1"/>
        <v>10</v>
      </c>
      <c r="J59">
        <f t="shared" si="2"/>
        <v>10</v>
      </c>
      <c r="K59">
        <f t="shared" si="3"/>
        <v>0</v>
      </c>
    </row>
    <row r="60" spans="1:11" ht="14.25" customHeight="1" x14ac:dyDescent="0.35">
      <c r="A60" s="10" t="s">
        <v>451</v>
      </c>
      <c r="B60" s="10" t="s">
        <v>2534</v>
      </c>
      <c r="C60" s="12">
        <v>29</v>
      </c>
      <c r="D60" s="10" t="s">
        <v>52</v>
      </c>
      <c r="E60" s="10" t="s">
        <v>2477</v>
      </c>
      <c r="F60" s="11">
        <v>44796</v>
      </c>
      <c r="G60" t="str">
        <f t="shared" si="0"/>
        <v>PUNE</v>
      </c>
      <c r="H60">
        <f>IF(COUNTIF($G$2:G60,G60)=1,1,0)</f>
        <v>0</v>
      </c>
      <c r="I60">
        <f t="shared" si="1"/>
        <v>10</v>
      </c>
      <c r="J60">
        <f t="shared" si="2"/>
        <v>10</v>
      </c>
      <c r="K60">
        <f t="shared" si="3"/>
        <v>0</v>
      </c>
    </row>
    <row r="61" spans="1:11" ht="14.25" customHeight="1" x14ac:dyDescent="0.35">
      <c r="A61" s="10" t="s">
        <v>1136</v>
      </c>
      <c r="B61" s="10" t="s">
        <v>2535</v>
      </c>
      <c r="C61" s="12">
        <v>39</v>
      </c>
      <c r="D61" s="10" t="s">
        <v>52</v>
      </c>
      <c r="E61" s="10" t="s">
        <v>2475</v>
      </c>
      <c r="F61" s="11">
        <v>43897</v>
      </c>
      <c r="G61" t="str">
        <f t="shared" si="0"/>
        <v>PUNE</v>
      </c>
      <c r="H61">
        <f>IF(COUNTIF($G$2:G61,G61)=1,1,0)</f>
        <v>0</v>
      </c>
      <c r="I61">
        <f t="shared" si="1"/>
        <v>11</v>
      </c>
      <c r="J61">
        <f t="shared" si="2"/>
        <v>11</v>
      </c>
      <c r="K61">
        <f t="shared" si="3"/>
        <v>0</v>
      </c>
    </row>
    <row r="62" spans="1:11" ht="14.25" customHeight="1" x14ac:dyDescent="0.35">
      <c r="A62" s="10" t="s">
        <v>708</v>
      </c>
      <c r="B62" s="10" t="s">
        <v>2536</v>
      </c>
      <c r="C62" s="12">
        <v>64</v>
      </c>
      <c r="D62" s="10" t="s">
        <v>97</v>
      </c>
      <c r="E62" s="10" t="s">
        <v>2475</v>
      </c>
      <c r="F62" s="11">
        <v>43971</v>
      </c>
      <c r="G62" t="str">
        <f t="shared" si="0"/>
        <v>HYDERABAD</v>
      </c>
      <c r="H62">
        <f>IF(COUNTIF($G$2:G62,G62)=1,1,0)</f>
        <v>0</v>
      </c>
      <c r="I62">
        <f t="shared" si="1"/>
        <v>11</v>
      </c>
      <c r="J62">
        <f t="shared" si="2"/>
        <v>11</v>
      </c>
      <c r="K62">
        <f t="shared" si="3"/>
        <v>0</v>
      </c>
    </row>
    <row r="63" spans="1:11" ht="14.25" customHeight="1" x14ac:dyDescent="0.35">
      <c r="A63" s="10" t="s">
        <v>699</v>
      </c>
      <c r="B63" s="10" t="s">
        <v>2537</v>
      </c>
      <c r="C63" s="12">
        <v>54</v>
      </c>
      <c r="D63" s="10" t="s">
        <v>52</v>
      </c>
      <c r="E63" s="10" t="s">
        <v>2475</v>
      </c>
      <c r="F63" s="11">
        <v>45016</v>
      </c>
      <c r="G63" t="str">
        <f t="shared" si="0"/>
        <v>PUNE</v>
      </c>
      <c r="H63">
        <f>IF(COUNTIF($G$2:G63,G63)=1,1,0)</f>
        <v>0</v>
      </c>
      <c r="I63">
        <f t="shared" si="1"/>
        <v>15</v>
      </c>
      <c r="J63">
        <f t="shared" si="2"/>
        <v>15</v>
      </c>
      <c r="K63">
        <f t="shared" si="3"/>
        <v>0</v>
      </c>
    </row>
    <row r="64" spans="1:11" ht="14.25" customHeight="1" x14ac:dyDescent="0.35">
      <c r="A64" s="10" t="s">
        <v>1036</v>
      </c>
      <c r="B64" s="10" t="s">
        <v>2538</v>
      </c>
      <c r="C64" s="12">
        <v>53</v>
      </c>
      <c r="D64" s="10" t="s">
        <v>76</v>
      </c>
      <c r="E64" s="10" t="s">
        <v>2483</v>
      </c>
      <c r="F64" s="11">
        <v>44008</v>
      </c>
      <c r="G64" t="str">
        <f t="shared" si="0"/>
        <v>MUMBAI</v>
      </c>
      <c r="H64">
        <f>IF(COUNTIF($G$2:G64,G64)=1,1,0)</f>
        <v>0</v>
      </c>
      <c r="I64">
        <f t="shared" si="1"/>
        <v>13</v>
      </c>
      <c r="J64">
        <f t="shared" si="2"/>
        <v>13</v>
      </c>
      <c r="K64">
        <f t="shared" si="3"/>
        <v>0</v>
      </c>
    </row>
    <row r="65" spans="1:11" ht="14.25" customHeight="1" x14ac:dyDescent="0.35">
      <c r="A65" s="10" t="s">
        <v>170</v>
      </c>
      <c r="B65" s="10" t="s">
        <v>2539</v>
      </c>
      <c r="C65" s="12">
        <v>40</v>
      </c>
      <c r="D65" s="10" t="s">
        <v>97</v>
      </c>
      <c r="E65" s="10" t="s">
        <v>2483</v>
      </c>
      <c r="F65" s="11">
        <v>45070</v>
      </c>
      <c r="G65" t="str">
        <f t="shared" si="0"/>
        <v>HYDERABAD</v>
      </c>
      <c r="H65">
        <f>IF(COUNTIF($G$2:G65,G65)=1,1,0)</f>
        <v>0</v>
      </c>
      <c r="I65">
        <f t="shared" si="1"/>
        <v>11</v>
      </c>
      <c r="J65">
        <f t="shared" si="2"/>
        <v>11</v>
      </c>
      <c r="K65">
        <f t="shared" si="3"/>
        <v>0</v>
      </c>
    </row>
    <row r="66" spans="1:11" ht="14.25" customHeight="1" x14ac:dyDescent="0.35">
      <c r="A66" s="10" t="s">
        <v>1144</v>
      </c>
      <c r="B66" s="10" t="s">
        <v>2540</v>
      </c>
      <c r="C66" s="12">
        <v>49</v>
      </c>
      <c r="D66" s="10" t="s">
        <v>58</v>
      </c>
      <c r="E66" s="10" t="s">
        <v>2477</v>
      </c>
      <c r="F66" s="11">
        <v>44543</v>
      </c>
      <c r="G66" t="str">
        <f t="shared" ref="G66:G129" si="4">UPPER(TRIM(D66))</f>
        <v>CHENNAI</v>
      </c>
      <c r="H66">
        <f>IF(COUNTIF($G$2:G66,G66)=1,1,0)</f>
        <v>0</v>
      </c>
      <c r="I66">
        <f t="shared" ref="I66:I129" si="5">LEN(B66)</f>
        <v>11</v>
      </c>
      <c r="J66">
        <f t="shared" ref="J66:J129" si="6">LEN(TRIM(B66))</f>
        <v>11</v>
      </c>
      <c r="K66">
        <f t="shared" ref="K66:K129" si="7">IF(I66&lt;&gt;J66,1,0)</f>
        <v>0</v>
      </c>
    </row>
    <row r="67" spans="1:11" ht="14.25" customHeight="1" x14ac:dyDescent="0.35">
      <c r="A67" s="10" t="s">
        <v>678</v>
      </c>
      <c r="B67" s="10" t="s">
        <v>2541</v>
      </c>
      <c r="C67" s="12">
        <v>24</v>
      </c>
      <c r="D67" s="10" t="s">
        <v>63</v>
      </c>
      <c r="E67" s="10" t="s">
        <v>2475</v>
      </c>
      <c r="F67" s="11">
        <v>44851</v>
      </c>
      <c r="G67" t="str">
        <f t="shared" si="4"/>
        <v>DELHI</v>
      </c>
      <c r="H67">
        <f>IF(COUNTIF($G$2:G67,G67)=1,1,0)</f>
        <v>0</v>
      </c>
      <c r="I67">
        <f t="shared" si="5"/>
        <v>14</v>
      </c>
      <c r="J67">
        <f t="shared" si="6"/>
        <v>14</v>
      </c>
      <c r="K67">
        <f t="shared" si="7"/>
        <v>0</v>
      </c>
    </row>
    <row r="68" spans="1:11" ht="14.25" customHeight="1" x14ac:dyDescent="0.35">
      <c r="A68" s="10" t="s">
        <v>438</v>
      </c>
      <c r="B68" s="10" t="s">
        <v>2542</v>
      </c>
      <c r="C68" s="12">
        <v>59</v>
      </c>
      <c r="D68" s="10" t="s">
        <v>63</v>
      </c>
      <c r="E68" s="10" t="s">
        <v>2483</v>
      </c>
      <c r="F68" s="11">
        <v>44020</v>
      </c>
      <c r="G68" t="str">
        <f t="shared" si="4"/>
        <v>DELHI</v>
      </c>
      <c r="H68">
        <f>IF(COUNTIF($G$2:G68,G68)=1,1,0)</f>
        <v>0</v>
      </c>
      <c r="I68">
        <f t="shared" si="5"/>
        <v>9</v>
      </c>
      <c r="J68">
        <f t="shared" si="6"/>
        <v>9</v>
      </c>
      <c r="K68">
        <f t="shared" si="7"/>
        <v>0</v>
      </c>
    </row>
    <row r="69" spans="1:11" ht="14.25" customHeight="1" x14ac:dyDescent="0.35">
      <c r="A69" s="10" t="s">
        <v>497</v>
      </c>
      <c r="B69" s="10" t="s">
        <v>2543</v>
      </c>
      <c r="C69" s="12">
        <v>48</v>
      </c>
      <c r="D69" s="10" t="s">
        <v>63</v>
      </c>
      <c r="E69" s="10" t="s">
        <v>2483</v>
      </c>
      <c r="F69" s="11">
        <v>44553</v>
      </c>
      <c r="G69" t="str">
        <f t="shared" si="4"/>
        <v>DELHI</v>
      </c>
      <c r="H69">
        <f>IF(COUNTIF($G$2:G69,G69)=1,1,0)</f>
        <v>0</v>
      </c>
      <c r="I69">
        <f t="shared" si="5"/>
        <v>12</v>
      </c>
      <c r="J69">
        <f t="shared" si="6"/>
        <v>12</v>
      </c>
      <c r="K69">
        <f t="shared" si="7"/>
        <v>0</v>
      </c>
    </row>
    <row r="70" spans="1:11" ht="14.25" customHeight="1" x14ac:dyDescent="0.35">
      <c r="A70" s="10" t="s">
        <v>181</v>
      </c>
      <c r="B70" s="10" t="s">
        <v>2544</v>
      </c>
      <c r="C70" s="12">
        <v>51</v>
      </c>
      <c r="D70" s="10" t="s">
        <v>58</v>
      </c>
      <c r="E70" s="10" t="s">
        <v>2475</v>
      </c>
      <c r="F70" s="11">
        <v>43906</v>
      </c>
      <c r="G70" t="str">
        <f t="shared" si="4"/>
        <v>CHENNAI</v>
      </c>
      <c r="H70">
        <f>IF(COUNTIF($G$2:G70,G70)=1,1,0)</f>
        <v>0</v>
      </c>
      <c r="I70">
        <f t="shared" si="5"/>
        <v>12</v>
      </c>
      <c r="J70">
        <f t="shared" si="6"/>
        <v>12</v>
      </c>
      <c r="K70">
        <f t="shared" si="7"/>
        <v>0</v>
      </c>
    </row>
    <row r="71" spans="1:11" ht="14.25" customHeight="1" x14ac:dyDescent="0.35">
      <c r="A71" s="10" t="s">
        <v>335</v>
      </c>
      <c r="B71" s="10" t="s">
        <v>2545</v>
      </c>
      <c r="C71" s="12">
        <v>42</v>
      </c>
      <c r="D71" s="10" t="s">
        <v>76</v>
      </c>
      <c r="E71" s="10" t="s">
        <v>2475</v>
      </c>
      <c r="F71" s="11">
        <v>44568</v>
      </c>
      <c r="G71" t="str">
        <f t="shared" si="4"/>
        <v>MUMBAI</v>
      </c>
      <c r="H71">
        <f>IF(COUNTIF($G$2:G71,G71)=1,1,0)</f>
        <v>0</v>
      </c>
      <c r="I71">
        <f t="shared" si="5"/>
        <v>9</v>
      </c>
      <c r="J71">
        <f t="shared" si="6"/>
        <v>9</v>
      </c>
      <c r="K71">
        <f t="shared" si="7"/>
        <v>0</v>
      </c>
    </row>
    <row r="72" spans="1:11" ht="14.25" customHeight="1" x14ac:dyDescent="0.35">
      <c r="A72" s="10" t="s">
        <v>65</v>
      </c>
      <c r="B72" s="10" t="s">
        <v>2546</v>
      </c>
      <c r="C72" s="12">
        <v>46</v>
      </c>
      <c r="D72" s="10" t="s">
        <v>63</v>
      </c>
      <c r="E72" s="10" t="s">
        <v>2477</v>
      </c>
      <c r="F72" s="11">
        <v>44574</v>
      </c>
      <c r="G72" t="str">
        <f t="shared" si="4"/>
        <v>DELHI</v>
      </c>
      <c r="H72">
        <f>IF(COUNTIF($G$2:G72,G72)=1,1,0)</f>
        <v>0</v>
      </c>
      <c r="I72">
        <f t="shared" si="5"/>
        <v>10</v>
      </c>
      <c r="J72">
        <f t="shared" si="6"/>
        <v>10</v>
      </c>
      <c r="K72">
        <f t="shared" si="7"/>
        <v>0</v>
      </c>
    </row>
    <row r="73" spans="1:11" ht="14.25" customHeight="1" x14ac:dyDescent="0.35">
      <c r="A73" s="10" t="s">
        <v>842</v>
      </c>
      <c r="B73" s="10" t="s">
        <v>2547</v>
      </c>
      <c r="C73" s="12">
        <v>62</v>
      </c>
      <c r="D73" s="10" t="s">
        <v>76</v>
      </c>
      <c r="E73" s="10" t="s">
        <v>2477</v>
      </c>
      <c r="F73" s="11">
        <v>44301</v>
      </c>
      <c r="G73" t="str">
        <f t="shared" si="4"/>
        <v>MUMBAI</v>
      </c>
      <c r="H73">
        <f>IF(COUNTIF($G$2:G73,G73)=1,1,0)</f>
        <v>0</v>
      </c>
      <c r="I73">
        <f t="shared" si="5"/>
        <v>12</v>
      </c>
      <c r="J73">
        <f t="shared" si="6"/>
        <v>10</v>
      </c>
      <c r="K73">
        <f t="shared" si="7"/>
        <v>1</v>
      </c>
    </row>
    <row r="74" spans="1:11" ht="14.25" customHeight="1" x14ac:dyDescent="0.35">
      <c r="A74" s="10" t="s">
        <v>544</v>
      </c>
      <c r="B74" s="10" t="s">
        <v>2548</v>
      </c>
      <c r="C74" s="12">
        <v>40</v>
      </c>
      <c r="D74" s="10" t="s">
        <v>52</v>
      </c>
      <c r="E74" s="10" t="s">
        <v>2477</v>
      </c>
      <c r="F74" s="11">
        <v>45190</v>
      </c>
      <c r="G74" t="str">
        <f t="shared" si="4"/>
        <v>PUNE</v>
      </c>
      <c r="H74">
        <f>IF(COUNTIF($G$2:G74,G74)=1,1,0)</f>
        <v>0</v>
      </c>
      <c r="I74">
        <f t="shared" si="5"/>
        <v>15</v>
      </c>
      <c r="J74">
        <f t="shared" si="6"/>
        <v>15</v>
      </c>
      <c r="K74">
        <f t="shared" si="7"/>
        <v>0</v>
      </c>
    </row>
    <row r="75" spans="1:11" ht="14.25" customHeight="1" x14ac:dyDescent="0.35">
      <c r="A75" s="10" t="s">
        <v>743</v>
      </c>
      <c r="B75" s="10" t="s">
        <v>2549</v>
      </c>
      <c r="C75" s="12">
        <v>27</v>
      </c>
      <c r="D75" s="10" t="s">
        <v>81</v>
      </c>
      <c r="E75" s="10" t="s">
        <v>2475</v>
      </c>
      <c r="F75" s="11">
        <v>45100</v>
      </c>
      <c r="G75" t="str">
        <f t="shared" si="4"/>
        <v>BENGALURU</v>
      </c>
      <c r="H75">
        <f>IF(COUNTIF($G$2:G75,G75)=1,1,0)</f>
        <v>0</v>
      </c>
      <c r="I75">
        <f t="shared" si="5"/>
        <v>10</v>
      </c>
      <c r="J75">
        <f t="shared" si="6"/>
        <v>10</v>
      </c>
      <c r="K75">
        <f t="shared" si="7"/>
        <v>0</v>
      </c>
    </row>
    <row r="76" spans="1:11" ht="14.25" customHeight="1" x14ac:dyDescent="0.35">
      <c r="A76" s="10" t="s">
        <v>488</v>
      </c>
      <c r="B76" s="10" t="s">
        <v>2550</v>
      </c>
      <c r="C76" s="12">
        <v>55</v>
      </c>
      <c r="D76" s="10" t="s">
        <v>76</v>
      </c>
      <c r="E76" s="10" t="s">
        <v>2477</v>
      </c>
      <c r="F76" s="11">
        <v>43973</v>
      </c>
      <c r="G76" t="str">
        <f t="shared" si="4"/>
        <v>MUMBAI</v>
      </c>
      <c r="H76">
        <f>IF(COUNTIF($G$2:G76,G76)=1,1,0)</f>
        <v>0</v>
      </c>
      <c r="I76">
        <f t="shared" si="5"/>
        <v>12</v>
      </c>
      <c r="J76">
        <f t="shared" si="6"/>
        <v>12</v>
      </c>
      <c r="K76">
        <f t="shared" si="7"/>
        <v>0</v>
      </c>
    </row>
    <row r="77" spans="1:11" ht="14.25" customHeight="1" x14ac:dyDescent="0.35">
      <c r="A77" s="10" t="s">
        <v>1314</v>
      </c>
      <c r="B77" s="10" t="s">
        <v>2551</v>
      </c>
      <c r="C77" s="12">
        <v>38</v>
      </c>
      <c r="D77" s="10" t="s">
        <v>76</v>
      </c>
      <c r="E77" s="10" t="s">
        <v>2475</v>
      </c>
      <c r="F77" s="11">
        <v>43964</v>
      </c>
      <c r="G77" t="str">
        <f t="shared" si="4"/>
        <v>MUMBAI</v>
      </c>
      <c r="H77">
        <f>IF(COUNTIF($G$2:G77,G77)=1,1,0)</f>
        <v>0</v>
      </c>
      <c r="I77">
        <f t="shared" si="5"/>
        <v>11</v>
      </c>
      <c r="J77">
        <f t="shared" si="6"/>
        <v>11</v>
      </c>
      <c r="K77">
        <f t="shared" si="7"/>
        <v>0</v>
      </c>
    </row>
    <row r="78" spans="1:11" ht="14.25" customHeight="1" x14ac:dyDescent="0.35">
      <c r="A78" s="10" t="s">
        <v>501</v>
      </c>
      <c r="B78" s="10" t="s">
        <v>2552</v>
      </c>
      <c r="C78" s="12">
        <v>48</v>
      </c>
      <c r="D78" s="10" t="s">
        <v>97</v>
      </c>
      <c r="E78" s="10" t="s">
        <v>2483</v>
      </c>
      <c r="F78" s="11">
        <v>44443</v>
      </c>
      <c r="G78" t="str">
        <f t="shared" si="4"/>
        <v>HYDERABAD</v>
      </c>
      <c r="H78">
        <f>IF(COUNTIF($G$2:G78,G78)=1,1,0)</f>
        <v>0</v>
      </c>
      <c r="I78">
        <f t="shared" si="5"/>
        <v>10</v>
      </c>
      <c r="J78">
        <f t="shared" si="6"/>
        <v>10</v>
      </c>
      <c r="K78">
        <f t="shared" si="7"/>
        <v>0</v>
      </c>
    </row>
    <row r="79" spans="1:11" ht="14.25" customHeight="1" x14ac:dyDescent="0.35">
      <c r="A79" s="10" t="s">
        <v>286</v>
      </c>
      <c r="B79" s="10" t="s">
        <v>2553</v>
      </c>
      <c r="C79" s="12">
        <v>31</v>
      </c>
      <c r="D79" s="10" t="s">
        <v>63</v>
      </c>
      <c r="E79" s="10" t="s">
        <v>2475</v>
      </c>
      <c r="F79" s="11">
        <v>45133</v>
      </c>
      <c r="G79" t="str">
        <f t="shared" si="4"/>
        <v>DELHI</v>
      </c>
      <c r="H79">
        <f>IF(COUNTIF($G$2:G79,G79)=1,1,0)</f>
        <v>0</v>
      </c>
      <c r="I79">
        <f t="shared" si="5"/>
        <v>13</v>
      </c>
      <c r="J79">
        <f t="shared" si="6"/>
        <v>10</v>
      </c>
      <c r="K79">
        <f t="shared" si="7"/>
        <v>1</v>
      </c>
    </row>
    <row r="80" spans="1:11" ht="14.25" customHeight="1" x14ac:dyDescent="0.35">
      <c r="A80" s="10" t="s">
        <v>515</v>
      </c>
      <c r="B80" s="10" t="s">
        <v>2554</v>
      </c>
      <c r="C80" s="12">
        <v>60</v>
      </c>
      <c r="D80" s="10" t="s">
        <v>76</v>
      </c>
      <c r="E80" s="10" t="s">
        <v>2477</v>
      </c>
      <c r="F80" s="11">
        <v>44271</v>
      </c>
      <c r="G80" t="str">
        <f t="shared" si="4"/>
        <v>MUMBAI</v>
      </c>
      <c r="H80">
        <f>IF(COUNTIF($G$2:G80,G80)=1,1,0)</f>
        <v>0</v>
      </c>
      <c r="I80">
        <f t="shared" si="5"/>
        <v>12</v>
      </c>
      <c r="J80">
        <f t="shared" si="6"/>
        <v>12</v>
      </c>
      <c r="K80">
        <f t="shared" si="7"/>
        <v>0</v>
      </c>
    </row>
    <row r="81" spans="1:11" ht="14.25" customHeight="1" x14ac:dyDescent="0.35">
      <c r="A81" s="10" t="s">
        <v>404</v>
      </c>
      <c r="B81" s="10" t="s">
        <v>2555</v>
      </c>
      <c r="C81" s="12">
        <v>30</v>
      </c>
      <c r="D81" s="10" t="s">
        <v>52</v>
      </c>
      <c r="E81" s="10" t="s">
        <v>2483</v>
      </c>
      <c r="F81" s="11">
        <v>43901</v>
      </c>
      <c r="G81" t="str">
        <f t="shared" si="4"/>
        <v>PUNE</v>
      </c>
      <c r="H81">
        <f>IF(COUNTIF($G$2:G81,G81)=1,1,0)</f>
        <v>0</v>
      </c>
      <c r="I81">
        <f t="shared" si="5"/>
        <v>9</v>
      </c>
      <c r="J81">
        <f t="shared" si="6"/>
        <v>9</v>
      </c>
      <c r="K81">
        <f t="shared" si="7"/>
        <v>0</v>
      </c>
    </row>
    <row r="82" spans="1:11" ht="14.25" customHeight="1" x14ac:dyDescent="0.35">
      <c r="A82" s="10" t="s">
        <v>330</v>
      </c>
      <c r="B82" s="10" t="s">
        <v>2556</v>
      </c>
      <c r="C82" s="12">
        <v>25</v>
      </c>
      <c r="D82" s="10" t="s">
        <v>76</v>
      </c>
      <c r="E82" s="10" t="s">
        <v>2475</v>
      </c>
      <c r="F82" s="11">
        <v>44331</v>
      </c>
      <c r="G82" t="str">
        <f t="shared" si="4"/>
        <v>MUMBAI</v>
      </c>
      <c r="H82">
        <f>IF(COUNTIF($G$2:G82,G82)=1,1,0)</f>
        <v>0</v>
      </c>
      <c r="I82">
        <f t="shared" si="5"/>
        <v>10</v>
      </c>
      <c r="J82">
        <f t="shared" si="6"/>
        <v>10</v>
      </c>
      <c r="K82">
        <f t="shared" si="7"/>
        <v>0</v>
      </c>
    </row>
    <row r="83" spans="1:11" ht="14.25" customHeight="1" x14ac:dyDescent="0.35">
      <c r="A83" s="10" t="s">
        <v>284</v>
      </c>
      <c r="B83" s="10" t="s">
        <v>2557</v>
      </c>
      <c r="C83" s="12">
        <v>36</v>
      </c>
      <c r="D83" s="10" t="s">
        <v>97</v>
      </c>
      <c r="E83" s="10" t="s">
        <v>2483</v>
      </c>
      <c r="F83" s="11">
        <v>44152</v>
      </c>
      <c r="G83" t="str">
        <f t="shared" si="4"/>
        <v>HYDERABAD</v>
      </c>
      <c r="H83">
        <f>IF(COUNTIF($G$2:G83,G83)=1,1,0)</f>
        <v>0</v>
      </c>
      <c r="I83">
        <f t="shared" si="5"/>
        <v>12</v>
      </c>
      <c r="J83">
        <f t="shared" si="6"/>
        <v>12</v>
      </c>
      <c r="K83">
        <f t="shared" si="7"/>
        <v>0</v>
      </c>
    </row>
    <row r="84" spans="1:11" ht="14.25" customHeight="1" x14ac:dyDescent="0.35">
      <c r="A84" s="10" t="s">
        <v>1068</v>
      </c>
      <c r="B84" s="10" t="s">
        <v>2558</v>
      </c>
      <c r="C84" s="12">
        <v>31</v>
      </c>
      <c r="D84" s="10" t="s">
        <v>81</v>
      </c>
      <c r="E84" s="10" t="s">
        <v>2477</v>
      </c>
      <c r="F84" s="11">
        <v>44248</v>
      </c>
      <c r="G84" t="str">
        <f t="shared" si="4"/>
        <v>BENGALURU</v>
      </c>
      <c r="H84">
        <f>IF(COUNTIF($G$2:G84,G84)=1,1,0)</f>
        <v>0</v>
      </c>
      <c r="I84">
        <f t="shared" si="5"/>
        <v>11</v>
      </c>
      <c r="J84">
        <f t="shared" si="6"/>
        <v>11</v>
      </c>
      <c r="K84">
        <f t="shared" si="7"/>
        <v>0</v>
      </c>
    </row>
    <row r="85" spans="1:11" ht="14.25" customHeight="1" x14ac:dyDescent="0.35">
      <c r="A85" s="10" t="s">
        <v>292</v>
      </c>
      <c r="B85" s="10" t="s">
        <v>2559</v>
      </c>
      <c r="C85" s="12">
        <v>28</v>
      </c>
      <c r="D85" s="10" t="s">
        <v>58</v>
      </c>
      <c r="E85" s="10" t="s">
        <v>2475</v>
      </c>
      <c r="F85" s="11">
        <v>44116</v>
      </c>
      <c r="G85" t="str">
        <f t="shared" si="4"/>
        <v>CHENNAI</v>
      </c>
      <c r="H85">
        <f>IF(COUNTIF($G$2:G85,G85)=1,1,0)</f>
        <v>0</v>
      </c>
      <c r="I85">
        <f t="shared" si="5"/>
        <v>13</v>
      </c>
      <c r="J85">
        <f t="shared" si="6"/>
        <v>13</v>
      </c>
      <c r="K85">
        <f t="shared" si="7"/>
        <v>0</v>
      </c>
    </row>
    <row r="86" spans="1:11" ht="14.25" customHeight="1" x14ac:dyDescent="0.35">
      <c r="A86" s="10" t="s">
        <v>549</v>
      </c>
      <c r="B86" s="10" t="s">
        <v>2560</v>
      </c>
      <c r="C86" s="12">
        <v>26</v>
      </c>
      <c r="D86" s="10" t="s">
        <v>58</v>
      </c>
      <c r="E86" s="10" t="s">
        <v>2475</v>
      </c>
      <c r="F86" s="11">
        <v>45149</v>
      </c>
      <c r="G86" t="str">
        <f t="shared" si="4"/>
        <v>CHENNAI</v>
      </c>
      <c r="H86">
        <f>IF(COUNTIF($G$2:G86,G86)=1,1,0)</f>
        <v>0</v>
      </c>
      <c r="I86">
        <f t="shared" si="5"/>
        <v>10</v>
      </c>
      <c r="J86">
        <f t="shared" si="6"/>
        <v>10</v>
      </c>
      <c r="K86">
        <f t="shared" si="7"/>
        <v>0</v>
      </c>
    </row>
    <row r="87" spans="1:11" ht="14.25" customHeight="1" x14ac:dyDescent="0.35">
      <c r="A87" s="10" t="s">
        <v>154</v>
      </c>
      <c r="B87" s="10" t="s">
        <v>2561</v>
      </c>
      <c r="C87" s="12">
        <v>56</v>
      </c>
      <c r="D87" s="10" t="s">
        <v>97</v>
      </c>
      <c r="E87" s="10" t="s">
        <v>2477</v>
      </c>
      <c r="F87" s="11">
        <v>45039</v>
      </c>
      <c r="G87" t="str">
        <f t="shared" si="4"/>
        <v>HYDERABAD</v>
      </c>
      <c r="H87">
        <f>IF(COUNTIF($G$2:G87,G87)=1,1,0)</f>
        <v>0</v>
      </c>
      <c r="I87">
        <f t="shared" si="5"/>
        <v>13</v>
      </c>
      <c r="J87">
        <f t="shared" si="6"/>
        <v>13</v>
      </c>
      <c r="K87">
        <f t="shared" si="7"/>
        <v>0</v>
      </c>
    </row>
    <row r="88" spans="1:11" ht="14.25" customHeight="1" x14ac:dyDescent="0.35">
      <c r="A88" s="10" t="s">
        <v>443</v>
      </c>
      <c r="B88" s="10" t="s">
        <v>2562</v>
      </c>
      <c r="C88" s="12">
        <v>49</v>
      </c>
      <c r="D88" s="10" t="s">
        <v>52</v>
      </c>
      <c r="E88" s="10" t="s">
        <v>2483</v>
      </c>
      <c r="F88" s="11">
        <v>44621</v>
      </c>
      <c r="G88" t="str">
        <f t="shared" si="4"/>
        <v>PUNE</v>
      </c>
      <c r="H88">
        <f>IF(COUNTIF($G$2:G88,G88)=1,1,0)</f>
        <v>0</v>
      </c>
      <c r="I88">
        <f t="shared" si="5"/>
        <v>12</v>
      </c>
      <c r="J88">
        <f t="shared" si="6"/>
        <v>12</v>
      </c>
      <c r="K88">
        <f t="shared" si="7"/>
        <v>0</v>
      </c>
    </row>
    <row r="89" spans="1:11" ht="14.25" customHeight="1" x14ac:dyDescent="0.35">
      <c r="A89" s="10" t="s">
        <v>218</v>
      </c>
      <c r="B89" s="10" t="s">
        <v>2563</v>
      </c>
      <c r="C89" s="12">
        <v>24</v>
      </c>
      <c r="D89" s="10" t="s">
        <v>58</v>
      </c>
      <c r="E89" s="10" t="s">
        <v>2475</v>
      </c>
      <c r="F89" s="11">
        <v>44693</v>
      </c>
      <c r="G89" t="str">
        <f t="shared" si="4"/>
        <v>CHENNAI</v>
      </c>
      <c r="H89">
        <f>IF(COUNTIF($G$2:G89,G89)=1,1,0)</f>
        <v>0</v>
      </c>
      <c r="I89">
        <f t="shared" si="5"/>
        <v>13</v>
      </c>
      <c r="J89">
        <f t="shared" si="6"/>
        <v>13</v>
      </c>
      <c r="K89">
        <f t="shared" si="7"/>
        <v>0</v>
      </c>
    </row>
    <row r="90" spans="1:11" ht="14.25" customHeight="1" x14ac:dyDescent="0.35">
      <c r="A90" s="10" t="s">
        <v>869</v>
      </c>
      <c r="B90" s="10" t="s">
        <v>2564</v>
      </c>
      <c r="C90" s="12">
        <v>43</v>
      </c>
      <c r="D90" s="10" t="s">
        <v>76</v>
      </c>
      <c r="E90" s="10" t="s">
        <v>2483</v>
      </c>
      <c r="F90" s="11">
        <v>44513</v>
      </c>
      <c r="G90" t="str">
        <f t="shared" si="4"/>
        <v>MUMBAI</v>
      </c>
      <c r="H90">
        <f>IF(COUNTIF($G$2:G90,G90)=1,1,0)</f>
        <v>0</v>
      </c>
      <c r="I90">
        <f t="shared" si="5"/>
        <v>11</v>
      </c>
      <c r="J90">
        <f t="shared" si="6"/>
        <v>11</v>
      </c>
      <c r="K90">
        <f t="shared" si="7"/>
        <v>0</v>
      </c>
    </row>
    <row r="91" spans="1:11" ht="14.25" customHeight="1" x14ac:dyDescent="0.35">
      <c r="A91" s="10" t="s">
        <v>563</v>
      </c>
      <c r="B91" s="10" t="s">
        <v>2565</v>
      </c>
      <c r="C91" s="12">
        <v>26</v>
      </c>
      <c r="D91" s="10" t="s">
        <v>81</v>
      </c>
      <c r="E91" s="10" t="s">
        <v>2477</v>
      </c>
      <c r="F91" s="11">
        <v>44137</v>
      </c>
      <c r="G91" t="str">
        <f t="shared" si="4"/>
        <v>BENGALURU</v>
      </c>
      <c r="H91">
        <f>IF(COUNTIF($G$2:G91,G91)=1,1,0)</f>
        <v>0</v>
      </c>
      <c r="I91">
        <f t="shared" si="5"/>
        <v>11</v>
      </c>
      <c r="J91">
        <f t="shared" si="6"/>
        <v>11</v>
      </c>
      <c r="K91">
        <f t="shared" si="7"/>
        <v>0</v>
      </c>
    </row>
    <row r="92" spans="1:11" ht="14.25" customHeight="1" x14ac:dyDescent="0.35">
      <c r="A92" s="10" t="s">
        <v>874</v>
      </c>
      <c r="B92" s="10" t="s">
        <v>2566</v>
      </c>
      <c r="C92" s="12">
        <v>55</v>
      </c>
      <c r="D92" s="10" t="s">
        <v>63</v>
      </c>
      <c r="E92" s="10" t="s">
        <v>2475</v>
      </c>
      <c r="F92" s="11">
        <v>45178</v>
      </c>
      <c r="G92" t="str">
        <f t="shared" si="4"/>
        <v>DELHI</v>
      </c>
      <c r="H92">
        <f>IF(COUNTIF($G$2:G92,G92)=1,1,0)</f>
        <v>0</v>
      </c>
      <c r="I92">
        <f t="shared" si="5"/>
        <v>12</v>
      </c>
      <c r="J92">
        <f t="shared" si="6"/>
        <v>12</v>
      </c>
      <c r="K92">
        <f t="shared" si="7"/>
        <v>0</v>
      </c>
    </row>
    <row r="93" spans="1:11" ht="14.25" customHeight="1" x14ac:dyDescent="0.35">
      <c r="A93" s="10" t="s">
        <v>358</v>
      </c>
      <c r="B93" s="10" t="s">
        <v>2567</v>
      </c>
      <c r="C93" s="12">
        <v>28</v>
      </c>
      <c r="D93" s="10" t="s">
        <v>81</v>
      </c>
      <c r="E93" s="10" t="s">
        <v>2483</v>
      </c>
      <c r="F93" s="11">
        <v>44731</v>
      </c>
      <c r="G93" t="str">
        <f t="shared" si="4"/>
        <v>BENGALURU</v>
      </c>
      <c r="H93">
        <f>IF(COUNTIF($G$2:G93,G93)=1,1,0)</f>
        <v>0</v>
      </c>
      <c r="I93">
        <f t="shared" si="5"/>
        <v>10</v>
      </c>
      <c r="J93">
        <f t="shared" si="6"/>
        <v>10</v>
      </c>
      <c r="K93">
        <f t="shared" si="7"/>
        <v>0</v>
      </c>
    </row>
    <row r="94" spans="1:11" ht="14.25" customHeight="1" x14ac:dyDescent="0.35">
      <c r="A94" s="10" t="s">
        <v>780</v>
      </c>
      <c r="B94" s="10" t="s">
        <v>2568</v>
      </c>
      <c r="C94" s="12">
        <v>36</v>
      </c>
      <c r="D94" s="10" t="s">
        <v>52</v>
      </c>
      <c r="E94" s="10" t="s">
        <v>2475</v>
      </c>
      <c r="F94" s="11">
        <v>44743</v>
      </c>
      <c r="G94" t="str">
        <f t="shared" si="4"/>
        <v>PUNE</v>
      </c>
      <c r="H94">
        <f>IF(COUNTIF($G$2:G94,G94)=1,1,0)</f>
        <v>0</v>
      </c>
      <c r="I94">
        <f t="shared" si="5"/>
        <v>12</v>
      </c>
      <c r="J94">
        <f t="shared" si="6"/>
        <v>12</v>
      </c>
      <c r="K94">
        <f t="shared" si="7"/>
        <v>0</v>
      </c>
    </row>
    <row r="95" spans="1:11" ht="14.25" customHeight="1" x14ac:dyDescent="0.35">
      <c r="A95" s="10" t="s">
        <v>280</v>
      </c>
      <c r="B95" s="10" t="s">
        <v>2569</v>
      </c>
      <c r="C95" s="12">
        <v>60</v>
      </c>
      <c r="D95" s="10" t="s">
        <v>52</v>
      </c>
      <c r="E95" s="10" t="s">
        <v>2483</v>
      </c>
      <c r="F95" s="11">
        <v>44915</v>
      </c>
      <c r="G95" t="str">
        <f t="shared" si="4"/>
        <v>PUNE</v>
      </c>
      <c r="H95">
        <f>IF(COUNTIF($G$2:G95,G95)=1,1,0)</f>
        <v>0</v>
      </c>
      <c r="I95">
        <f t="shared" si="5"/>
        <v>10</v>
      </c>
      <c r="J95">
        <f t="shared" si="6"/>
        <v>10</v>
      </c>
      <c r="K95">
        <f t="shared" si="7"/>
        <v>0</v>
      </c>
    </row>
    <row r="96" spans="1:11" ht="14.25" customHeight="1" x14ac:dyDescent="0.35">
      <c r="A96" s="10" t="s">
        <v>192</v>
      </c>
      <c r="B96" s="10" t="s">
        <v>2570</v>
      </c>
      <c r="C96" s="12">
        <v>54</v>
      </c>
      <c r="D96" s="10" t="s">
        <v>76</v>
      </c>
      <c r="E96" s="10" t="s">
        <v>2483</v>
      </c>
      <c r="F96" s="11">
        <v>44622</v>
      </c>
      <c r="G96" t="str">
        <f t="shared" si="4"/>
        <v>MUMBAI</v>
      </c>
      <c r="H96">
        <f>IF(COUNTIF($G$2:G96,G96)=1,1,0)</f>
        <v>0</v>
      </c>
      <c r="I96">
        <f t="shared" si="5"/>
        <v>15</v>
      </c>
      <c r="J96">
        <f t="shared" si="6"/>
        <v>13</v>
      </c>
      <c r="K96">
        <f t="shared" si="7"/>
        <v>1</v>
      </c>
    </row>
    <row r="97" spans="1:11" ht="14.25" customHeight="1" x14ac:dyDescent="0.35">
      <c r="A97" s="10" t="s">
        <v>346</v>
      </c>
      <c r="B97" s="10" t="s">
        <v>2571</v>
      </c>
      <c r="C97" s="12">
        <v>27</v>
      </c>
      <c r="D97" s="10" t="s">
        <v>63</v>
      </c>
      <c r="E97" s="10" t="s">
        <v>2477</v>
      </c>
      <c r="F97" s="11">
        <v>44445</v>
      </c>
      <c r="G97" t="str">
        <f t="shared" si="4"/>
        <v>DELHI</v>
      </c>
      <c r="H97">
        <f>IF(COUNTIF($G$2:G97,G97)=1,1,0)</f>
        <v>0</v>
      </c>
      <c r="I97">
        <f t="shared" si="5"/>
        <v>10</v>
      </c>
      <c r="J97">
        <f t="shared" si="6"/>
        <v>10</v>
      </c>
      <c r="K97">
        <f t="shared" si="7"/>
        <v>0</v>
      </c>
    </row>
    <row r="98" spans="1:11" ht="14.25" customHeight="1" x14ac:dyDescent="0.35">
      <c r="A98" s="10" t="s">
        <v>521</v>
      </c>
      <c r="B98" s="10" t="s">
        <v>2572</v>
      </c>
      <c r="C98" s="12">
        <v>65</v>
      </c>
      <c r="D98" s="10" t="s">
        <v>76</v>
      </c>
      <c r="E98" s="10" t="s">
        <v>2475</v>
      </c>
      <c r="F98" s="11">
        <v>43899</v>
      </c>
      <c r="G98" t="str">
        <f t="shared" si="4"/>
        <v>MUMBAI</v>
      </c>
      <c r="H98">
        <f>IF(COUNTIF($G$2:G98,G98)=1,1,0)</f>
        <v>0</v>
      </c>
      <c r="I98">
        <f t="shared" si="5"/>
        <v>11</v>
      </c>
      <c r="J98">
        <f t="shared" si="6"/>
        <v>11</v>
      </c>
      <c r="K98">
        <f t="shared" si="7"/>
        <v>0</v>
      </c>
    </row>
    <row r="99" spans="1:11" ht="14.25" customHeight="1" x14ac:dyDescent="0.35">
      <c r="A99" s="10" t="s">
        <v>60</v>
      </c>
      <c r="B99" s="10" t="s">
        <v>2573</v>
      </c>
      <c r="C99" s="12">
        <v>52</v>
      </c>
      <c r="D99" s="10" t="s">
        <v>63</v>
      </c>
      <c r="E99" s="10" t="s">
        <v>2475</v>
      </c>
      <c r="F99" s="11">
        <v>44406</v>
      </c>
      <c r="G99" t="str">
        <f t="shared" si="4"/>
        <v>DELHI</v>
      </c>
      <c r="H99">
        <f>IF(COUNTIF($G$2:G99,G99)=1,1,0)</f>
        <v>0</v>
      </c>
      <c r="I99">
        <f t="shared" si="5"/>
        <v>14</v>
      </c>
      <c r="J99">
        <f t="shared" si="6"/>
        <v>14</v>
      </c>
      <c r="K99">
        <f t="shared" si="7"/>
        <v>0</v>
      </c>
    </row>
    <row r="100" spans="1:11" ht="14.25" customHeight="1" x14ac:dyDescent="0.35">
      <c r="A100" s="10" t="s">
        <v>1688</v>
      </c>
      <c r="B100" s="10" t="s">
        <v>2574</v>
      </c>
      <c r="C100" s="12">
        <v>54</v>
      </c>
      <c r="D100" s="10" t="s">
        <v>81</v>
      </c>
      <c r="E100" s="10" t="s">
        <v>2483</v>
      </c>
      <c r="F100" s="11">
        <v>44938</v>
      </c>
      <c r="G100" t="str">
        <f t="shared" si="4"/>
        <v>BENGALURU</v>
      </c>
      <c r="H100">
        <f>IF(COUNTIF($G$2:G100,G100)=1,1,0)</f>
        <v>0</v>
      </c>
      <c r="I100">
        <f t="shared" si="5"/>
        <v>12</v>
      </c>
      <c r="J100">
        <f t="shared" si="6"/>
        <v>12</v>
      </c>
      <c r="K100">
        <f t="shared" si="7"/>
        <v>0</v>
      </c>
    </row>
    <row r="101" spans="1:11" ht="14.25" customHeight="1" x14ac:dyDescent="0.35">
      <c r="A101" s="10" t="s">
        <v>1539</v>
      </c>
      <c r="B101" s="10" t="s">
        <v>2575</v>
      </c>
      <c r="C101" s="12">
        <v>60</v>
      </c>
      <c r="D101" s="10" t="s">
        <v>97</v>
      </c>
      <c r="E101" s="10" t="s">
        <v>2477</v>
      </c>
      <c r="F101" s="11">
        <v>45072</v>
      </c>
      <c r="G101" t="str">
        <f t="shared" si="4"/>
        <v>HYDERABAD</v>
      </c>
      <c r="H101">
        <f>IF(COUNTIF($G$2:G101,G101)=1,1,0)</f>
        <v>0</v>
      </c>
      <c r="I101">
        <f t="shared" si="5"/>
        <v>10</v>
      </c>
      <c r="J101">
        <f t="shared" si="6"/>
        <v>10</v>
      </c>
      <c r="K101">
        <f t="shared" si="7"/>
        <v>0</v>
      </c>
    </row>
    <row r="102" spans="1:11" ht="14.25" customHeight="1" x14ac:dyDescent="0.35">
      <c r="A102" s="10" t="s">
        <v>139</v>
      </c>
      <c r="B102" s="10" t="s">
        <v>2576</v>
      </c>
      <c r="C102" s="12">
        <v>40</v>
      </c>
      <c r="D102" s="10" t="s">
        <v>97</v>
      </c>
      <c r="E102" s="10" t="s">
        <v>2483</v>
      </c>
      <c r="F102" s="11">
        <v>44021</v>
      </c>
      <c r="G102" t="str">
        <f t="shared" si="4"/>
        <v>HYDERABAD</v>
      </c>
      <c r="H102">
        <f>IF(COUNTIF($G$2:G102,G102)=1,1,0)</f>
        <v>0</v>
      </c>
      <c r="I102">
        <f t="shared" si="5"/>
        <v>12</v>
      </c>
      <c r="J102">
        <f t="shared" si="6"/>
        <v>12</v>
      </c>
      <c r="K102">
        <f t="shared" si="7"/>
        <v>0</v>
      </c>
    </row>
    <row r="103" spans="1:11" ht="14.25" customHeight="1" x14ac:dyDescent="0.35">
      <c r="A103" s="10" t="s">
        <v>333</v>
      </c>
      <c r="B103" s="10" t="s">
        <v>2577</v>
      </c>
      <c r="C103" s="12">
        <v>62</v>
      </c>
      <c r="D103" s="10" t="s">
        <v>58</v>
      </c>
      <c r="E103" s="10" t="s">
        <v>2483</v>
      </c>
      <c r="F103" s="11">
        <v>45092</v>
      </c>
      <c r="G103" t="str">
        <f t="shared" si="4"/>
        <v>CHENNAI</v>
      </c>
      <c r="H103">
        <f>IF(COUNTIF($G$2:G103,G103)=1,1,0)</f>
        <v>0</v>
      </c>
      <c r="I103">
        <f t="shared" si="5"/>
        <v>10</v>
      </c>
      <c r="J103">
        <f t="shared" si="6"/>
        <v>10</v>
      </c>
      <c r="K103">
        <f t="shared" si="7"/>
        <v>0</v>
      </c>
    </row>
    <row r="104" spans="1:11" ht="14.25" customHeight="1" x14ac:dyDescent="0.35">
      <c r="A104" s="10" t="s">
        <v>907</v>
      </c>
      <c r="B104" s="10" t="s">
        <v>2578</v>
      </c>
      <c r="C104" s="12">
        <v>54</v>
      </c>
      <c r="D104" s="10" t="s">
        <v>97</v>
      </c>
      <c r="E104" s="10" t="s">
        <v>2477</v>
      </c>
      <c r="F104" s="11">
        <v>45080</v>
      </c>
      <c r="G104" t="str">
        <f t="shared" si="4"/>
        <v>HYDERABAD</v>
      </c>
      <c r="H104">
        <f>IF(COUNTIF($G$2:G104,G104)=1,1,0)</f>
        <v>0</v>
      </c>
      <c r="I104">
        <f t="shared" si="5"/>
        <v>11</v>
      </c>
      <c r="J104">
        <f t="shared" si="6"/>
        <v>11</v>
      </c>
      <c r="K104">
        <f t="shared" si="7"/>
        <v>0</v>
      </c>
    </row>
    <row r="105" spans="1:11" ht="14.25" customHeight="1" x14ac:dyDescent="0.35">
      <c r="A105" s="10" t="s">
        <v>418</v>
      </c>
      <c r="B105" s="10" t="s">
        <v>2579</v>
      </c>
      <c r="C105" s="12">
        <v>43</v>
      </c>
      <c r="D105" s="10" t="s">
        <v>97</v>
      </c>
      <c r="E105" s="10" t="s">
        <v>2477</v>
      </c>
      <c r="F105" s="11">
        <v>44018</v>
      </c>
      <c r="G105" t="str">
        <f t="shared" si="4"/>
        <v>HYDERABAD</v>
      </c>
      <c r="H105">
        <f>IF(COUNTIF($G$2:G105,G105)=1,1,0)</f>
        <v>0</v>
      </c>
      <c r="I105">
        <f t="shared" si="5"/>
        <v>10</v>
      </c>
      <c r="J105">
        <f t="shared" si="6"/>
        <v>10</v>
      </c>
      <c r="K105">
        <f t="shared" si="7"/>
        <v>0</v>
      </c>
    </row>
    <row r="106" spans="1:11" ht="14.25" customHeight="1" x14ac:dyDescent="0.35">
      <c r="A106" s="10" t="s">
        <v>1272</v>
      </c>
      <c r="B106" s="10" t="s">
        <v>2580</v>
      </c>
      <c r="C106" s="12">
        <v>51</v>
      </c>
      <c r="D106" s="10" t="s">
        <v>58</v>
      </c>
      <c r="E106" s="10" t="s">
        <v>2483</v>
      </c>
      <c r="F106" s="11">
        <v>44060</v>
      </c>
      <c r="G106" t="str">
        <f t="shared" si="4"/>
        <v>CHENNAI</v>
      </c>
      <c r="H106">
        <f>IF(COUNTIF($G$2:G106,G106)=1,1,0)</f>
        <v>0</v>
      </c>
      <c r="I106">
        <f t="shared" si="5"/>
        <v>13</v>
      </c>
      <c r="J106">
        <f t="shared" si="6"/>
        <v>13</v>
      </c>
      <c r="K106">
        <f t="shared" si="7"/>
        <v>0</v>
      </c>
    </row>
    <row r="107" spans="1:11" ht="14.25" customHeight="1" x14ac:dyDescent="0.35">
      <c r="A107" s="10" t="s">
        <v>377</v>
      </c>
      <c r="B107" s="10" t="s">
        <v>2581</v>
      </c>
      <c r="C107" s="12">
        <v>22</v>
      </c>
      <c r="D107" s="10" t="s">
        <v>52</v>
      </c>
      <c r="E107" s="10" t="s">
        <v>2475</v>
      </c>
      <c r="F107" s="11">
        <v>45192</v>
      </c>
      <c r="G107" t="str">
        <f t="shared" si="4"/>
        <v>PUNE</v>
      </c>
      <c r="H107">
        <f>IF(COUNTIF($G$2:G107,G107)=1,1,0)</f>
        <v>0</v>
      </c>
      <c r="I107">
        <f t="shared" si="5"/>
        <v>11</v>
      </c>
      <c r="J107">
        <f t="shared" si="6"/>
        <v>11</v>
      </c>
      <c r="K107">
        <f t="shared" si="7"/>
        <v>0</v>
      </c>
    </row>
    <row r="108" spans="1:11" ht="14.25" customHeight="1" x14ac:dyDescent="0.35">
      <c r="A108" s="10" t="s">
        <v>136</v>
      </c>
      <c r="B108" s="10" t="s">
        <v>2582</v>
      </c>
      <c r="C108" s="12">
        <v>50</v>
      </c>
      <c r="D108" s="10" t="s">
        <v>52</v>
      </c>
      <c r="E108" s="10" t="s">
        <v>2475</v>
      </c>
      <c r="F108" s="11">
        <v>44007</v>
      </c>
      <c r="G108" t="str">
        <f t="shared" si="4"/>
        <v>PUNE</v>
      </c>
      <c r="H108">
        <f>IF(COUNTIF($G$2:G108,G108)=1,1,0)</f>
        <v>0</v>
      </c>
      <c r="I108">
        <f t="shared" si="5"/>
        <v>16</v>
      </c>
      <c r="J108">
        <f t="shared" si="6"/>
        <v>13</v>
      </c>
      <c r="K108">
        <f t="shared" si="7"/>
        <v>1</v>
      </c>
    </row>
    <row r="109" spans="1:11" ht="14.25" customHeight="1" x14ac:dyDescent="0.35">
      <c r="A109" s="10" t="s">
        <v>295</v>
      </c>
      <c r="B109" s="10" t="s">
        <v>2583</v>
      </c>
      <c r="C109" s="12">
        <v>59</v>
      </c>
      <c r="D109" s="10" t="s">
        <v>81</v>
      </c>
      <c r="E109" s="10" t="s">
        <v>2477</v>
      </c>
      <c r="F109" s="11">
        <v>44382</v>
      </c>
      <c r="G109" t="str">
        <f t="shared" si="4"/>
        <v>BENGALURU</v>
      </c>
      <c r="H109">
        <f>IF(COUNTIF($G$2:G109,G109)=1,1,0)</f>
        <v>0</v>
      </c>
      <c r="I109">
        <f t="shared" si="5"/>
        <v>10</v>
      </c>
      <c r="J109">
        <f t="shared" si="6"/>
        <v>10</v>
      </c>
      <c r="K109">
        <f t="shared" si="7"/>
        <v>0</v>
      </c>
    </row>
    <row r="110" spans="1:11" ht="14.25" customHeight="1" x14ac:dyDescent="0.35">
      <c r="A110" s="10" t="s">
        <v>1195</v>
      </c>
      <c r="B110" s="10" t="s">
        <v>2584</v>
      </c>
      <c r="C110" s="12">
        <v>42</v>
      </c>
      <c r="D110" s="10" t="s">
        <v>52</v>
      </c>
      <c r="E110" s="10" t="s">
        <v>2475</v>
      </c>
      <c r="F110" s="11">
        <v>44698</v>
      </c>
      <c r="G110" t="str">
        <f t="shared" si="4"/>
        <v>PUNE</v>
      </c>
      <c r="H110">
        <f>IF(COUNTIF($G$2:G110,G110)=1,1,0)</f>
        <v>0</v>
      </c>
      <c r="I110">
        <f t="shared" si="5"/>
        <v>11</v>
      </c>
      <c r="J110">
        <f t="shared" si="6"/>
        <v>11</v>
      </c>
      <c r="K110">
        <f t="shared" si="7"/>
        <v>0</v>
      </c>
    </row>
    <row r="111" spans="1:11" ht="14.25" customHeight="1" x14ac:dyDescent="0.35">
      <c r="A111" s="10" t="s">
        <v>588</v>
      </c>
      <c r="B111" s="10" t="s">
        <v>2505</v>
      </c>
      <c r="C111" s="12">
        <v>31</v>
      </c>
      <c r="D111" s="10" t="s">
        <v>52</v>
      </c>
      <c r="E111" s="10" t="s">
        <v>2477</v>
      </c>
      <c r="F111" s="11">
        <v>44346</v>
      </c>
      <c r="G111" t="str">
        <f t="shared" si="4"/>
        <v>PUNE</v>
      </c>
      <c r="H111">
        <f>IF(COUNTIF($G$2:G111,G111)=1,1,0)</f>
        <v>0</v>
      </c>
      <c r="I111">
        <f t="shared" si="5"/>
        <v>12</v>
      </c>
      <c r="J111">
        <f t="shared" si="6"/>
        <v>12</v>
      </c>
      <c r="K111">
        <f t="shared" si="7"/>
        <v>0</v>
      </c>
    </row>
    <row r="112" spans="1:11" ht="14.25" customHeight="1" x14ac:dyDescent="0.35">
      <c r="A112" s="10" t="s">
        <v>386</v>
      </c>
      <c r="B112" s="10" t="s">
        <v>2585</v>
      </c>
      <c r="C112" s="12">
        <v>64</v>
      </c>
      <c r="D112" s="10" t="s">
        <v>58</v>
      </c>
      <c r="E112" s="10" t="s">
        <v>2483</v>
      </c>
      <c r="F112" s="11">
        <v>44309</v>
      </c>
      <c r="G112" t="str">
        <f t="shared" si="4"/>
        <v>CHENNAI</v>
      </c>
      <c r="H112">
        <f>IF(COUNTIF($G$2:G112,G112)=1,1,0)</f>
        <v>0</v>
      </c>
      <c r="I112">
        <f t="shared" si="5"/>
        <v>11</v>
      </c>
      <c r="J112">
        <f t="shared" si="6"/>
        <v>11</v>
      </c>
      <c r="K112">
        <f t="shared" si="7"/>
        <v>0</v>
      </c>
    </row>
    <row r="113" spans="1:11" ht="14.25" customHeight="1" x14ac:dyDescent="0.35">
      <c r="A113" s="10" t="s">
        <v>200</v>
      </c>
      <c r="B113" s="10" t="s">
        <v>2586</v>
      </c>
      <c r="C113" s="12">
        <v>64</v>
      </c>
      <c r="D113" s="10" t="s">
        <v>97</v>
      </c>
      <c r="E113" s="10" t="s">
        <v>2475</v>
      </c>
      <c r="F113" s="11">
        <v>44015</v>
      </c>
      <c r="G113" t="str">
        <f t="shared" si="4"/>
        <v>HYDERABAD</v>
      </c>
      <c r="H113">
        <f>IF(COUNTIF($G$2:G113,G113)=1,1,0)</f>
        <v>0</v>
      </c>
      <c r="I113">
        <f t="shared" si="5"/>
        <v>10</v>
      </c>
      <c r="J113">
        <f t="shared" si="6"/>
        <v>10</v>
      </c>
      <c r="K113">
        <f t="shared" si="7"/>
        <v>0</v>
      </c>
    </row>
    <row r="114" spans="1:11" ht="14.25" customHeight="1" x14ac:dyDescent="0.35">
      <c r="A114" s="10" t="s">
        <v>361</v>
      </c>
      <c r="B114" s="10" t="s">
        <v>2587</v>
      </c>
      <c r="C114" s="12">
        <v>30</v>
      </c>
      <c r="D114" s="10" t="s">
        <v>63</v>
      </c>
      <c r="E114" s="10" t="s">
        <v>2475</v>
      </c>
      <c r="F114" s="11">
        <v>44490</v>
      </c>
      <c r="G114" t="str">
        <f t="shared" si="4"/>
        <v>DELHI</v>
      </c>
      <c r="H114">
        <f>IF(COUNTIF($G$2:G114,G114)=1,1,0)</f>
        <v>0</v>
      </c>
      <c r="I114">
        <f t="shared" si="5"/>
        <v>10</v>
      </c>
      <c r="J114">
        <f t="shared" si="6"/>
        <v>10</v>
      </c>
      <c r="K114">
        <f t="shared" si="7"/>
        <v>0</v>
      </c>
    </row>
    <row r="115" spans="1:11" ht="14.25" customHeight="1" x14ac:dyDescent="0.35">
      <c r="A115" s="10" t="s">
        <v>380</v>
      </c>
      <c r="B115" s="10" t="s">
        <v>2588</v>
      </c>
      <c r="C115" s="12">
        <v>42</v>
      </c>
      <c r="D115" s="10" t="s">
        <v>81</v>
      </c>
      <c r="E115" s="10" t="s">
        <v>2477</v>
      </c>
      <c r="F115" s="11">
        <v>44907</v>
      </c>
      <c r="G115" t="str">
        <f t="shared" si="4"/>
        <v>BENGALURU</v>
      </c>
      <c r="H115">
        <f>IF(COUNTIF($G$2:G115,G115)=1,1,0)</f>
        <v>0</v>
      </c>
      <c r="I115">
        <f t="shared" si="5"/>
        <v>13</v>
      </c>
      <c r="J115">
        <f t="shared" si="6"/>
        <v>13</v>
      </c>
      <c r="K115">
        <f t="shared" si="7"/>
        <v>0</v>
      </c>
    </row>
    <row r="116" spans="1:11" ht="14.25" customHeight="1" x14ac:dyDescent="0.35">
      <c r="A116" s="10" t="s">
        <v>581</v>
      </c>
      <c r="B116" s="10" t="s">
        <v>2511</v>
      </c>
      <c r="C116" s="12">
        <v>65</v>
      </c>
      <c r="D116" s="10" t="s">
        <v>76</v>
      </c>
      <c r="E116" s="10" t="s">
        <v>2483</v>
      </c>
      <c r="F116" s="11">
        <v>44381</v>
      </c>
      <c r="G116" t="str">
        <f t="shared" si="4"/>
        <v>MUMBAI</v>
      </c>
      <c r="H116">
        <f>IF(COUNTIF($G$2:G116,G116)=1,1,0)</f>
        <v>0</v>
      </c>
      <c r="I116">
        <f t="shared" si="5"/>
        <v>9</v>
      </c>
      <c r="J116">
        <f t="shared" si="6"/>
        <v>9</v>
      </c>
      <c r="K116">
        <f t="shared" si="7"/>
        <v>0</v>
      </c>
    </row>
    <row r="117" spans="1:11" ht="14.25" customHeight="1" x14ac:dyDescent="0.35">
      <c r="A117" s="10" t="s">
        <v>1587</v>
      </c>
      <c r="B117" s="10" t="s">
        <v>2589</v>
      </c>
      <c r="C117" s="12">
        <v>53</v>
      </c>
      <c r="D117" s="10" t="s">
        <v>2590</v>
      </c>
      <c r="E117" s="10" t="s">
        <v>2475</v>
      </c>
      <c r="F117" s="11">
        <v>44050</v>
      </c>
      <c r="G117" t="str">
        <f t="shared" si="4"/>
        <v>BENGALURU</v>
      </c>
      <c r="H117">
        <f>IF(COUNTIF($G$2:G117,G117)=1,1,0)</f>
        <v>0</v>
      </c>
      <c r="I117">
        <f t="shared" si="5"/>
        <v>13</v>
      </c>
      <c r="J117">
        <f t="shared" si="6"/>
        <v>13</v>
      </c>
      <c r="K117">
        <f t="shared" si="7"/>
        <v>0</v>
      </c>
    </row>
    <row r="118" spans="1:11" ht="14.25" customHeight="1" x14ac:dyDescent="0.35">
      <c r="A118" s="10" t="s">
        <v>415</v>
      </c>
      <c r="B118" s="10" t="s">
        <v>2591</v>
      </c>
      <c r="C118" s="12">
        <v>34</v>
      </c>
      <c r="D118" s="10" t="s">
        <v>63</v>
      </c>
      <c r="E118" s="10" t="s">
        <v>2483</v>
      </c>
      <c r="F118" s="11">
        <v>44581</v>
      </c>
      <c r="G118" t="str">
        <f t="shared" si="4"/>
        <v>DELHI</v>
      </c>
      <c r="H118">
        <f>IF(COUNTIF($G$2:G118,G118)=1,1,0)</f>
        <v>0</v>
      </c>
      <c r="I118">
        <f t="shared" si="5"/>
        <v>9</v>
      </c>
      <c r="J118">
        <f t="shared" si="6"/>
        <v>9</v>
      </c>
      <c r="K118">
        <f t="shared" si="7"/>
        <v>0</v>
      </c>
    </row>
    <row r="119" spans="1:11" ht="14.25" customHeight="1" x14ac:dyDescent="0.35">
      <c r="A119" s="10" t="s">
        <v>172</v>
      </c>
      <c r="B119" s="10" t="s">
        <v>2592</v>
      </c>
      <c r="C119" s="12">
        <v>26</v>
      </c>
      <c r="D119" s="10" t="s">
        <v>97</v>
      </c>
      <c r="E119" s="10" t="s">
        <v>2475</v>
      </c>
      <c r="F119" s="11">
        <v>44916</v>
      </c>
      <c r="G119" t="str">
        <f t="shared" si="4"/>
        <v>HYDERABAD</v>
      </c>
      <c r="H119">
        <f>IF(COUNTIF($G$2:G119,G119)=1,1,0)</f>
        <v>0</v>
      </c>
      <c r="I119">
        <f t="shared" si="5"/>
        <v>10</v>
      </c>
      <c r="J119">
        <f t="shared" si="6"/>
        <v>10</v>
      </c>
      <c r="K119">
        <f t="shared" si="7"/>
        <v>0</v>
      </c>
    </row>
    <row r="120" spans="1:11" ht="14.25" customHeight="1" x14ac:dyDescent="0.35">
      <c r="A120" s="10" t="s">
        <v>433</v>
      </c>
      <c r="B120" s="10" t="s">
        <v>2593</v>
      </c>
      <c r="C120" s="12">
        <v>43</v>
      </c>
      <c r="D120" s="10" t="s">
        <v>81</v>
      </c>
      <c r="E120" s="10" t="s">
        <v>2483</v>
      </c>
      <c r="F120" s="11">
        <v>44360</v>
      </c>
      <c r="G120" t="str">
        <f t="shared" si="4"/>
        <v>BENGALURU</v>
      </c>
      <c r="H120">
        <f>IF(COUNTIF($G$2:G120,G120)=1,1,0)</f>
        <v>0</v>
      </c>
      <c r="I120">
        <f t="shared" si="5"/>
        <v>14</v>
      </c>
      <c r="J120">
        <f t="shared" si="6"/>
        <v>14</v>
      </c>
      <c r="K120">
        <f t="shared" si="7"/>
        <v>0</v>
      </c>
    </row>
    <row r="121" spans="1:11" ht="14.25" customHeight="1" x14ac:dyDescent="0.35">
      <c r="A121" s="10" t="s">
        <v>1198</v>
      </c>
      <c r="B121" s="10" t="s">
        <v>2594</v>
      </c>
      <c r="C121" s="12">
        <v>29</v>
      </c>
      <c r="D121" s="10" t="s">
        <v>76</v>
      </c>
      <c r="E121" s="10" t="s">
        <v>2475</v>
      </c>
      <c r="F121" s="11">
        <v>44871</v>
      </c>
      <c r="G121" t="str">
        <f t="shared" si="4"/>
        <v>MUMBAI</v>
      </c>
      <c r="H121">
        <f>IF(COUNTIF($G$2:G121,G121)=1,1,0)</f>
        <v>0</v>
      </c>
      <c r="I121">
        <f t="shared" si="5"/>
        <v>13</v>
      </c>
      <c r="J121">
        <f t="shared" si="6"/>
        <v>13</v>
      </c>
      <c r="K121">
        <f t="shared" si="7"/>
        <v>0</v>
      </c>
    </row>
    <row r="122" spans="1:11" ht="14.25" customHeight="1" x14ac:dyDescent="0.35">
      <c r="A122" s="10" t="s">
        <v>486</v>
      </c>
      <c r="B122" s="10" t="s">
        <v>2595</v>
      </c>
      <c r="C122" s="12">
        <v>55</v>
      </c>
      <c r="D122" s="10" t="s">
        <v>63</v>
      </c>
      <c r="E122" s="10" t="s">
        <v>2483</v>
      </c>
      <c r="F122" s="11">
        <v>45119</v>
      </c>
      <c r="G122" t="str">
        <f t="shared" si="4"/>
        <v>DELHI</v>
      </c>
      <c r="H122">
        <f>IF(COUNTIF($G$2:G122,G122)=1,1,0)</f>
        <v>0</v>
      </c>
      <c r="I122">
        <f t="shared" si="5"/>
        <v>10</v>
      </c>
      <c r="J122">
        <f t="shared" si="6"/>
        <v>10</v>
      </c>
      <c r="K122">
        <f t="shared" si="7"/>
        <v>0</v>
      </c>
    </row>
    <row r="123" spans="1:11" ht="14.25" customHeight="1" x14ac:dyDescent="0.35">
      <c r="A123" s="10" t="s">
        <v>1181</v>
      </c>
      <c r="B123" s="10" t="s">
        <v>2596</v>
      </c>
      <c r="C123" s="12">
        <v>44</v>
      </c>
      <c r="D123" s="10" t="s">
        <v>76</v>
      </c>
      <c r="E123" s="10" t="s">
        <v>2475</v>
      </c>
      <c r="F123" s="11">
        <v>44686</v>
      </c>
      <c r="G123" t="str">
        <f t="shared" si="4"/>
        <v>MUMBAI</v>
      </c>
      <c r="H123">
        <f>IF(COUNTIF($G$2:G123,G123)=1,1,0)</f>
        <v>0</v>
      </c>
      <c r="I123">
        <f t="shared" si="5"/>
        <v>13</v>
      </c>
      <c r="J123">
        <f t="shared" si="6"/>
        <v>11</v>
      </c>
      <c r="K123">
        <f t="shared" si="7"/>
        <v>1</v>
      </c>
    </row>
    <row r="124" spans="1:11" ht="14.25" customHeight="1" x14ac:dyDescent="0.35">
      <c r="A124" s="10" t="s">
        <v>850</v>
      </c>
      <c r="B124" s="10" t="s">
        <v>2597</v>
      </c>
      <c r="C124" s="12">
        <v>44</v>
      </c>
      <c r="D124" s="10" t="s">
        <v>58</v>
      </c>
      <c r="E124" s="10" t="s">
        <v>2477</v>
      </c>
      <c r="F124" s="11">
        <v>44589</v>
      </c>
      <c r="G124" t="str">
        <f t="shared" si="4"/>
        <v>CHENNAI</v>
      </c>
      <c r="H124">
        <f>IF(COUNTIF($G$2:G124,G124)=1,1,0)</f>
        <v>0</v>
      </c>
      <c r="I124">
        <f t="shared" si="5"/>
        <v>10</v>
      </c>
      <c r="J124">
        <f t="shared" si="6"/>
        <v>10</v>
      </c>
      <c r="K124">
        <f t="shared" si="7"/>
        <v>0</v>
      </c>
    </row>
    <row r="125" spans="1:11" ht="14.25" customHeight="1" x14ac:dyDescent="0.35">
      <c r="A125" s="10" t="s">
        <v>457</v>
      </c>
      <c r="B125" s="10" t="s">
        <v>2598</v>
      </c>
      <c r="C125" s="12">
        <v>57</v>
      </c>
      <c r="D125" s="10" t="s">
        <v>52</v>
      </c>
      <c r="E125" s="10" t="s">
        <v>2475</v>
      </c>
      <c r="F125" s="11">
        <v>44818</v>
      </c>
      <c r="G125" t="str">
        <f t="shared" si="4"/>
        <v>PUNE</v>
      </c>
      <c r="H125">
        <f>IF(COUNTIF($G$2:G125,G125)=1,1,0)</f>
        <v>0</v>
      </c>
      <c r="I125">
        <f t="shared" si="5"/>
        <v>15</v>
      </c>
      <c r="J125">
        <f t="shared" si="6"/>
        <v>15</v>
      </c>
      <c r="K125">
        <f t="shared" si="7"/>
        <v>0</v>
      </c>
    </row>
    <row r="126" spans="1:11" ht="14.25" customHeight="1" x14ac:dyDescent="0.35">
      <c r="A126" s="10" t="s">
        <v>494</v>
      </c>
      <c r="B126" s="10" t="s">
        <v>2599</v>
      </c>
      <c r="C126" s="12">
        <v>45</v>
      </c>
      <c r="D126" s="10" t="s">
        <v>63</v>
      </c>
      <c r="E126" s="10" t="s">
        <v>2475</v>
      </c>
      <c r="F126" s="11">
        <v>44263</v>
      </c>
      <c r="G126" t="str">
        <f t="shared" si="4"/>
        <v>DELHI</v>
      </c>
      <c r="H126">
        <f>IF(COUNTIF($G$2:G126,G126)=1,1,0)</f>
        <v>0</v>
      </c>
      <c r="I126">
        <f t="shared" si="5"/>
        <v>11</v>
      </c>
      <c r="J126">
        <f t="shared" si="6"/>
        <v>11</v>
      </c>
      <c r="K126">
        <f t="shared" si="7"/>
        <v>0</v>
      </c>
    </row>
    <row r="127" spans="1:11" ht="14.25" customHeight="1" x14ac:dyDescent="0.35">
      <c r="A127" s="10" t="s">
        <v>866</v>
      </c>
      <c r="B127" s="10" t="s">
        <v>2600</v>
      </c>
      <c r="C127" s="12">
        <v>37</v>
      </c>
      <c r="D127" s="10" t="s">
        <v>76</v>
      </c>
      <c r="E127" s="10" t="s">
        <v>2475</v>
      </c>
      <c r="F127" s="11">
        <v>44561</v>
      </c>
      <c r="G127" t="str">
        <f t="shared" si="4"/>
        <v>MUMBAI</v>
      </c>
      <c r="H127">
        <f>IF(COUNTIF($G$2:G127,G127)=1,1,0)</f>
        <v>0</v>
      </c>
      <c r="I127">
        <f t="shared" si="5"/>
        <v>12</v>
      </c>
      <c r="J127">
        <f t="shared" si="6"/>
        <v>12</v>
      </c>
      <c r="K127">
        <f t="shared" si="7"/>
        <v>0</v>
      </c>
    </row>
    <row r="128" spans="1:11" ht="14.25" customHeight="1" x14ac:dyDescent="0.35">
      <c r="A128" s="10" t="s">
        <v>947</v>
      </c>
      <c r="B128" s="10" t="s">
        <v>2506</v>
      </c>
      <c r="C128" s="12">
        <v>36</v>
      </c>
      <c r="D128" s="10" t="s">
        <v>81</v>
      </c>
      <c r="E128" s="10" t="s">
        <v>2483</v>
      </c>
      <c r="F128" s="11">
        <v>45036</v>
      </c>
      <c r="G128" t="str">
        <f t="shared" si="4"/>
        <v>BENGALURU</v>
      </c>
      <c r="H128">
        <f>IF(COUNTIF($G$2:G128,G128)=1,1,0)</f>
        <v>0</v>
      </c>
      <c r="I128">
        <f t="shared" si="5"/>
        <v>14</v>
      </c>
      <c r="J128">
        <f t="shared" si="6"/>
        <v>14</v>
      </c>
      <c r="K128">
        <f t="shared" si="7"/>
        <v>0</v>
      </c>
    </row>
    <row r="129" spans="1:11" ht="14.25" customHeight="1" x14ac:dyDescent="0.35">
      <c r="A129" s="10" t="s">
        <v>916</v>
      </c>
      <c r="B129" s="10" t="s">
        <v>2601</v>
      </c>
      <c r="C129" s="12">
        <v>35</v>
      </c>
      <c r="D129" s="10" t="s">
        <v>97</v>
      </c>
      <c r="E129" s="10" t="s">
        <v>2475</v>
      </c>
      <c r="F129" s="11">
        <v>44602</v>
      </c>
      <c r="G129" t="str">
        <f t="shared" si="4"/>
        <v>HYDERABAD</v>
      </c>
      <c r="H129">
        <f>IF(COUNTIF($G$2:G129,G129)=1,1,0)</f>
        <v>0</v>
      </c>
      <c r="I129">
        <f t="shared" si="5"/>
        <v>11</v>
      </c>
      <c r="J129">
        <f t="shared" si="6"/>
        <v>11</v>
      </c>
      <c r="K129">
        <f t="shared" si="7"/>
        <v>0</v>
      </c>
    </row>
    <row r="130" spans="1:11" ht="14.25" customHeight="1" x14ac:dyDescent="0.35">
      <c r="A130" s="10" t="s">
        <v>263</v>
      </c>
      <c r="B130" s="10" t="s">
        <v>2602</v>
      </c>
      <c r="C130" s="12">
        <v>29</v>
      </c>
      <c r="D130" s="10" t="s">
        <v>2603</v>
      </c>
      <c r="E130" s="10" t="s">
        <v>2475</v>
      </c>
      <c r="F130" s="11">
        <v>44930</v>
      </c>
      <c r="G130" t="str">
        <f t="shared" ref="G130:G193" si="8">UPPER(TRIM(D130))</f>
        <v>HYDERABAD</v>
      </c>
      <c r="H130">
        <f>IF(COUNTIF($G$2:G130,G130)=1,1,0)</f>
        <v>0</v>
      </c>
      <c r="I130">
        <f t="shared" ref="I130:I193" si="9">LEN(B130)</f>
        <v>10</v>
      </c>
      <c r="J130">
        <f t="shared" ref="J130:J193" si="10">LEN(TRIM(B130))</f>
        <v>10</v>
      </c>
      <c r="K130">
        <f t="shared" ref="K130:K193" si="11">IF(I130&lt;&gt;J130,1,0)</f>
        <v>0</v>
      </c>
    </row>
    <row r="131" spans="1:11" ht="14.25" customHeight="1" x14ac:dyDescent="0.35">
      <c r="A131" s="10" t="s">
        <v>805</v>
      </c>
      <c r="B131" s="10" t="s">
        <v>2604</v>
      </c>
      <c r="C131" s="12">
        <v>41</v>
      </c>
      <c r="D131" s="10" t="s">
        <v>81</v>
      </c>
      <c r="E131" s="10" t="s">
        <v>2477</v>
      </c>
      <c r="F131" s="11">
        <v>44897</v>
      </c>
      <c r="G131" t="str">
        <f t="shared" si="8"/>
        <v>BENGALURU</v>
      </c>
      <c r="H131">
        <f>IF(COUNTIF($G$2:G131,G131)=1,1,0)</f>
        <v>0</v>
      </c>
      <c r="I131">
        <f t="shared" si="9"/>
        <v>12</v>
      </c>
      <c r="J131">
        <f t="shared" si="10"/>
        <v>12</v>
      </c>
      <c r="K131">
        <f t="shared" si="11"/>
        <v>0</v>
      </c>
    </row>
    <row r="132" spans="1:11" ht="14.25" customHeight="1" x14ac:dyDescent="0.35">
      <c r="A132" s="10" t="s">
        <v>323</v>
      </c>
      <c r="B132" s="10" t="s">
        <v>2605</v>
      </c>
      <c r="C132" s="12">
        <v>28</v>
      </c>
      <c r="D132" s="10" t="s">
        <v>2480</v>
      </c>
      <c r="E132" s="10" t="s">
        <v>2483</v>
      </c>
      <c r="F132" s="11">
        <v>44158</v>
      </c>
      <c r="G132" t="str">
        <f t="shared" si="8"/>
        <v>DELHI</v>
      </c>
      <c r="H132">
        <f>IF(COUNTIF($G$2:G132,G132)=1,1,0)</f>
        <v>0</v>
      </c>
      <c r="I132">
        <f t="shared" si="9"/>
        <v>14</v>
      </c>
      <c r="J132">
        <f t="shared" si="10"/>
        <v>14</v>
      </c>
      <c r="K132">
        <f t="shared" si="11"/>
        <v>0</v>
      </c>
    </row>
    <row r="133" spans="1:11" ht="14.25" customHeight="1" x14ac:dyDescent="0.35">
      <c r="A133" s="10" t="s">
        <v>648</v>
      </c>
      <c r="B133" s="10" t="s">
        <v>2606</v>
      </c>
      <c r="C133" s="12">
        <v>41</v>
      </c>
      <c r="D133" s="10" t="s">
        <v>63</v>
      </c>
      <c r="E133" s="10" t="s">
        <v>2475</v>
      </c>
      <c r="F133" s="11">
        <v>44754</v>
      </c>
      <c r="G133" t="str">
        <f t="shared" si="8"/>
        <v>DELHI</v>
      </c>
      <c r="H133">
        <f>IF(COUNTIF($G$2:G133,G133)=1,1,0)</f>
        <v>0</v>
      </c>
      <c r="I133">
        <f t="shared" si="9"/>
        <v>14</v>
      </c>
      <c r="J133">
        <f t="shared" si="10"/>
        <v>12</v>
      </c>
      <c r="K133">
        <f t="shared" si="11"/>
        <v>1</v>
      </c>
    </row>
    <row r="134" spans="1:11" ht="14.25" customHeight="1" x14ac:dyDescent="0.35">
      <c r="A134" s="10" t="s">
        <v>306</v>
      </c>
      <c r="B134" s="10" t="s">
        <v>2607</v>
      </c>
      <c r="C134" s="12">
        <v>26</v>
      </c>
      <c r="D134" s="10" t="s">
        <v>58</v>
      </c>
      <c r="E134" s="10" t="s">
        <v>2475</v>
      </c>
      <c r="F134" s="11">
        <v>43837</v>
      </c>
      <c r="G134" t="str">
        <f t="shared" si="8"/>
        <v>CHENNAI</v>
      </c>
      <c r="H134">
        <f>IF(COUNTIF($G$2:G134,G134)=1,1,0)</f>
        <v>0</v>
      </c>
      <c r="I134">
        <f t="shared" si="9"/>
        <v>10</v>
      </c>
      <c r="J134">
        <f t="shared" si="10"/>
        <v>10</v>
      </c>
      <c r="K134">
        <f t="shared" si="11"/>
        <v>0</v>
      </c>
    </row>
    <row r="135" spans="1:11" ht="14.25" customHeight="1" x14ac:dyDescent="0.35">
      <c r="A135" s="10" t="s">
        <v>590</v>
      </c>
      <c r="B135" s="10" t="s">
        <v>2608</v>
      </c>
      <c r="C135" s="12">
        <v>40</v>
      </c>
      <c r="D135" s="10" t="s">
        <v>63</v>
      </c>
      <c r="E135" s="10" t="s">
        <v>2475</v>
      </c>
      <c r="F135" s="11">
        <v>45111</v>
      </c>
      <c r="G135" t="str">
        <f t="shared" si="8"/>
        <v>DELHI</v>
      </c>
      <c r="H135">
        <f>IF(COUNTIF($G$2:G135,G135)=1,1,0)</f>
        <v>0</v>
      </c>
      <c r="I135">
        <f t="shared" si="9"/>
        <v>11</v>
      </c>
      <c r="J135">
        <f t="shared" si="10"/>
        <v>11</v>
      </c>
      <c r="K135">
        <f t="shared" si="11"/>
        <v>0</v>
      </c>
    </row>
    <row r="136" spans="1:11" ht="14.25" customHeight="1" x14ac:dyDescent="0.35">
      <c r="A136" s="10" t="s">
        <v>527</v>
      </c>
      <c r="B136" s="10" t="s">
        <v>2609</v>
      </c>
      <c r="C136" s="12">
        <v>24</v>
      </c>
      <c r="D136" s="10" t="s">
        <v>52</v>
      </c>
      <c r="E136" s="10" t="s">
        <v>2483</v>
      </c>
      <c r="F136" s="11">
        <v>44673</v>
      </c>
      <c r="G136" t="str">
        <f t="shared" si="8"/>
        <v>PUNE</v>
      </c>
      <c r="H136">
        <f>IF(COUNTIF($G$2:G136,G136)=1,1,0)</f>
        <v>0</v>
      </c>
      <c r="I136">
        <f t="shared" si="9"/>
        <v>12</v>
      </c>
      <c r="J136">
        <f t="shared" si="10"/>
        <v>12</v>
      </c>
      <c r="K136">
        <f t="shared" si="11"/>
        <v>0</v>
      </c>
    </row>
    <row r="137" spans="1:11" ht="14.25" customHeight="1" x14ac:dyDescent="0.35">
      <c r="A137" s="10" t="s">
        <v>814</v>
      </c>
      <c r="B137" s="10" t="s">
        <v>2610</v>
      </c>
      <c r="C137" s="12">
        <v>26</v>
      </c>
      <c r="D137" s="10" t="s">
        <v>58</v>
      </c>
      <c r="E137" s="10" t="s">
        <v>2483</v>
      </c>
      <c r="F137" s="11">
        <v>44122</v>
      </c>
      <c r="G137" t="str">
        <f t="shared" si="8"/>
        <v>CHENNAI</v>
      </c>
      <c r="H137">
        <f>IF(COUNTIF($G$2:G137,G137)=1,1,0)</f>
        <v>0</v>
      </c>
      <c r="I137">
        <f t="shared" si="9"/>
        <v>10</v>
      </c>
      <c r="J137">
        <f t="shared" si="10"/>
        <v>10</v>
      </c>
      <c r="K137">
        <f t="shared" si="11"/>
        <v>0</v>
      </c>
    </row>
    <row r="138" spans="1:11" ht="14.25" customHeight="1" x14ac:dyDescent="0.35">
      <c r="A138" s="10" t="s">
        <v>411</v>
      </c>
      <c r="B138" s="10" t="s">
        <v>2569</v>
      </c>
      <c r="C138" s="12">
        <v>41</v>
      </c>
      <c r="D138" s="10" t="s">
        <v>76</v>
      </c>
      <c r="E138" s="10" t="s">
        <v>2475</v>
      </c>
      <c r="F138" s="11">
        <v>44946</v>
      </c>
      <c r="G138" t="str">
        <f t="shared" si="8"/>
        <v>MUMBAI</v>
      </c>
      <c r="H138">
        <f>IF(COUNTIF($G$2:G138,G138)=1,1,0)</f>
        <v>0</v>
      </c>
      <c r="I138">
        <f t="shared" si="9"/>
        <v>10</v>
      </c>
      <c r="J138">
        <f t="shared" si="10"/>
        <v>10</v>
      </c>
      <c r="K138">
        <f t="shared" si="11"/>
        <v>0</v>
      </c>
    </row>
    <row r="139" spans="1:11" ht="14.25" customHeight="1" x14ac:dyDescent="0.35">
      <c r="A139" s="10" t="s">
        <v>681</v>
      </c>
      <c r="B139" s="10" t="s">
        <v>2611</v>
      </c>
      <c r="C139" s="12">
        <v>24</v>
      </c>
      <c r="D139" s="10" t="s">
        <v>58</v>
      </c>
      <c r="E139" s="10" t="s">
        <v>2475</v>
      </c>
      <c r="F139" s="11">
        <v>43955</v>
      </c>
      <c r="G139" t="str">
        <f t="shared" si="8"/>
        <v>CHENNAI</v>
      </c>
      <c r="H139">
        <f>IF(COUNTIF($G$2:G139,G139)=1,1,0)</f>
        <v>0</v>
      </c>
      <c r="I139">
        <f t="shared" si="9"/>
        <v>10</v>
      </c>
      <c r="J139">
        <f t="shared" si="10"/>
        <v>10</v>
      </c>
      <c r="K139">
        <f t="shared" si="11"/>
        <v>0</v>
      </c>
    </row>
    <row r="140" spans="1:11" ht="14.25" customHeight="1" x14ac:dyDescent="0.35">
      <c r="A140" s="10" t="s">
        <v>297</v>
      </c>
      <c r="B140" s="10" t="s">
        <v>2612</v>
      </c>
      <c r="C140" s="12">
        <v>65</v>
      </c>
      <c r="D140" s="10" t="s">
        <v>97</v>
      </c>
      <c r="E140" s="10" t="s">
        <v>2483</v>
      </c>
      <c r="F140" s="11">
        <v>43997</v>
      </c>
      <c r="G140" t="str">
        <f t="shared" si="8"/>
        <v>HYDERABAD</v>
      </c>
      <c r="H140">
        <f>IF(COUNTIF($G$2:G140,G140)=1,1,0)</f>
        <v>0</v>
      </c>
      <c r="I140">
        <f t="shared" si="9"/>
        <v>12</v>
      </c>
      <c r="J140">
        <f t="shared" si="10"/>
        <v>12</v>
      </c>
      <c r="K140">
        <f t="shared" si="11"/>
        <v>0</v>
      </c>
    </row>
    <row r="141" spans="1:11" ht="14.25" customHeight="1" x14ac:dyDescent="0.35">
      <c r="A141" s="10" t="s">
        <v>2017</v>
      </c>
      <c r="B141" s="10" t="s">
        <v>2613</v>
      </c>
      <c r="C141" s="12">
        <v>39</v>
      </c>
      <c r="D141" s="10" t="s">
        <v>97</v>
      </c>
      <c r="E141" s="10" t="s">
        <v>2483</v>
      </c>
      <c r="F141" s="11">
        <v>43854</v>
      </c>
      <c r="G141" t="str">
        <f t="shared" si="8"/>
        <v>HYDERABAD</v>
      </c>
      <c r="H141">
        <f>IF(COUNTIF($G$2:G141,G141)=1,1,0)</f>
        <v>0</v>
      </c>
      <c r="I141">
        <f t="shared" si="9"/>
        <v>11</v>
      </c>
      <c r="J141">
        <f t="shared" si="10"/>
        <v>11</v>
      </c>
      <c r="K141">
        <f t="shared" si="11"/>
        <v>0</v>
      </c>
    </row>
    <row r="142" spans="1:11" ht="14.25" customHeight="1" x14ac:dyDescent="0.35">
      <c r="A142" s="10" t="s">
        <v>592</v>
      </c>
      <c r="B142" s="10" t="s">
        <v>2614</v>
      </c>
      <c r="C142" s="12">
        <v>22</v>
      </c>
      <c r="D142" s="10" t="s">
        <v>97</v>
      </c>
      <c r="E142" s="10" t="s">
        <v>2477</v>
      </c>
      <c r="F142" s="11">
        <v>45069</v>
      </c>
      <c r="G142" t="str">
        <f t="shared" si="8"/>
        <v>HYDERABAD</v>
      </c>
      <c r="H142">
        <f>IF(COUNTIF($G$2:G142,G142)=1,1,0)</f>
        <v>0</v>
      </c>
      <c r="I142">
        <f t="shared" si="9"/>
        <v>12</v>
      </c>
      <c r="J142">
        <f t="shared" si="10"/>
        <v>12</v>
      </c>
      <c r="K142">
        <f t="shared" si="11"/>
        <v>0</v>
      </c>
    </row>
    <row r="143" spans="1:11" ht="14.25" customHeight="1" x14ac:dyDescent="0.35">
      <c r="A143" s="10" t="s">
        <v>142</v>
      </c>
      <c r="B143" s="10" t="s">
        <v>2557</v>
      </c>
      <c r="C143" s="12">
        <v>55</v>
      </c>
      <c r="D143" s="10" t="s">
        <v>2615</v>
      </c>
      <c r="E143" s="10" t="s">
        <v>2477</v>
      </c>
      <c r="F143" s="11">
        <v>44597</v>
      </c>
      <c r="G143" t="str">
        <f t="shared" si="8"/>
        <v>CHENNAI</v>
      </c>
      <c r="H143">
        <f>IF(COUNTIF($G$2:G143,G143)=1,1,0)</f>
        <v>0</v>
      </c>
      <c r="I143">
        <f t="shared" si="9"/>
        <v>12</v>
      </c>
      <c r="J143">
        <f t="shared" si="10"/>
        <v>12</v>
      </c>
      <c r="K143">
        <f t="shared" si="11"/>
        <v>0</v>
      </c>
    </row>
    <row r="144" spans="1:11" ht="14.25" customHeight="1" x14ac:dyDescent="0.35">
      <c r="A144" s="10" t="s">
        <v>150</v>
      </c>
      <c r="B144" s="10" t="s">
        <v>2616</v>
      </c>
      <c r="C144" s="12">
        <v>52</v>
      </c>
      <c r="D144" s="10" t="s">
        <v>58</v>
      </c>
      <c r="E144" s="10" t="s">
        <v>2483</v>
      </c>
      <c r="F144" s="11">
        <v>44194</v>
      </c>
      <c r="G144" t="str">
        <f t="shared" si="8"/>
        <v>CHENNAI</v>
      </c>
      <c r="H144">
        <f>IF(COUNTIF($G$2:G144,G144)=1,1,0)</f>
        <v>0</v>
      </c>
      <c r="I144">
        <f t="shared" si="9"/>
        <v>11</v>
      </c>
      <c r="J144">
        <f t="shared" si="10"/>
        <v>11</v>
      </c>
      <c r="K144">
        <f t="shared" si="11"/>
        <v>0</v>
      </c>
    </row>
    <row r="145" spans="1:11" ht="14.25" customHeight="1" x14ac:dyDescent="0.35">
      <c r="A145" s="10" t="s">
        <v>1029</v>
      </c>
      <c r="B145" s="10" t="s">
        <v>2617</v>
      </c>
      <c r="C145" s="12">
        <v>49</v>
      </c>
      <c r="D145" s="10" t="s">
        <v>58</v>
      </c>
      <c r="E145" s="10" t="s">
        <v>2475</v>
      </c>
      <c r="F145" s="11">
        <v>44931</v>
      </c>
      <c r="G145" t="str">
        <f t="shared" si="8"/>
        <v>CHENNAI</v>
      </c>
      <c r="H145">
        <f>IF(COUNTIF($G$2:G145,G145)=1,1,0)</f>
        <v>0</v>
      </c>
      <c r="I145">
        <f t="shared" si="9"/>
        <v>13</v>
      </c>
      <c r="J145">
        <f t="shared" si="10"/>
        <v>11</v>
      </c>
      <c r="K145">
        <f t="shared" si="11"/>
        <v>1</v>
      </c>
    </row>
    <row r="146" spans="1:11" ht="14.25" customHeight="1" x14ac:dyDescent="0.35">
      <c r="A146" s="10" t="s">
        <v>340</v>
      </c>
      <c r="B146" s="10" t="s">
        <v>2618</v>
      </c>
      <c r="C146" s="12">
        <v>44</v>
      </c>
      <c r="D146" s="10" t="s">
        <v>81</v>
      </c>
      <c r="E146" s="10" t="s">
        <v>2483</v>
      </c>
      <c r="F146" s="11">
        <v>44009</v>
      </c>
      <c r="G146" t="str">
        <f t="shared" si="8"/>
        <v>BENGALURU</v>
      </c>
      <c r="H146">
        <f>IF(COUNTIF($G$2:G146,G146)=1,1,0)</f>
        <v>0</v>
      </c>
      <c r="I146">
        <f t="shared" si="9"/>
        <v>11</v>
      </c>
      <c r="J146">
        <f t="shared" si="10"/>
        <v>11</v>
      </c>
      <c r="K146">
        <f t="shared" si="11"/>
        <v>0</v>
      </c>
    </row>
    <row r="147" spans="1:11" ht="14.25" customHeight="1" x14ac:dyDescent="0.35">
      <c r="A147" s="10" t="s">
        <v>382</v>
      </c>
      <c r="B147" s="10" t="s">
        <v>2619</v>
      </c>
      <c r="C147" s="12">
        <v>22</v>
      </c>
      <c r="D147" s="10" t="s">
        <v>97</v>
      </c>
      <c r="E147" s="10" t="s">
        <v>2475</v>
      </c>
      <c r="F147" s="11">
        <v>44681</v>
      </c>
      <c r="G147" t="str">
        <f t="shared" si="8"/>
        <v>HYDERABAD</v>
      </c>
      <c r="H147">
        <f>IF(COUNTIF($G$2:G147,G147)=1,1,0)</f>
        <v>0</v>
      </c>
      <c r="I147">
        <f t="shared" si="9"/>
        <v>14</v>
      </c>
      <c r="J147">
        <f t="shared" si="10"/>
        <v>11</v>
      </c>
      <c r="K147">
        <f t="shared" si="11"/>
        <v>1</v>
      </c>
    </row>
    <row r="148" spans="1:11" ht="14.25" customHeight="1" x14ac:dyDescent="0.35">
      <c r="A148" s="10" t="s">
        <v>90</v>
      </c>
      <c r="B148" s="10" t="s">
        <v>2620</v>
      </c>
      <c r="C148" s="12">
        <v>56</v>
      </c>
      <c r="D148" s="10" t="s">
        <v>52</v>
      </c>
      <c r="E148" s="10" t="s">
        <v>2475</v>
      </c>
      <c r="F148" s="11">
        <v>44644</v>
      </c>
      <c r="G148" t="str">
        <f t="shared" si="8"/>
        <v>PUNE</v>
      </c>
      <c r="H148">
        <f>IF(COUNTIF($G$2:G148,G148)=1,1,0)</f>
        <v>0</v>
      </c>
      <c r="I148">
        <f t="shared" si="9"/>
        <v>11</v>
      </c>
      <c r="J148">
        <f t="shared" si="10"/>
        <v>11</v>
      </c>
      <c r="K148">
        <f t="shared" si="11"/>
        <v>0</v>
      </c>
    </row>
    <row r="149" spans="1:11" ht="14.25" customHeight="1" x14ac:dyDescent="0.35">
      <c r="A149" s="10" t="s">
        <v>787</v>
      </c>
      <c r="B149" s="10" t="s">
        <v>2621</v>
      </c>
      <c r="C149" s="12">
        <v>32</v>
      </c>
      <c r="D149" s="10" t="s">
        <v>58</v>
      </c>
      <c r="E149" s="10" t="s">
        <v>2475</v>
      </c>
      <c r="F149" s="11">
        <v>44014</v>
      </c>
      <c r="G149" t="str">
        <f t="shared" si="8"/>
        <v>CHENNAI</v>
      </c>
      <c r="H149">
        <f>IF(COUNTIF($G$2:G149,G149)=1,1,0)</f>
        <v>0</v>
      </c>
      <c r="I149">
        <f t="shared" si="9"/>
        <v>11</v>
      </c>
      <c r="J149">
        <f t="shared" si="10"/>
        <v>11</v>
      </c>
      <c r="K149">
        <f t="shared" si="11"/>
        <v>0</v>
      </c>
    </row>
    <row r="150" spans="1:11" ht="14.25" customHeight="1" x14ac:dyDescent="0.35">
      <c r="A150" s="10" t="s">
        <v>352</v>
      </c>
      <c r="B150" s="10" t="s">
        <v>2622</v>
      </c>
      <c r="C150" s="12">
        <v>44</v>
      </c>
      <c r="D150" s="10" t="s">
        <v>1785</v>
      </c>
      <c r="E150" s="10" t="s">
        <v>2475</v>
      </c>
      <c r="F150" s="11">
        <v>44390</v>
      </c>
      <c r="G150" t="str">
        <f t="shared" si="8"/>
        <v>HYDERABAD</v>
      </c>
      <c r="H150">
        <f>IF(COUNTIF($G$2:G150,G150)=1,1,0)</f>
        <v>0</v>
      </c>
      <c r="I150">
        <f t="shared" si="9"/>
        <v>11</v>
      </c>
      <c r="J150">
        <f t="shared" si="10"/>
        <v>11</v>
      </c>
      <c r="K150">
        <f t="shared" si="11"/>
        <v>0</v>
      </c>
    </row>
    <row r="151" spans="1:11" ht="14.25" customHeight="1" x14ac:dyDescent="0.35">
      <c r="A151" s="10" t="s">
        <v>371</v>
      </c>
      <c r="B151" s="10" t="s">
        <v>2612</v>
      </c>
      <c r="C151" s="12">
        <v>53</v>
      </c>
      <c r="D151" s="10" t="s">
        <v>52</v>
      </c>
      <c r="E151" s="10" t="s">
        <v>2483</v>
      </c>
      <c r="F151" s="11">
        <v>45208</v>
      </c>
      <c r="G151" t="str">
        <f t="shared" si="8"/>
        <v>PUNE</v>
      </c>
      <c r="H151">
        <f>IF(COUNTIF($G$2:G151,G151)=1,1,0)</f>
        <v>0</v>
      </c>
      <c r="I151">
        <f t="shared" si="9"/>
        <v>12</v>
      </c>
      <c r="J151">
        <f t="shared" si="10"/>
        <v>12</v>
      </c>
      <c r="K151">
        <f t="shared" si="11"/>
        <v>0</v>
      </c>
    </row>
    <row r="152" spans="1:11" ht="14.25" customHeight="1" x14ac:dyDescent="0.35">
      <c r="A152" s="10" t="s">
        <v>579</v>
      </c>
      <c r="B152" s="10" t="s">
        <v>2623</v>
      </c>
      <c r="C152" s="12">
        <v>53</v>
      </c>
      <c r="D152" s="10" t="s">
        <v>76</v>
      </c>
      <c r="E152" s="10" t="s">
        <v>2475</v>
      </c>
      <c r="F152" s="11">
        <v>43999</v>
      </c>
      <c r="G152" t="str">
        <f t="shared" si="8"/>
        <v>MUMBAI</v>
      </c>
      <c r="H152">
        <f>IF(COUNTIF($G$2:G152,G152)=1,1,0)</f>
        <v>0</v>
      </c>
      <c r="I152">
        <f t="shared" si="9"/>
        <v>12</v>
      </c>
      <c r="J152">
        <f t="shared" si="10"/>
        <v>12</v>
      </c>
      <c r="K152">
        <f t="shared" si="11"/>
        <v>0</v>
      </c>
    </row>
    <row r="153" spans="1:11" ht="14.25" customHeight="1" x14ac:dyDescent="0.35">
      <c r="A153" s="10" t="s">
        <v>195</v>
      </c>
      <c r="B153" s="10" t="s">
        <v>2624</v>
      </c>
      <c r="C153" s="12">
        <v>64</v>
      </c>
      <c r="D153" s="10" t="s">
        <v>81</v>
      </c>
      <c r="E153" s="10" t="s">
        <v>2483</v>
      </c>
      <c r="F153" s="11">
        <v>44209</v>
      </c>
      <c r="G153" t="str">
        <f t="shared" si="8"/>
        <v>BENGALURU</v>
      </c>
      <c r="H153">
        <f>IF(COUNTIF($G$2:G153,G153)=1,1,0)</f>
        <v>0</v>
      </c>
      <c r="I153">
        <f t="shared" si="9"/>
        <v>14</v>
      </c>
      <c r="J153">
        <f t="shared" si="10"/>
        <v>14</v>
      </c>
      <c r="K153">
        <f t="shared" si="11"/>
        <v>0</v>
      </c>
    </row>
    <row r="154" spans="1:11" ht="14.25" customHeight="1" x14ac:dyDescent="0.35">
      <c r="A154" s="10" t="s">
        <v>650</v>
      </c>
      <c r="B154" s="10" t="s">
        <v>2625</v>
      </c>
      <c r="C154" s="12">
        <v>35</v>
      </c>
      <c r="D154" s="10" t="s">
        <v>76</v>
      </c>
      <c r="E154" s="10" t="s">
        <v>2475</v>
      </c>
      <c r="F154" s="11">
        <v>44787</v>
      </c>
      <c r="G154" t="str">
        <f t="shared" si="8"/>
        <v>MUMBAI</v>
      </c>
      <c r="H154">
        <f>IF(COUNTIF($G$2:G154,G154)=1,1,0)</f>
        <v>0</v>
      </c>
      <c r="I154">
        <f t="shared" si="9"/>
        <v>12</v>
      </c>
      <c r="J154">
        <f t="shared" si="10"/>
        <v>12</v>
      </c>
      <c r="K154">
        <f t="shared" si="11"/>
        <v>0</v>
      </c>
    </row>
    <row r="155" spans="1:11" ht="14.25" customHeight="1" x14ac:dyDescent="0.35">
      <c r="A155" s="10" t="s">
        <v>771</v>
      </c>
      <c r="B155" s="10" t="s">
        <v>2626</v>
      </c>
      <c r="C155" s="12">
        <v>36</v>
      </c>
      <c r="D155" s="10" t="s">
        <v>52</v>
      </c>
      <c r="E155" s="10" t="s">
        <v>2475</v>
      </c>
      <c r="F155" s="11">
        <v>44370</v>
      </c>
      <c r="G155" t="str">
        <f t="shared" si="8"/>
        <v>PUNE</v>
      </c>
      <c r="H155">
        <f>IF(COUNTIF($G$2:G155,G155)=1,1,0)</f>
        <v>0</v>
      </c>
      <c r="I155">
        <f t="shared" si="9"/>
        <v>10</v>
      </c>
      <c r="J155">
        <f t="shared" si="10"/>
        <v>10</v>
      </c>
      <c r="K155">
        <f t="shared" si="11"/>
        <v>0</v>
      </c>
    </row>
    <row r="156" spans="1:11" ht="14.25" customHeight="1" x14ac:dyDescent="0.35">
      <c r="A156" s="10" t="s">
        <v>572</v>
      </c>
      <c r="B156" s="10" t="s">
        <v>2627</v>
      </c>
      <c r="C156" s="12">
        <v>40</v>
      </c>
      <c r="D156" s="10" t="s">
        <v>52</v>
      </c>
      <c r="E156" s="10" t="s">
        <v>2477</v>
      </c>
      <c r="F156" s="11">
        <v>44693</v>
      </c>
      <c r="G156" t="str">
        <f t="shared" si="8"/>
        <v>PUNE</v>
      </c>
      <c r="H156">
        <f>IF(COUNTIF($G$2:G156,G156)=1,1,0)</f>
        <v>0</v>
      </c>
      <c r="I156">
        <f t="shared" si="9"/>
        <v>10</v>
      </c>
      <c r="J156">
        <f t="shared" si="10"/>
        <v>10</v>
      </c>
      <c r="K156">
        <f t="shared" si="11"/>
        <v>0</v>
      </c>
    </row>
    <row r="157" spans="1:11" ht="14.25" customHeight="1" x14ac:dyDescent="0.35">
      <c r="A157" s="10" t="s">
        <v>1000</v>
      </c>
      <c r="B157" s="10" t="s">
        <v>2628</v>
      </c>
      <c r="C157" s="12">
        <v>33</v>
      </c>
      <c r="D157" s="10" t="s">
        <v>76</v>
      </c>
      <c r="E157" s="10" t="s">
        <v>2475</v>
      </c>
      <c r="F157" s="11">
        <v>45229</v>
      </c>
      <c r="G157" t="str">
        <f t="shared" si="8"/>
        <v>MUMBAI</v>
      </c>
      <c r="H157">
        <f>IF(COUNTIF($G$2:G157,G157)=1,1,0)</f>
        <v>0</v>
      </c>
      <c r="I157">
        <f t="shared" si="9"/>
        <v>13</v>
      </c>
      <c r="J157">
        <f t="shared" si="10"/>
        <v>13</v>
      </c>
      <c r="K157">
        <f t="shared" si="11"/>
        <v>0</v>
      </c>
    </row>
    <row r="158" spans="1:11" ht="14.25" customHeight="1" x14ac:dyDescent="0.35">
      <c r="A158" s="10" t="s">
        <v>667</v>
      </c>
      <c r="B158" s="10" t="s">
        <v>2629</v>
      </c>
      <c r="C158" s="12">
        <v>52</v>
      </c>
      <c r="D158" s="10" t="s">
        <v>52</v>
      </c>
      <c r="E158" s="10" t="s">
        <v>2477</v>
      </c>
      <c r="F158" s="11">
        <v>44896</v>
      </c>
      <c r="G158" t="str">
        <f t="shared" si="8"/>
        <v>PUNE</v>
      </c>
      <c r="H158">
        <f>IF(COUNTIF($G$2:G158,G158)=1,1,0)</f>
        <v>0</v>
      </c>
      <c r="I158">
        <f t="shared" si="9"/>
        <v>14</v>
      </c>
      <c r="J158">
        <f t="shared" si="10"/>
        <v>11</v>
      </c>
      <c r="K158">
        <f t="shared" si="11"/>
        <v>1</v>
      </c>
    </row>
    <row r="159" spans="1:11" ht="14.25" customHeight="1" x14ac:dyDescent="0.35">
      <c r="A159" s="10" t="s">
        <v>1060</v>
      </c>
      <c r="B159" s="10" t="s">
        <v>2630</v>
      </c>
      <c r="C159" s="12">
        <v>42</v>
      </c>
      <c r="D159" s="10" t="s">
        <v>52</v>
      </c>
      <c r="E159" s="10" t="s">
        <v>2477</v>
      </c>
      <c r="F159" s="11">
        <v>44617</v>
      </c>
      <c r="G159" t="str">
        <f t="shared" si="8"/>
        <v>PUNE</v>
      </c>
      <c r="H159">
        <f>IF(COUNTIF($G$2:G159,G159)=1,1,0)</f>
        <v>0</v>
      </c>
      <c r="I159">
        <f t="shared" si="9"/>
        <v>11</v>
      </c>
      <c r="J159">
        <f t="shared" si="10"/>
        <v>11</v>
      </c>
      <c r="K159">
        <f t="shared" si="11"/>
        <v>0</v>
      </c>
    </row>
    <row r="160" spans="1:11" ht="14.25" customHeight="1" x14ac:dyDescent="0.35">
      <c r="A160" s="10" t="s">
        <v>130</v>
      </c>
      <c r="B160" s="10" t="s">
        <v>2631</v>
      </c>
      <c r="C160" s="12">
        <v>32</v>
      </c>
      <c r="D160" s="10" t="s">
        <v>2603</v>
      </c>
      <c r="E160" s="10" t="s">
        <v>2475</v>
      </c>
      <c r="F160" s="11">
        <v>44432</v>
      </c>
      <c r="G160" t="str">
        <f t="shared" si="8"/>
        <v>HYDERABAD</v>
      </c>
      <c r="H160">
        <f>IF(COUNTIF($G$2:G160,G160)=1,1,0)</f>
        <v>0</v>
      </c>
      <c r="I160">
        <f t="shared" si="9"/>
        <v>12</v>
      </c>
      <c r="J160">
        <f t="shared" si="10"/>
        <v>12</v>
      </c>
      <c r="K160">
        <f t="shared" si="11"/>
        <v>0</v>
      </c>
    </row>
    <row r="161" spans="1:11" ht="14.25" customHeight="1" x14ac:dyDescent="0.35">
      <c r="A161" s="10" t="s">
        <v>619</v>
      </c>
      <c r="B161" s="10" t="s">
        <v>2632</v>
      </c>
      <c r="C161" s="12">
        <v>27</v>
      </c>
      <c r="D161" s="10" t="s">
        <v>97</v>
      </c>
      <c r="E161" s="10" t="s">
        <v>2475</v>
      </c>
      <c r="F161" s="11">
        <v>44481</v>
      </c>
      <c r="G161" t="str">
        <f t="shared" si="8"/>
        <v>HYDERABAD</v>
      </c>
      <c r="H161">
        <f>IF(COUNTIF($G$2:G161,G161)=1,1,0)</f>
        <v>0</v>
      </c>
      <c r="I161">
        <f t="shared" si="9"/>
        <v>11</v>
      </c>
      <c r="J161">
        <f t="shared" si="10"/>
        <v>11</v>
      </c>
      <c r="K161">
        <f t="shared" si="11"/>
        <v>0</v>
      </c>
    </row>
    <row r="162" spans="1:11" ht="14.25" customHeight="1" x14ac:dyDescent="0.35">
      <c r="A162" s="10" t="s">
        <v>253</v>
      </c>
      <c r="B162" s="10" t="s">
        <v>2633</v>
      </c>
      <c r="C162" s="12">
        <v>38</v>
      </c>
      <c r="D162" s="10" t="s">
        <v>58</v>
      </c>
      <c r="E162" s="10" t="s">
        <v>2475</v>
      </c>
      <c r="F162" s="11">
        <v>43880</v>
      </c>
      <c r="G162" t="str">
        <f t="shared" si="8"/>
        <v>CHENNAI</v>
      </c>
      <c r="H162">
        <f>IF(COUNTIF($G$2:G162,G162)=1,1,0)</f>
        <v>0</v>
      </c>
      <c r="I162">
        <f t="shared" si="9"/>
        <v>13</v>
      </c>
      <c r="J162">
        <f t="shared" si="10"/>
        <v>13</v>
      </c>
      <c r="K162">
        <f t="shared" si="11"/>
        <v>0</v>
      </c>
    </row>
    <row r="163" spans="1:11" ht="14.25" customHeight="1" x14ac:dyDescent="0.35">
      <c r="A163" s="10" t="s">
        <v>484</v>
      </c>
      <c r="B163" s="10" t="s">
        <v>2634</v>
      </c>
      <c r="C163" s="12">
        <v>35</v>
      </c>
      <c r="D163" s="10" t="s">
        <v>76</v>
      </c>
      <c r="E163" s="10" t="s">
        <v>2477</v>
      </c>
      <c r="F163" s="11">
        <v>44741</v>
      </c>
      <c r="G163" t="str">
        <f t="shared" si="8"/>
        <v>MUMBAI</v>
      </c>
      <c r="H163">
        <f>IF(COUNTIF($G$2:G163,G163)=1,1,0)</f>
        <v>0</v>
      </c>
      <c r="I163">
        <f t="shared" si="9"/>
        <v>14</v>
      </c>
      <c r="J163">
        <f t="shared" si="10"/>
        <v>14</v>
      </c>
      <c r="K163">
        <f t="shared" si="11"/>
        <v>0</v>
      </c>
    </row>
    <row r="164" spans="1:11" ht="14.25" customHeight="1" x14ac:dyDescent="0.35">
      <c r="A164" s="10" t="s">
        <v>449</v>
      </c>
      <c r="B164" s="10" t="s">
        <v>2501</v>
      </c>
      <c r="C164" s="12">
        <v>49</v>
      </c>
      <c r="D164" s="10" t="s">
        <v>52</v>
      </c>
      <c r="E164" s="10" t="s">
        <v>2475</v>
      </c>
      <c r="F164" s="11">
        <v>44971</v>
      </c>
      <c r="G164" t="str">
        <f t="shared" si="8"/>
        <v>PUNE</v>
      </c>
      <c r="H164">
        <f>IF(COUNTIF($G$2:G164,G164)=1,1,0)</f>
        <v>0</v>
      </c>
      <c r="I164">
        <f t="shared" si="9"/>
        <v>11</v>
      </c>
      <c r="J164">
        <f t="shared" si="10"/>
        <v>11</v>
      </c>
      <c r="K164">
        <f t="shared" si="11"/>
        <v>0</v>
      </c>
    </row>
    <row r="165" spans="1:11" ht="14.25" customHeight="1" x14ac:dyDescent="0.35">
      <c r="A165" s="10" t="s">
        <v>317</v>
      </c>
      <c r="B165" s="10" t="s">
        <v>2486</v>
      </c>
      <c r="C165" s="12">
        <v>60</v>
      </c>
      <c r="D165" s="10" t="s">
        <v>58</v>
      </c>
      <c r="E165" s="10" t="s">
        <v>2475</v>
      </c>
      <c r="F165" s="11">
        <v>44739</v>
      </c>
      <c r="G165" t="str">
        <f t="shared" si="8"/>
        <v>CHENNAI</v>
      </c>
      <c r="H165">
        <f>IF(COUNTIF($G$2:G165,G165)=1,1,0)</f>
        <v>0</v>
      </c>
      <c r="I165">
        <f t="shared" si="9"/>
        <v>13</v>
      </c>
      <c r="J165">
        <f t="shared" si="10"/>
        <v>13</v>
      </c>
      <c r="K165">
        <f t="shared" si="11"/>
        <v>0</v>
      </c>
    </row>
    <row r="166" spans="1:11" ht="14.25" customHeight="1" x14ac:dyDescent="0.35">
      <c r="A166" s="10" t="s">
        <v>421</v>
      </c>
      <c r="B166" s="10" t="s">
        <v>2520</v>
      </c>
      <c r="C166" s="12">
        <v>29</v>
      </c>
      <c r="D166" s="10" t="s">
        <v>52</v>
      </c>
      <c r="E166" s="10" t="s">
        <v>2475</v>
      </c>
      <c r="F166" s="11">
        <v>44046</v>
      </c>
      <c r="G166" t="str">
        <f t="shared" si="8"/>
        <v>PUNE</v>
      </c>
      <c r="H166">
        <f>IF(COUNTIF($G$2:G166,G166)=1,1,0)</f>
        <v>0</v>
      </c>
      <c r="I166">
        <f t="shared" si="9"/>
        <v>11</v>
      </c>
      <c r="J166">
        <f t="shared" si="10"/>
        <v>11</v>
      </c>
      <c r="K166">
        <f t="shared" si="11"/>
        <v>0</v>
      </c>
    </row>
    <row r="167" spans="1:11" ht="14.25" customHeight="1" x14ac:dyDescent="0.35">
      <c r="A167" s="10" t="s">
        <v>633</v>
      </c>
      <c r="B167" s="10" t="s">
        <v>2635</v>
      </c>
      <c r="C167" s="12">
        <v>31</v>
      </c>
      <c r="D167" s="10" t="s">
        <v>97</v>
      </c>
      <c r="E167" s="10" t="s">
        <v>2475</v>
      </c>
      <c r="F167" s="11">
        <v>44331</v>
      </c>
      <c r="G167" t="str">
        <f t="shared" si="8"/>
        <v>HYDERABAD</v>
      </c>
      <c r="H167">
        <f>IF(COUNTIF($G$2:G167,G167)=1,1,0)</f>
        <v>0</v>
      </c>
      <c r="I167">
        <f t="shared" si="9"/>
        <v>10</v>
      </c>
      <c r="J167">
        <f t="shared" si="10"/>
        <v>10</v>
      </c>
      <c r="K167">
        <f t="shared" si="11"/>
        <v>0</v>
      </c>
    </row>
    <row r="168" spans="1:11" ht="14.25" customHeight="1" x14ac:dyDescent="0.35">
      <c r="A168" s="10" t="s">
        <v>602</v>
      </c>
      <c r="B168" s="10" t="s">
        <v>2636</v>
      </c>
      <c r="C168" s="12">
        <v>43</v>
      </c>
      <c r="D168" s="10" t="s">
        <v>63</v>
      </c>
      <c r="E168" s="10" t="s">
        <v>2475</v>
      </c>
      <c r="F168" s="11">
        <v>44891</v>
      </c>
      <c r="G168" t="str">
        <f t="shared" si="8"/>
        <v>DELHI</v>
      </c>
      <c r="H168">
        <f>IF(COUNTIF($G$2:G168,G168)=1,1,0)</f>
        <v>0</v>
      </c>
      <c r="I168">
        <f t="shared" si="9"/>
        <v>12</v>
      </c>
      <c r="J168">
        <f t="shared" si="10"/>
        <v>12</v>
      </c>
      <c r="K168">
        <f t="shared" si="11"/>
        <v>0</v>
      </c>
    </row>
    <row r="169" spans="1:11" ht="14.25" customHeight="1" x14ac:dyDescent="0.35">
      <c r="A169" s="10" t="s">
        <v>245</v>
      </c>
      <c r="B169" s="10" t="s">
        <v>2637</v>
      </c>
      <c r="C169" s="12">
        <v>25</v>
      </c>
      <c r="D169" s="10" t="s">
        <v>52</v>
      </c>
      <c r="E169" s="10" t="s">
        <v>2475</v>
      </c>
      <c r="F169" s="11">
        <v>44406</v>
      </c>
      <c r="G169" t="str">
        <f t="shared" si="8"/>
        <v>PUNE</v>
      </c>
      <c r="H169">
        <f>IF(COUNTIF($G$2:G169,G169)=1,1,0)</f>
        <v>0</v>
      </c>
      <c r="I169">
        <f t="shared" si="9"/>
        <v>12</v>
      </c>
      <c r="J169">
        <f t="shared" si="10"/>
        <v>12</v>
      </c>
      <c r="K169">
        <f t="shared" si="11"/>
        <v>0</v>
      </c>
    </row>
    <row r="170" spans="1:11" ht="14.25" customHeight="1" x14ac:dyDescent="0.35">
      <c r="A170" s="10" t="s">
        <v>574</v>
      </c>
      <c r="B170" s="10" t="s">
        <v>2638</v>
      </c>
      <c r="C170" s="12">
        <v>42</v>
      </c>
      <c r="D170" s="10" t="s">
        <v>81</v>
      </c>
      <c r="E170" s="10" t="s">
        <v>2483</v>
      </c>
      <c r="F170" s="11">
        <v>45072</v>
      </c>
      <c r="G170" t="str">
        <f t="shared" si="8"/>
        <v>BENGALURU</v>
      </c>
      <c r="H170">
        <f>IF(COUNTIF($G$2:G170,G170)=1,1,0)</f>
        <v>0</v>
      </c>
      <c r="I170">
        <f t="shared" si="9"/>
        <v>13</v>
      </c>
      <c r="J170">
        <f t="shared" si="10"/>
        <v>13</v>
      </c>
      <c r="K170">
        <f t="shared" si="11"/>
        <v>0</v>
      </c>
    </row>
    <row r="171" spans="1:11" ht="14.25" customHeight="1" x14ac:dyDescent="0.35">
      <c r="A171" s="10" t="s">
        <v>314</v>
      </c>
      <c r="B171" s="10" t="s">
        <v>2639</v>
      </c>
      <c r="C171" s="12">
        <v>22</v>
      </c>
      <c r="D171" s="10" t="s">
        <v>76</v>
      </c>
      <c r="E171" s="10" t="s">
        <v>2483</v>
      </c>
      <c r="F171" s="11">
        <v>45110</v>
      </c>
      <c r="G171" t="str">
        <f t="shared" si="8"/>
        <v>MUMBAI</v>
      </c>
      <c r="H171">
        <f>IF(COUNTIF($G$2:G171,G171)=1,1,0)</f>
        <v>0</v>
      </c>
      <c r="I171">
        <f t="shared" si="9"/>
        <v>12</v>
      </c>
      <c r="J171">
        <f t="shared" si="10"/>
        <v>12</v>
      </c>
      <c r="K171">
        <f t="shared" si="11"/>
        <v>0</v>
      </c>
    </row>
    <row r="172" spans="1:11" ht="14.25" customHeight="1" x14ac:dyDescent="0.35">
      <c r="A172" s="10" t="s">
        <v>553</v>
      </c>
      <c r="B172" s="10" t="s">
        <v>2640</v>
      </c>
      <c r="C172" s="12">
        <v>30</v>
      </c>
      <c r="D172" s="10" t="s">
        <v>58</v>
      </c>
      <c r="E172" s="10" t="s">
        <v>2477</v>
      </c>
      <c r="F172" s="11">
        <v>44540</v>
      </c>
      <c r="G172" t="str">
        <f t="shared" si="8"/>
        <v>CHENNAI</v>
      </c>
      <c r="H172">
        <f>IF(COUNTIF($G$2:G172,G172)=1,1,0)</f>
        <v>0</v>
      </c>
      <c r="I172">
        <f t="shared" si="9"/>
        <v>10</v>
      </c>
      <c r="J172">
        <f t="shared" si="10"/>
        <v>10</v>
      </c>
      <c r="K172">
        <f t="shared" si="11"/>
        <v>0</v>
      </c>
    </row>
    <row r="173" spans="1:11" ht="14.25" customHeight="1" x14ac:dyDescent="0.35">
      <c r="A173" s="10" t="s">
        <v>406</v>
      </c>
      <c r="B173" s="10" t="s">
        <v>2641</v>
      </c>
      <c r="C173" s="12">
        <v>65</v>
      </c>
      <c r="D173" s="10" t="s">
        <v>52</v>
      </c>
      <c r="E173" s="10" t="s">
        <v>2475</v>
      </c>
      <c r="F173" s="11">
        <v>44918</v>
      </c>
      <c r="G173" t="str">
        <f t="shared" si="8"/>
        <v>PUNE</v>
      </c>
      <c r="H173">
        <f>IF(COUNTIF($G$2:G173,G173)=1,1,0)</f>
        <v>0</v>
      </c>
      <c r="I173">
        <f t="shared" si="9"/>
        <v>11</v>
      </c>
      <c r="J173">
        <f t="shared" si="10"/>
        <v>11</v>
      </c>
      <c r="K173">
        <f t="shared" si="11"/>
        <v>0</v>
      </c>
    </row>
    <row r="174" spans="1:11" ht="14.25" customHeight="1" x14ac:dyDescent="0.35">
      <c r="A174" s="10" t="s">
        <v>517</v>
      </c>
      <c r="B174" s="10" t="s">
        <v>2642</v>
      </c>
      <c r="C174" s="12">
        <v>65</v>
      </c>
      <c r="D174" s="10" t="s">
        <v>76</v>
      </c>
      <c r="E174" s="10" t="s">
        <v>2475</v>
      </c>
      <c r="F174" s="11">
        <v>44342</v>
      </c>
      <c r="G174" t="str">
        <f t="shared" si="8"/>
        <v>MUMBAI</v>
      </c>
      <c r="H174">
        <f>IF(COUNTIF($G$2:G174,G174)=1,1,0)</f>
        <v>0</v>
      </c>
      <c r="I174">
        <f t="shared" si="9"/>
        <v>13</v>
      </c>
      <c r="J174">
        <f t="shared" si="10"/>
        <v>13</v>
      </c>
      <c r="K174">
        <f t="shared" si="11"/>
        <v>0</v>
      </c>
    </row>
    <row r="175" spans="1:11" ht="14.25" customHeight="1" x14ac:dyDescent="0.35">
      <c r="A175" s="10" t="s">
        <v>909</v>
      </c>
      <c r="B175" s="10" t="s">
        <v>2643</v>
      </c>
      <c r="C175" s="12">
        <v>54</v>
      </c>
      <c r="D175" s="10" t="s">
        <v>52</v>
      </c>
      <c r="E175" s="10" t="s">
        <v>2475</v>
      </c>
      <c r="F175" s="11">
        <v>44609</v>
      </c>
      <c r="G175" t="str">
        <f t="shared" si="8"/>
        <v>PUNE</v>
      </c>
      <c r="H175">
        <f>IF(COUNTIF($G$2:G175,G175)=1,1,0)</f>
        <v>0</v>
      </c>
      <c r="I175">
        <f t="shared" si="9"/>
        <v>11</v>
      </c>
      <c r="J175">
        <f t="shared" si="10"/>
        <v>11</v>
      </c>
      <c r="K175">
        <f t="shared" si="11"/>
        <v>0</v>
      </c>
    </row>
    <row r="176" spans="1:11" ht="14.25" customHeight="1" x14ac:dyDescent="0.35">
      <c r="A176" s="10" t="s">
        <v>230</v>
      </c>
      <c r="B176" s="10" t="s">
        <v>2644</v>
      </c>
      <c r="C176" s="12">
        <v>55</v>
      </c>
      <c r="D176" s="10" t="s">
        <v>63</v>
      </c>
      <c r="E176" s="10" t="s">
        <v>2477</v>
      </c>
      <c r="F176" s="11">
        <v>44423</v>
      </c>
      <c r="G176" t="str">
        <f t="shared" si="8"/>
        <v>DELHI</v>
      </c>
      <c r="H176">
        <f>IF(COUNTIF($G$2:G176,G176)=1,1,0)</f>
        <v>0</v>
      </c>
      <c r="I176">
        <f t="shared" si="9"/>
        <v>13</v>
      </c>
      <c r="J176">
        <f t="shared" si="10"/>
        <v>13</v>
      </c>
      <c r="K176">
        <f t="shared" si="11"/>
        <v>0</v>
      </c>
    </row>
    <row r="177" spans="1:11" ht="14.25" customHeight="1" x14ac:dyDescent="0.35">
      <c r="A177" s="10" t="s">
        <v>214</v>
      </c>
      <c r="B177" s="10" t="s">
        <v>2645</v>
      </c>
      <c r="C177" s="12">
        <v>34</v>
      </c>
      <c r="D177" s="10" t="s">
        <v>81</v>
      </c>
      <c r="E177" s="10" t="s">
        <v>2483</v>
      </c>
      <c r="F177" s="11">
        <v>44091</v>
      </c>
      <c r="G177" t="str">
        <f t="shared" si="8"/>
        <v>BENGALURU</v>
      </c>
      <c r="H177">
        <f>IF(COUNTIF($G$2:G177,G177)=1,1,0)</f>
        <v>0</v>
      </c>
      <c r="I177">
        <f t="shared" si="9"/>
        <v>11</v>
      </c>
      <c r="J177">
        <f t="shared" si="10"/>
        <v>11</v>
      </c>
      <c r="K177">
        <f t="shared" si="11"/>
        <v>0</v>
      </c>
    </row>
    <row r="178" spans="1:11" ht="14.25" customHeight="1" x14ac:dyDescent="0.35">
      <c r="A178" s="10" t="s">
        <v>176</v>
      </c>
      <c r="B178" s="10" t="s">
        <v>2572</v>
      </c>
      <c r="C178" s="12">
        <v>36</v>
      </c>
      <c r="D178" s="10" t="s">
        <v>76</v>
      </c>
      <c r="E178" s="10" t="s">
        <v>2483</v>
      </c>
      <c r="F178" s="11">
        <v>44589</v>
      </c>
      <c r="G178" t="str">
        <f t="shared" si="8"/>
        <v>MUMBAI</v>
      </c>
      <c r="H178">
        <f>IF(COUNTIF($G$2:G178,G178)=1,1,0)</f>
        <v>0</v>
      </c>
      <c r="I178">
        <f t="shared" si="9"/>
        <v>11</v>
      </c>
      <c r="J178">
        <f t="shared" si="10"/>
        <v>11</v>
      </c>
      <c r="K178">
        <f t="shared" si="11"/>
        <v>0</v>
      </c>
    </row>
    <row r="179" spans="1:11" ht="14.25" customHeight="1" x14ac:dyDescent="0.35">
      <c r="A179" s="10" t="s">
        <v>508</v>
      </c>
      <c r="B179" s="10" t="s">
        <v>2646</v>
      </c>
      <c r="C179" s="12">
        <v>25</v>
      </c>
      <c r="D179" s="10" t="s">
        <v>97</v>
      </c>
      <c r="E179" s="10" t="s">
        <v>2475</v>
      </c>
      <c r="F179" s="11">
        <v>45164</v>
      </c>
      <c r="G179" t="str">
        <f t="shared" si="8"/>
        <v>HYDERABAD</v>
      </c>
      <c r="H179">
        <f>IF(COUNTIF($G$2:G179,G179)=1,1,0)</f>
        <v>0</v>
      </c>
      <c r="I179">
        <f t="shared" si="9"/>
        <v>10</v>
      </c>
      <c r="J179">
        <f t="shared" si="10"/>
        <v>10</v>
      </c>
      <c r="K179">
        <f t="shared" si="11"/>
        <v>0</v>
      </c>
    </row>
    <row r="180" spans="1:11" ht="14.25" customHeight="1" x14ac:dyDescent="0.35">
      <c r="A180" s="10" t="s">
        <v>1026</v>
      </c>
      <c r="B180" s="10" t="s">
        <v>2647</v>
      </c>
      <c r="C180" s="12">
        <v>54</v>
      </c>
      <c r="D180" s="10" t="s">
        <v>76</v>
      </c>
      <c r="E180" s="10" t="s">
        <v>2483</v>
      </c>
      <c r="F180" s="11">
        <v>44959</v>
      </c>
      <c r="G180" t="str">
        <f t="shared" si="8"/>
        <v>MUMBAI</v>
      </c>
      <c r="H180">
        <f>IF(COUNTIF($G$2:G180,G180)=1,1,0)</f>
        <v>0</v>
      </c>
      <c r="I180">
        <f t="shared" si="9"/>
        <v>12</v>
      </c>
      <c r="J180">
        <f t="shared" si="10"/>
        <v>12</v>
      </c>
      <c r="K180">
        <f t="shared" si="11"/>
        <v>0</v>
      </c>
    </row>
    <row r="181" spans="1:11" ht="14.25" customHeight="1" x14ac:dyDescent="0.35">
      <c r="A181" s="10" t="s">
        <v>69</v>
      </c>
      <c r="B181" s="10" t="s">
        <v>2648</v>
      </c>
      <c r="C181" s="12">
        <v>36</v>
      </c>
      <c r="D181" s="10" t="s">
        <v>58</v>
      </c>
      <c r="E181" s="10" t="s">
        <v>2475</v>
      </c>
      <c r="F181" s="11">
        <v>45172</v>
      </c>
      <c r="G181" t="str">
        <f t="shared" si="8"/>
        <v>CHENNAI</v>
      </c>
      <c r="H181">
        <f>IF(COUNTIF($G$2:G181,G181)=1,1,0)</f>
        <v>0</v>
      </c>
      <c r="I181">
        <f t="shared" si="9"/>
        <v>11</v>
      </c>
      <c r="J181">
        <f t="shared" si="10"/>
        <v>11</v>
      </c>
      <c r="K181">
        <f t="shared" si="11"/>
        <v>0</v>
      </c>
    </row>
    <row r="182" spans="1:11" ht="14.25" customHeight="1" x14ac:dyDescent="0.35">
      <c r="A182" s="10" t="s">
        <v>321</v>
      </c>
      <c r="B182" s="10" t="s">
        <v>2649</v>
      </c>
      <c r="C182" s="12">
        <v>38</v>
      </c>
      <c r="D182" s="10" t="s">
        <v>63</v>
      </c>
      <c r="E182" s="10" t="s">
        <v>2483</v>
      </c>
      <c r="F182" s="11">
        <v>44245</v>
      </c>
      <c r="G182" t="str">
        <f t="shared" si="8"/>
        <v>DELHI</v>
      </c>
      <c r="H182">
        <f>IF(COUNTIF($G$2:G182,G182)=1,1,0)</f>
        <v>0</v>
      </c>
      <c r="I182">
        <f t="shared" si="9"/>
        <v>11</v>
      </c>
      <c r="J182">
        <f t="shared" si="10"/>
        <v>11</v>
      </c>
      <c r="K182">
        <f t="shared" si="11"/>
        <v>0</v>
      </c>
    </row>
    <row r="183" spans="1:11" ht="14.25" customHeight="1" x14ac:dyDescent="0.35">
      <c r="A183" s="10" t="s">
        <v>124</v>
      </c>
      <c r="B183" s="10" t="s">
        <v>2650</v>
      </c>
      <c r="C183" s="12">
        <v>54</v>
      </c>
      <c r="D183" s="10" t="s">
        <v>76</v>
      </c>
      <c r="E183" s="10" t="s">
        <v>2475</v>
      </c>
      <c r="F183" s="11">
        <v>43942</v>
      </c>
      <c r="G183" t="str">
        <f t="shared" si="8"/>
        <v>MUMBAI</v>
      </c>
      <c r="H183">
        <f>IF(COUNTIF($G$2:G183,G183)=1,1,0)</f>
        <v>0</v>
      </c>
      <c r="I183">
        <f t="shared" si="9"/>
        <v>17</v>
      </c>
      <c r="J183">
        <f t="shared" si="10"/>
        <v>17</v>
      </c>
      <c r="K183">
        <f t="shared" si="11"/>
        <v>0</v>
      </c>
    </row>
    <row r="184" spans="1:11" ht="14.25" customHeight="1" x14ac:dyDescent="0.35">
      <c r="A184" s="10" t="s">
        <v>607</v>
      </c>
      <c r="B184" s="10" t="s">
        <v>2651</v>
      </c>
      <c r="C184" s="12">
        <v>27</v>
      </c>
      <c r="D184" s="10" t="s">
        <v>76</v>
      </c>
      <c r="E184" s="10" t="s">
        <v>2483</v>
      </c>
      <c r="F184" s="11">
        <v>43936</v>
      </c>
      <c r="G184" t="str">
        <f t="shared" si="8"/>
        <v>MUMBAI</v>
      </c>
      <c r="H184">
        <f>IF(COUNTIF($G$2:G184,G184)=1,1,0)</f>
        <v>0</v>
      </c>
      <c r="I184">
        <f t="shared" si="9"/>
        <v>11</v>
      </c>
      <c r="J184">
        <f t="shared" si="10"/>
        <v>11</v>
      </c>
      <c r="K184">
        <f t="shared" si="11"/>
        <v>0</v>
      </c>
    </row>
    <row r="185" spans="1:11" ht="14.25" customHeight="1" x14ac:dyDescent="0.35">
      <c r="A185" s="10" t="s">
        <v>114</v>
      </c>
      <c r="B185" s="10" t="s">
        <v>2652</v>
      </c>
      <c r="C185" s="12">
        <v>63</v>
      </c>
      <c r="D185" s="10" t="s">
        <v>52</v>
      </c>
      <c r="E185" s="10" t="s">
        <v>2475</v>
      </c>
      <c r="F185" s="11">
        <v>44642</v>
      </c>
      <c r="G185" t="str">
        <f t="shared" si="8"/>
        <v>PUNE</v>
      </c>
      <c r="H185">
        <f>IF(COUNTIF($G$2:G185,G185)=1,1,0)</f>
        <v>0</v>
      </c>
      <c r="I185">
        <f t="shared" si="9"/>
        <v>13</v>
      </c>
      <c r="J185">
        <f t="shared" si="10"/>
        <v>13</v>
      </c>
      <c r="K185">
        <f t="shared" si="11"/>
        <v>0</v>
      </c>
    </row>
    <row r="186" spans="1:11" ht="14.25" customHeight="1" x14ac:dyDescent="0.35">
      <c r="A186" s="10" t="s">
        <v>525</v>
      </c>
      <c r="B186" s="10" t="s">
        <v>2653</v>
      </c>
      <c r="C186" s="12">
        <v>43</v>
      </c>
      <c r="D186" s="10" t="s">
        <v>97</v>
      </c>
      <c r="E186" s="10" t="s">
        <v>2483</v>
      </c>
      <c r="F186" s="11">
        <v>44140</v>
      </c>
      <c r="G186" t="str">
        <f t="shared" si="8"/>
        <v>HYDERABAD</v>
      </c>
      <c r="H186">
        <f>IF(COUNTIF($G$2:G186,G186)=1,1,0)</f>
        <v>0</v>
      </c>
      <c r="I186">
        <f t="shared" si="9"/>
        <v>13</v>
      </c>
      <c r="J186">
        <f t="shared" si="10"/>
        <v>13</v>
      </c>
      <c r="K186">
        <f t="shared" si="11"/>
        <v>0</v>
      </c>
    </row>
    <row r="187" spans="1:11" ht="14.25" customHeight="1" x14ac:dyDescent="0.35">
      <c r="A187" s="10" t="s">
        <v>178</v>
      </c>
      <c r="B187" s="10" t="s">
        <v>2642</v>
      </c>
      <c r="C187" s="12">
        <v>42</v>
      </c>
      <c r="D187" s="10" t="s">
        <v>81</v>
      </c>
      <c r="E187" s="10" t="s">
        <v>2475</v>
      </c>
      <c r="F187" s="11">
        <v>45162</v>
      </c>
      <c r="G187" t="str">
        <f t="shared" si="8"/>
        <v>BENGALURU</v>
      </c>
      <c r="H187">
        <f>IF(COUNTIF($G$2:G187,G187)=1,1,0)</f>
        <v>0</v>
      </c>
      <c r="I187">
        <f t="shared" si="9"/>
        <v>13</v>
      </c>
      <c r="J187">
        <f t="shared" si="10"/>
        <v>13</v>
      </c>
      <c r="K187">
        <f t="shared" si="11"/>
        <v>0</v>
      </c>
    </row>
    <row r="188" spans="1:11" ht="14.25" customHeight="1" x14ac:dyDescent="0.35">
      <c r="A188" s="10" t="s">
        <v>365</v>
      </c>
      <c r="B188" s="10" t="s">
        <v>2654</v>
      </c>
      <c r="C188" s="12">
        <v>51</v>
      </c>
      <c r="D188" s="10" t="s">
        <v>58</v>
      </c>
      <c r="E188" s="10" t="s">
        <v>2483</v>
      </c>
      <c r="F188" s="11">
        <v>43918</v>
      </c>
      <c r="G188" t="str">
        <f t="shared" si="8"/>
        <v>CHENNAI</v>
      </c>
      <c r="H188">
        <f>IF(COUNTIF($G$2:G188,G188)=1,1,0)</f>
        <v>0</v>
      </c>
      <c r="I188">
        <f t="shared" si="9"/>
        <v>9</v>
      </c>
      <c r="J188">
        <f t="shared" si="10"/>
        <v>9</v>
      </c>
      <c r="K188">
        <f t="shared" si="11"/>
        <v>0</v>
      </c>
    </row>
    <row r="189" spans="1:11" ht="14.25" customHeight="1" x14ac:dyDescent="0.35">
      <c r="A189" s="10" t="s">
        <v>1225</v>
      </c>
      <c r="B189" s="10" t="s">
        <v>2655</v>
      </c>
      <c r="C189" s="12">
        <v>54</v>
      </c>
      <c r="D189" s="10" t="s">
        <v>81</v>
      </c>
      <c r="E189" s="10" t="s">
        <v>2475</v>
      </c>
      <c r="F189" s="11">
        <v>44476</v>
      </c>
      <c r="G189" t="str">
        <f t="shared" si="8"/>
        <v>BENGALURU</v>
      </c>
      <c r="H189">
        <f>IF(COUNTIF($G$2:G189,G189)=1,1,0)</f>
        <v>0</v>
      </c>
      <c r="I189">
        <f t="shared" si="9"/>
        <v>12</v>
      </c>
      <c r="J189">
        <f t="shared" si="10"/>
        <v>12</v>
      </c>
      <c r="K189">
        <f t="shared" si="11"/>
        <v>0</v>
      </c>
    </row>
    <row r="190" spans="1:11" ht="14.25" customHeight="1" x14ac:dyDescent="0.35">
      <c r="A190" s="10" t="s">
        <v>265</v>
      </c>
      <c r="B190" s="10" t="s">
        <v>2656</v>
      </c>
      <c r="C190" s="12">
        <v>41</v>
      </c>
      <c r="D190" s="10" t="s">
        <v>58</v>
      </c>
      <c r="E190" s="10" t="s">
        <v>2475</v>
      </c>
      <c r="F190" s="11">
        <v>44392</v>
      </c>
      <c r="G190" t="str">
        <f t="shared" si="8"/>
        <v>CHENNAI</v>
      </c>
      <c r="H190">
        <f>IF(COUNTIF($G$2:G190,G190)=1,1,0)</f>
        <v>0</v>
      </c>
      <c r="I190">
        <f t="shared" si="9"/>
        <v>11</v>
      </c>
      <c r="J190">
        <f t="shared" si="10"/>
        <v>11</v>
      </c>
      <c r="K190">
        <f t="shared" si="11"/>
        <v>0</v>
      </c>
    </row>
    <row r="191" spans="1:11" ht="14.25" customHeight="1" x14ac:dyDescent="0.35">
      <c r="A191" s="10" t="s">
        <v>792</v>
      </c>
      <c r="B191" s="10" t="s">
        <v>2657</v>
      </c>
      <c r="C191" s="12">
        <v>52</v>
      </c>
      <c r="D191" s="10" t="s">
        <v>97</v>
      </c>
      <c r="E191" s="10" t="s">
        <v>2475</v>
      </c>
      <c r="F191" s="11">
        <v>44668</v>
      </c>
      <c r="G191" t="str">
        <f t="shared" si="8"/>
        <v>HYDERABAD</v>
      </c>
      <c r="H191">
        <f>IF(COUNTIF($G$2:G191,G191)=1,1,0)</f>
        <v>0</v>
      </c>
      <c r="I191">
        <f t="shared" si="9"/>
        <v>12</v>
      </c>
      <c r="J191">
        <f t="shared" si="10"/>
        <v>12</v>
      </c>
      <c r="K191">
        <f t="shared" si="11"/>
        <v>0</v>
      </c>
    </row>
    <row r="192" spans="1:11" ht="14.25" customHeight="1" x14ac:dyDescent="0.35">
      <c r="A192" s="10" t="s">
        <v>258</v>
      </c>
      <c r="B192" s="10" t="s">
        <v>2658</v>
      </c>
      <c r="C192" s="12">
        <v>43</v>
      </c>
      <c r="D192" s="10" t="s">
        <v>97</v>
      </c>
      <c r="E192" s="10" t="s">
        <v>2483</v>
      </c>
      <c r="F192" s="11">
        <v>44080</v>
      </c>
      <c r="G192" t="str">
        <f t="shared" si="8"/>
        <v>HYDERABAD</v>
      </c>
      <c r="H192">
        <f>IF(COUNTIF($G$2:G192,G192)=1,1,0)</f>
        <v>0</v>
      </c>
      <c r="I192">
        <f t="shared" si="9"/>
        <v>10</v>
      </c>
      <c r="J192">
        <f t="shared" si="10"/>
        <v>10</v>
      </c>
      <c r="K192">
        <f t="shared" si="11"/>
        <v>0</v>
      </c>
    </row>
    <row r="193" spans="1:11" ht="14.25" customHeight="1" x14ac:dyDescent="0.35">
      <c r="A193" s="10" t="s">
        <v>393</v>
      </c>
      <c r="B193" s="10" t="s">
        <v>2659</v>
      </c>
      <c r="C193" s="12">
        <v>55</v>
      </c>
      <c r="D193" s="10" t="s">
        <v>81</v>
      </c>
      <c r="E193" s="10" t="s">
        <v>2475</v>
      </c>
      <c r="F193" s="11">
        <v>44663</v>
      </c>
      <c r="G193" t="str">
        <f t="shared" si="8"/>
        <v>BENGALURU</v>
      </c>
      <c r="H193">
        <f>IF(COUNTIF($G$2:G193,G193)=1,1,0)</f>
        <v>0</v>
      </c>
      <c r="I193">
        <f t="shared" si="9"/>
        <v>12</v>
      </c>
      <c r="J193">
        <f t="shared" si="10"/>
        <v>12</v>
      </c>
      <c r="K193">
        <f t="shared" si="11"/>
        <v>0</v>
      </c>
    </row>
    <row r="194" spans="1:11" ht="14.25" customHeight="1" x14ac:dyDescent="0.35">
      <c r="A194" s="10" t="s">
        <v>274</v>
      </c>
      <c r="B194" s="10" t="s">
        <v>2660</v>
      </c>
      <c r="C194" s="12">
        <v>42</v>
      </c>
      <c r="D194" s="10" t="s">
        <v>81</v>
      </c>
      <c r="E194" s="10" t="s">
        <v>2475</v>
      </c>
      <c r="F194" s="11">
        <v>43886</v>
      </c>
      <c r="G194" t="str">
        <f t="shared" ref="G194:G257" si="12">UPPER(TRIM(D194))</f>
        <v>BENGALURU</v>
      </c>
      <c r="H194">
        <f>IF(COUNTIF($G$2:G194,G194)=1,1,0)</f>
        <v>0</v>
      </c>
      <c r="I194">
        <f t="shared" ref="I194:I257" si="13">LEN(B194)</f>
        <v>11</v>
      </c>
      <c r="J194">
        <f t="shared" ref="J194:J257" si="14">LEN(TRIM(B194))</f>
        <v>11</v>
      </c>
      <c r="K194">
        <f t="shared" ref="K194:K257" si="15">IF(I194&lt;&gt;J194,1,0)</f>
        <v>0</v>
      </c>
    </row>
    <row r="195" spans="1:11" ht="14.25" customHeight="1" x14ac:dyDescent="0.35">
      <c r="A195" s="10" t="s">
        <v>222</v>
      </c>
      <c r="B195" s="10" t="s">
        <v>2511</v>
      </c>
      <c r="C195" s="12">
        <v>55</v>
      </c>
      <c r="D195" s="10" t="s">
        <v>63</v>
      </c>
      <c r="E195" s="10" t="s">
        <v>2483</v>
      </c>
      <c r="F195" s="11">
        <v>43869</v>
      </c>
      <c r="G195" t="str">
        <f t="shared" si="12"/>
        <v>DELHI</v>
      </c>
      <c r="H195">
        <f>IF(COUNTIF($G$2:G195,G195)=1,1,0)</f>
        <v>0</v>
      </c>
      <c r="I195">
        <f t="shared" si="13"/>
        <v>9</v>
      </c>
      <c r="J195">
        <f t="shared" si="14"/>
        <v>9</v>
      </c>
      <c r="K195">
        <f t="shared" si="15"/>
        <v>0</v>
      </c>
    </row>
    <row r="196" spans="1:11" ht="14.25" customHeight="1" x14ac:dyDescent="0.35">
      <c r="A196" s="10" t="s">
        <v>885</v>
      </c>
      <c r="B196" s="10" t="s">
        <v>2661</v>
      </c>
      <c r="C196" s="12">
        <v>28</v>
      </c>
      <c r="D196" s="10" t="s">
        <v>81</v>
      </c>
      <c r="E196" s="10" t="s">
        <v>2475</v>
      </c>
      <c r="F196" s="11">
        <v>44056</v>
      </c>
      <c r="G196" t="str">
        <f t="shared" si="12"/>
        <v>BENGALURU</v>
      </c>
      <c r="H196">
        <f>IF(COUNTIF($G$2:G196,G196)=1,1,0)</f>
        <v>0</v>
      </c>
      <c r="I196">
        <f t="shared" si="13"/>
        <v>13</v>
      </c>
      <c r="J196">
        <f t="shared" si="14"/>
        <v>11</v>
      </c>
      <c r="K196">
        <f t="shared" si="15"/>
        <v>1</v>
      </c>
    </row>
    <row r="197" spans="1:11" ht="14.25" customHeight="1" x14ac:dyDescent="0.35">
      <c r="A197" s="10" t="s">
        <v>644</v>
      </c>
      <c r="B197" s="10" t="s">
        <v>2662</v>
      </c>
      <c r="C197" s="12">
        <v>26</v>
      </c>
      <c r="D197" s="10" t="s">
        <v>58</v>
      </c>
      <c r="E197" s="10" t="s">
        <v>2475</v>
      </c>
      <c r="F197" s="11">
        <v>44738</v>
      </c>
      <c r="G197" t="str">
        <f t="shared" si="12"/>
        <v>CHENNAI</v>
      </c>
      <c r="H197">
        <f>IF(COUNTIF($G$2:G197,G197)=1,1,0)</f>
        <v>0</v>
      </c>
      <c r="I197">
        <f t="shared" si="13"/>
        <v>11</v>
      </c>
      <c r="J197">
        <f t="shared" si="14"/>
        <v>11</v>
      </c>
      <c r="K197">
        <f t="shared" si="15"/>
        <v>0</v>
      </c>
    </row>
    <row r="198" spans="1:11" ht="14.25" customHeight="1" x14ac:dyDescent="0.35">
      <c r="A198" s="10" t="s">
        <v>427</v>
      </c>
      <c r="B198" s="10" t="s">
        <v>2663</v>
      </c>
      <c r="C198" s="12">
        <v>55</v>
      </c>
      <c r="D198" s="10" t="s">
        <v>81</v>
      </c>
      <c r="E198" s="10" t="s">
        <v>2475</v>
      </c>
      <c r="F198" s="11">
        <v>44715</v>
      </c>
      <c r="G198" t="str">
        <f t="shared" si="12"/>
        <v>BENGALURU</v>
      </c>
      <c r="H198">
        <f>IF(COUNTIF($G$2:G198,G198)=1,1,0)</f>
        <v>0</v>
      </c>
      <c r="I198">
        <f t="shared" si="13"/>
        <v>10</v>
      </c>
      <c r="J198">
        <f t="shared" si="14"/>
        <v>10</v>
      </c>
      <c r="K198">
        <f t="shared" si="15"/>
        <v>0</v>
      </c>
    </row>
    <row r="199" spans="1:11" ht="14.25" customHeight="1" x14ac:dyDescent="0.35">
      <c r="A199" s="10" t="s">
        <v>585</v>
      </c>
      <c r="B199" s="10" t="s">
        <v>2664</v>
      </c>
      <c r="C199" s="12">
        <v>22</v>
      </c>
      <c r="D199" s="10" t="s">
        <v>58</v>
      </c>
      <c r="E199" s="10" t="s">
        <v>2477</v>
      </c>
      <c r="F199" s="11">
        <v>44907</v>
      </c>
      <c r="G199" t="str">
        <f t="shared" si="12"/>
        <v>CHENNAI</v>
      </c>
      <c r="H199">
        <f>IF(COUNTIF($G$2:G199,G199)=1,1,0)</f>
        <v>0</v>
      </c>
      <c r="I199">
        <f t="shared" si="13"/>
        <v>13</v>
      </c>
      <c r="J199">
        <f t="shared" si="14"/>
        <v>13</v>
      </c>
      <c r="K199">
        <f t="shared" si="15"/>
        <v>0</v>
      </c>
    </row>
    <row r="200" spans="1:11" ht="14.25" customHeight="1" x14ac:dyDescent="0.35">
      <c r="A200" s="10" t="s">
        <v>930</v>
      </c>
      <c r="B200" s="10" t="s">
        <v>2665</v>
      </c>
      <c r="C200" s="12">
        <v>31</v>
      </c>
      <c r="D200" s="10" t="s">
        <v>97</v>
      </c>
      <c r="E200" s="10" t="s">
        <v>2483</v>
      </c>
      <c r="F200" s="11">
        <v>44821</v>
      </c>
      <c r="G200" t="str">
        <f t="shared" si="12"/>
        <v>HYDERABAD</v>
      </c>
      <c r="H200">
        <f>IF(COUNTIF($G$2:G200,G200)=1,1,0)</f>
        <v>0</v>
      </c>
      <c r="I200">
        <f t="shared" si="13"/>
        <v>13</v>
      </c>
      <c r="J200">
        <f t="shared" si="14"/>
        <v>13</v>
      </c>
      <c r="K200">
        <f t="shared" si="15"/>
        <v>0</v>
      </c>
    </row>
    <row r="201" spans="1:11" ht="14.25" customHeight="1" x14ac:dyDescent="0.35">
      <c r="A201" s="10" t="s">
        <v>269</v>
      </c>
      <c r="B201" s="10" t="s">
        <v>2609</v>
      </c>
      <c r="C201" s="12">
        <v>46</v>
      </c>
      <c r="D201" s="10" t="s">
        <v>2603</v>
      </c>
      <c r="E201" s="10" t="s">
        <v>2477</v>
      </c>
      <c r="F201" s="11">
        <v>44396</v>
      </c>
      <c r="G201" t="str">
        <f t="shared" si="12"/>
        <v>HYDERABAD</v>
      </c>
      <c r="H201">
        <f>IF(COUNTIF($G$2:G201,G201)=1,1,0)</f>
        <v>0</v>
      </c>
      <c r="I201">
        <f t="shared" si="13"/>
        <v>12</v>
      </c>
      <c r="J201">
        <f t="shared" si="14"/>
        <v>12</v>
      </c>
      <c r="K201">
        <f t="shared" si="15"/>
        <v>0</v>
      </c>
    </row>
    <row r="202" spans="1:11" ht="14.25" customHeight="1" x14ac:dyDescent="0.35">
      <c r="A202" s="10" t="s">
        <v>872</v>
      </c>
      <c r="B202" s="10" t="s">
        <v>2666</v>
      </c>
      <c r="C202" s="12">
        <v>31</v>
      </c>
      <c r="D202" s="10" t="s">
        <v>97</v>
      </c>
      <c r="E202" s="10" t="s">
        <v>2475</v>
      </c>
      <c r="F202" s="11">
        <v>44629</v>
      </c>
      <c r="G202" t="str">
        <f t="shared" si="12"/>
        <v>HYDERABAD</v>
      </c>
      <c r="H202">
        <f>IF(COUNTIF($G$2:G202,G202)=1,1,0)</f>
        <v>0</v>
      </c>
      <c r="I202">
        <f t="shared" si="13"/>
        <v>11</v>
      </c>
      <c r="J202">
        <f t="shared" si="14"/>
        <v>11</v>
      </c>
      <c r="K202">
        <f t="shared" si="15"/>
        <v>0</v>
      </c>
    </row>
    <row r="203" spans="1:11" ht="14.25" customHeight="1" x14ac:dyDescent="0.35">
      <c r="A203" s="10" t="s">
        <v>54</v>
      </c>
      <c r="B203" s="10" t="s">
        <v>2667</v>
      </c>
      <c r="C203" s="12">
        <v>39</v>
      </c>
      <c r="D203" s="10" t="s">
        <v>58</v>
      </c>
      <c r="E203" s="10" t="s">
        <v>2475</v>
      </c>
      <c r="F203" s="11">
        <v>44149</v>
      </c>
      <c r="G203" t="str">
        <f t="shared" si="12"/>
        <v>CHENNAI</v>
      </c>
      <c r="H203">
        <f>IF(COUNTIF($G$2:G203,G203)=1,1,0)</f>
        <v>0</v>
      </c>
      <c r="I203">
        <f t="shared" si="13"/>
        <v>11</v>
      </c>
      <c r="J203">
        <f t="shared" si="14"/>
        <v>11</v>
      </c>
      <c r="K203">
        <f t="shared" si="15"/>
        <v>0</v>
      </c>
    </row>
    <row r="204" spans="1:11" ht="14.25" customHeight="1" x14ac:dyDescent="0.35">
      <c r="A204" s="10" t="s">
        <v>236</v>
      </c>
      <c r="B204" s="10" t="s">
        <v>2668</v>
      </c>
      <c r="C204" s="12">
        <v>55</v>
      </c>
      <c r="D204" s="10" t="s">
        <v>58</v>
      </c>
      <c r="E204" s="10" t="s">
        <v>2483</v>
      </c>
      <c r="F204" s="11">
        <v>44912</v>
      </c>
      <c r="G204" t="str">
        <f t="shared" si="12"/>
        <v>CHENNAI</v>
      </c>
      <c r="H204">
        <f>IF(COUNTIF($G$2:G204,G204)=1,1,0)</f>
        <v>0</v>
      </c>
      <c r="I204">
        <f t="shared" si="13"/>
        <v>13</v>
      </c>
      <c r="J204">
        <f t="shared" si="14"/>
        <v>13</v>
      </c>
      <c r="K204">
        <f t="shared" si="15"/>
        <v>0</v>
      </c>
    </row>
    <row r="205" spans="1:11" ht="14.25" customHeight="1" x14ac:dyDescent="0.35">
      <c r="A205" s="10" t="s">
        <v>94</v>
      </c>
      <c r="B205" s="10" t="s">
        <v>2669</v>
      </c>
      <c r="C205" s="12">
        <v>60</v>
      </c>
      <c r="D205" s="10" t="s">
        <v>97</v>
      </c>
      <c r="E205" s="10" t="s">
        <v>2475</v>
      </c>
      <c r="F205" s="11">
        <v>44738</v>
      </c>
      <c r="G205" t="str">
        <f t="shared" si="12"/>
        <v>HYDERABAD</v>
      </c>
      <c r="H205">
        <f>IF(COUNTIF($G$2:G205,G205)=1,1,0)</f>
        <v>0</v>
      </c>
      <c r="I205">
        <f t="shared" si="13"/>
        <v>12</v>
      </c>
      <c r="J205">
        <f t="shared" si="14"/>
        <v>12</v>
      </c>
      <c r="K205">
        <f t="shared" si="15"/>
        <v>0</v>
      </c>
    </row>
    <row r="206" spans="1:11" ht="14.25" customHeight="1" x14ac:dyDescent="0.35">
      <c r="A206" s="10" t="s">
        <v>941</v>
      </c>
      <c r="B206" s="10" t="s">
        <v>2515</v>
      </c>
      <c r="C206" s="12">
        <v>29</v>
      </c>
      <c r="D206" s="10" t="s">
        <v>52</v>
      </c>
      <c r="E206" s="10" t="s">
        <v>2477</v>
      </c>
      <c r="F206" s="11">
        <v>45075</v>
      </c>
      <c r="G206" t="str">
        <f t="shared" si="12"/>
        <v>PUNE</v>
      </c>
      <c r="H206">
        <f>IF(COUNTIF($G$2:G206,G206)=1,1,0)</f>
        <v>0</v>
      </c>
      <c r="I206">
        <f t="shared" si="13"/>
        <v>11</v>
      </c>
      <c r="J206">
        <f t="shared" si="14"/>
        <v>11</v>
      </c>
      <c r="K206">
        <f t="shared" si="15"/>
        <v>0</v>
      </c>
    </row>
    <row r="207" spans="1:11" ht="14.25" customHeight="1" x14ac:dyDescent="0.35">
      <c r="A207" s="10" t="s">
        <v>934</v>
      </c>
      <c r="B207" s="10" t="s">
        <v>2552</v>
      </c>
      <c r="C207" s="12">
        <v>40</v>
      </c>
      <c r="D207" s="10" t="s">
        <v>76</v>
      </c>
      <c r="E207" s="10" t="s">
        <v>2475</v>
      </c>
      <c r="F207" s="11">
        <v>45127</v>
      </c>
      <c r="G207" t="str">
        <f t="shared" si="12"/>
        <v>MUMBAI</v>
      </c>
      <c r="H207">
        <f>IF(COUNTIF($G$2:G207,G207)=1,1,0)</f>
        <v>0</v>
      </c>
      <c r="I207">
        <f t="shared" si="13"/>
        <v>10</v>
      </c>
      <c r="J207">
        <f t="shared" si="14"/>
        <v>10</v>
      </c>
      <c r="K207">
        <f t="shared" si="15"/>
        <v>0</v>
      </c>
    </row>
    <row r="208" spans="1:11" ht="14.25" customHeight="1" x14ac:dyDescent="0.35">
      <c r="A208" s="10" t="s">
        <v>1854</v>
      </c>
      <c r="B208" s="10" t="s">
        <v>2670</v>
      </c>
      <c r="C208" s="12">
        <v>34</v>
      </c>
      <c r="D208" s="10" t="s">
        <v>97</v>
      </c>
      <c r="E208" s="10" t="s">
        <v>2483</v>
      </c>
      <c r="F208" s="11">
        <v>43954</v>
      </c>
      <c r="G208" t="str">
        <f t="shared" si="12"/>
        <v>HYDERABAD</v>
      </c>
      <c r="H208">
        <f>IF(COUNTIF($G$2:G208,G208)=1,1,0)</f>
        <v>0</v>
      </c>
      <c r="I208">
        <f t="shared" si="13"/>
        <v>13</v>
      </c>
      <c r="J208">
        <f t="shared" si="14"/>
        <v>13</v>
      </c>
      <c r="K208">
        <f t="shared" si="15"/>
        <v>0</v>
      </c>
    </row>
    <row r="209" spans="1:11" ht="14.25" customHeight="1" x14ac:dyDescent="0.35">
      <c r="A209" s="10" t="s">
        <v>300</v>
      </c>
      <c r="B209" s="10" t="s">
        <v>2671</v>
      </c>
      <c r="C209" s="12">
        <v>49</v>
      </c>
      <c r="D209" s="10" t="s">
        <v>76</v>
      </c>
      <c r="E209" s="10" t="s">
        <v>2475</v>
      </c>
      <c r="F209" s="11">
        <v>45082</v>
      </c>
      <c r="G209" t="str">
        <f t="shared" si="12"/>
        <v>MUMBAI</v>
      </c>
      <c r="H209">
        <f>IF(COUNTIF($G$2:G209,G209)=1,1,0)</f>
        <v>0</v>
      </c>
      <c r="I209">
        <f t="shared" si="13"/>
        <v>11</v>
      </c>
      <c r="J209">
        <f t="shared" si="14"/>
        <v>11</v>
      </c>
      <c r="K209">
        <f t="shared" si="15"/>
        <v>0</v>
      </c>
    </row>
    <row r="210" spans="1:11" ht="14.25" customHeight="1" x14ac:dyDescent="0.35">
      <c r="A210" s="10" t="s">
        <v>749</v>
      </c>
      <c r="B210" s="10" t="s">
        <v>2672</v>
      </c>
      <c r="C210" s="12">
        <v>31</v>
      </c>
      <c r="D210" s="10" t="s">
        <v>52</v>
      </c>
      <c r="E210" s="10" t="s">
        <v>2475</v>
      </c>
      <c r="F210" s="11">
        <v>44258</v>
      </c>
      <c r="G210" t="str">
        <f t="shared" si="12"/>
        <v>PUNE</v>
      </c>
      <c r="H210">
        <f>IF(COUNTIF($G$2:G210,G210)=1,1,0)</f>
        <v>0</v>
      </c>
      <c r="I210">
        <f t="shared" si="13"/>
        <v>14</v>
      </c>
      <c r="J210">
        <f t="shared" si="14"/>
        <v>14</v>
      </c>
      <c r="K210">
        <f t="shared" si="15"/>
        <v>0</v>
      </c>
    </row>
    <row r="211" spans="1:11" ht="14.25" customHeight="1" x14ac:dyDescent="0.35">
      <c r="A211" s="10" t="s">
        <v>391</v>
      </c>
      <c r="B211" s="10" t="s">
        <v>2673</v>
      </c>
      <c r="C211" s="12">
        <v>48</v>
      </c>
      <c r="D211" s="10" t="s">
        <v>52</v>
      </c>
      <c r="E211" s="10" t="s">
        <v>2477</v>
      </c>
      <c r="F211" s="11">
        <v>44968</v>
      </c>
      <c r="G211" t="str">
        <f t="shared" si="12"/>
        <v>PUNE</v>
      </c>
      <c r="H211">
        <f>IF(COUNTIF($G$2:G211,G211)=1,1,0)</f>
        <v>0</v>
      </c>
      <c r="I211">
        <f t="shared" si="13"/>
        <v>11</v>
      </c>
      <c r="J211">
        <f t="shared" si="14"/>
        <v>11</v>
      </c>
      <c r="K211">
        <f t="shared" si="15"/>
        <v>0</v>
      </c>
    </row>
    <row r="212" spans="1:11" ht="14.25" customHeight="1" x14ac:dyDescent="0.35">
      <c r="A212" s="10" t="s">
        <v>1155</v>
      </c>
      <c r="B212" s="10" t="s">
        <v>2674</v>
      </c>
      <c r="C212" s="12">
        <v>36</v>
      </c>
      <c r="D212" s="10" t="s">
        <v>81</v>
      </c>
      <c r="E212" s="10" t="s">
        <v>2475</v>
      </c>
      <c r="F212" s="11">
        <v>44251</v>
      </c>
      <c r="G212" t="str">
        <f t="shared" si="12"/>
        <v>BENGALURU</v>
      </c>
      <c r="H212">
        <f>IF(COUNTIF($G$2:G212,G212)=1,1,0)</f>
        <v>0</v>
      </c>
      <c r="I212">
        <f t="shared" si="13"/>
        <v>11</v>
      </c>
      <c r="J212">
        <f t="shared" si="14"/>
        <v>11</v>
      </c>
      <c r="K212">
        <f t="shared" si="15"/>
        <v>0</v>
      </c>
    </row>
    <row r="213" spans="1:11" ht="14.25" customHeight="1" x14ac:dyDescent="0.35">
      <c r="A213" s="10" t="s">
        <v>664</v>
      </c>
      <c r="B213" s="10" t="s">
        <v>2675</v>
      </c>
      <c r="C213" s="12">
        <v>46</v>
      </c>
      <c r="D213" s="10" t="s">
        <v>58</v>
      </c>
      <c r="E213" s="10" t="s">
        <v>2483</v>
      </c>
      <c r="F213" s="11">
        <v>44594</v>
      </c>
      <c r="G213" t="str">
        <f t="shared" si="12"/>
        <v>CHENNAI</v>
      </c>
      <c r="H213">
        <f>IF(COUNTIF($G$2:G213,G213)=1,1,0)</f>
        <v>0</v>
      </c>
      <c r="I213">
        <f t="shared" si="13"/>
        <v>11</v>
      </c>
      <c r="J213">
        <f t="shared" si="14"/>
        <v>11</v>
      </c>
      <c r="K213">
        <f t="shared" si="15"/>
        <v>0</v>
      </c>
    </row>
    <row r="214" spans="1:11" ht="14.25" customHeight="1" x14ac:dyDescent="0.35">
      <c r="A214" s="10" t="s">
        <v>1019</v>
      </c>
      <c r="B214" s="10" t="s">
        <v>2511</v>
      </c>
      <c r="C214" s="12">
        <v>37</v>
      </c>
      <c r="D214" s="10" t="s">
        <v>76</v>
      </c>
      <c r="E214" s="10" t="s">
        <v>2475</v>
      </c>
      <c r="F214" s="11">
        <v>44431</v>
      </c>
      <c r="G214" t="str">
        <f t="shared" si="12"/>
        <v>MUMBAI</v>
      </c>
      <c r="H214">
        <f>IF(COUNTIF($G$2:G214,G214)=1,1,0)</f>
        <v>0</v>
      </c>
      <c r="I214">
        <f t="shared" si="13"/>
        <v>9</v>
      </c>
      <c r="J214">
        <f t="shared" si="14"/>
        <v>9</v>
      </c>
      <c r="K214">
        <f t="shared" si="15"/>
        <v>0</v>
      </c>
    </row>
    <row r="215" spans="1:11" ht="14.25" customHeight="1" x14ac:dyDescent="0.35">
      <c r="A215" s="10" t="s">
        <v>846</v>
      </c>
      <c r="B215" s="10" t="s">
        <v>2676</v>
      </c>
      <c r="C215" s="12">
        <v>22</v>
      </c>
      <c r="D215" s="10" t="s">
        <v>76</v>
      </c>
      <c r="E215" s="10" t="s">
        <v>2475</v>
      </c>
      <c r="F215" s="11">
        <v>44453</v>
      </c>
      <c r="G215" t="str">
        <f t="shared" si="12"/>
        <v>MUMBAI</v>
      </c>
      <c r="H215">
        <f>IF(COUNTIF($G$2:G215,G215)=1,1,0)</f>
        <v>0</v>
      </c>
      <c r="I215">
        <f t="shared" si="13"/>
        <v>9</v>
      </c>
      <c r="J215">
        <f t="shared" si="14"/>
        <v>9</v>
      </c>
      <c r="K215">
        <f t="shared" si="15"/>
        <v>0</v>
      </c>
    </row>
    <row r="216" spans="1:11" ht="14.25" customHeight="1" x14ac:dyDescent="0.35">
      <c r="A216" s="10" t="s">
        <v>726</v>
      </c>
      <c r="B216" s="10" t="s">
        <v>2677</v>
      </c>
      <c r="C216" s="12">
        <v>52</v>
      </c>
      <c r="D216" s="10" t="s">
        <v>97</v>
      </c>
      <c r="E216" s="10" t="s">
        <v>2475</v>
      </c>
      <c r="F216" s="11">
        <v>45105</v>
      </c>
      <c r="G216" t="str">
        <f t="shared" si="12"/>
        <v>HYDERABAD</v>
      </c>
      <c r="H216">
        <f>IF(COUNTIF($G$2:G216,G216)=1,1,0)</f>
        <v>0</v>
      </c>
      <c r="I216">
        <f t="shared" si="13"/>
        <v>13</v>
      </c>
      <c r="J216">
        <f t="shared" si="14"/>
        <v>13</v>
      </c>
      <c r="K216">
        <f t="shared" si="15"/>
        <v>0</v>
      </c>
    </row>
    <row r="217" spans="1:11" ht="14.25" customHeight="1" x14ac:dyDescent="0.35">
      <c r="A217" s="10" t="s">
        <v>356</v>
      </c>
      <c r="B217" s="10" t="s">
        <v>2678</v>
      </c>
      <c r="C217" s="12">
        <v>50</v>
      </c>
      <c r="D217" s="10" t="s">
        <v>76</v>
      </c>
      <c r="E217" s="10" t="s">
        <v>2475</v>
      </c>
      <c r="F217" s="11">
        <v>44204</v>
      </c>
      <c r="G217" t="str">
        <f t="shared" si="12"/>
        <v>MUMBAI</v>
      </c>
      <c r="H217">
        <f>IF(COUNTIF($G$2:G217,G217)=1,1,0)</f>
        <v>0</v>
      </c>
      <c r="I217">
        <f t="shared" si="13"/>
        <v>12</v>
      </c>
      <c r="J217">
        <f t="shared" si="14"/>
        <v>12</v>
      </c>
      <c r="K217">
        <f t="shared" si="15"/>
        <v>0</v>
      </c>
    </row>
    <row r="218" spans="1:11" ht="14.25" customHeight="1" x14ac:dyDescent="0.35">
      <c r="A218" s="10" t="s">
        <v>820</v>
      </c>
      <c r="B218" s="10" t="s">
        <v>2679</v>
      </c>
      <c r="C218" s="12">
        <v>59</v>
      </c>
      <c r="D218" s="10" t="s">
        <v>52</v>
      </c>
      <c r="E218" s="10" t="s">
        <v>2483</v>
      </c>
      <c r="F218" s="11">
        <v>44877</v>
      </c>
      <c r="G218" t="str">
        <f t="shared" si="12"/>
        <v>PUNE</v>
      </c>
      <c r="H218">
        <f>IF(COUNTIF($G$2:G218,G218)=1,1,0)</f>
        <v>0</v>
      </c>
      <c r="I218">
        <f t="shared" si="13"/>
        <v>10</v>
      </c>
      <c r="J218">
        <f t="shared" si="14"/>
        <v>10</v>
      </c>
      <c r="K218">
        <f t="shared" si="15"/>
        <v>0</v>
      </c>
    </row>
    <row r="219" spans="1:11" ht="14.25" customHeight="1" x14ac:dyDescent="0.35">
      <c r="A219" s="10" t="s">
        <v>561</v>
      </c>
      <c r="B219" s="10" t="s">
        <v>2680</v>
      </c>
      <c r="C219" s="12">
        <v>39</v>
      </c>
      <c r="D219" s="10" t="s">
        <v>76</v>
      </c>
      <c r="E219" s="10" t="s">
        <v>2475</v>
      </c>
      <c r="F219" s="11">
        <v>44849</v>
      </c>
      <c r="G219" t="str">
        <f t="shared" si="12"/>
        <v>MUMBAI</v>
      </c>
      <c r="H219">
        <f>IF(COUNTIF($G$2:G219,G219)=1,1,0)</f>
        <v>0</v>
      </c>
      <c r="I219">
        <f t="shared" si="13"/>
        <v>13</v>
      </c>
      <c r="J219">
        <f t="shared" si="14"/>
        <v>13</v>
      </c>
      <c r="K219">
        <f t="shared" si="15"/>
        <v>0</v>
      </c>
    </row>
    <row r="220" spans="1:11" ht="14.25" customHeight="1" x14ac:dyDescent="0.35">
      <c r="A220" s="10" t="s">
        <v>309</v>
      </c>
      <c r="B220" s="10" t="s">
        <v>2681</v>
      </c>
      <c r="C220" s="12">
        <v>38</v>
      </c>
      <c r="D220" s="10" t="s">
        <v>58</v>
      </c>
      <c r="E220" s="10" t="s">
        <v>2477</v>
      </c>
      <c r="F220" s="11">
        <v>44321</v>
      </c>
      <c r="G220" t="str">
        <f t="shared" si="12"/>
        <v>CHENNAI</v>
      </c>
      <c r="H220">
        <f>IF(COUNTIF($G$2:G220,G220)=1,1,0)</f>
        <v>0</v>
      </c>
      <c r="I220">
        <f t="shared" si="13"/>
        <v>12</v>
      </c>
      <c r="J220">
        <f t="shared" si="14"/>
        <v>12</v>
      </c>
      <c r="K220">
        <f t="shared" si="15"/>
        <v>0</v>
      </c>
    </row>
    <row r="221" spans="1:11" ht="14.25" customHeight="1" x14ac:dyDescent="0.35">
      <c r="A221" s="10" t="s">
        <v>1325</v>
      </c>
      <c r="B221" s="10" t="s">
        <v>2682</v>
      </c>
      <c r="C221" s="12">
        <v>34</v>
      </c>
      <c r="D221" s="10" t="s">
        <v>58</v>
      </c>
      <c r="E221" s="10" t="s">
        <v>2475</v>
      </c>
      <c r="F221" s="11">
        <v>43978</v>
      </c>
      <c r="G221" t="str">
        <f t="shared" si="12"/>
        <v>CHENNAI</v>
      </c>
      <c r="H221">
        <f>IF(COUNTIF($G$2:G221,G221)=1,1,0)</f>
        <v>0</v>
      </c>
      <c r="I221">
        <f t="shared" si="13"/>
        <v>13</v>
      </c>
      <c r="J221">
        <f t="shared" si="14"/>
        <v>13</v>
      </c>
      <c r="K221">
        <f t="shared" si="15"/>
        <v>0</v>
      </c>
    </row>
    <row r="222" spans="1:11" ht="14.25" customHeight="1" x14ac:dyDescent="0.35">
      <c r="A222" s="10" t="s">
        <v>745</v>
      </c>
      <c r="B222" s="10" t="s">
        <v>2683</v>
      </c>
      <c r="C222" s="12">
        <v>29</v>
      </c>
      <c r="D222" s="10" t="s">
        <v>63</v>
      </c>
      <c r="E222" s="10" t="s">
        <v>2483</v>
      </c>
      <c r="F222" s="11">
        <v>44061</v>
      </c>
      <c r="G222" t="str">
        <f t="shared" si="12"/>
        <v>DELHI</v>
      </c>
      <c r="H222">
        <f>IF(COUNTIF($G$2:G222,G222)=1,1,0)</f>
        <v>0</v>
      </c>
      <c r="I222">
        <f t="shared" si="13"/>
        <v>11</v>
      </c>
      <c r="J222">
        <f t="shared" si="14"/>
        <v>11</v>
      </c>
      <c r="K222">
        <f t="shared" si="15"/>
        <v>0</v>
      </c>
    </row>
    <row r="223" spans="1:11" ht="14.25" customHeight="1" x14ac:dyDescent="0.35">
      <c r="A223" s="10" t="s">
        <v>189</v>
      </c>
      <c r="B223" s="10" t="s">
        <v>2684</v>
      </c>
      <c r="C223" s="12">
        <v>37</v>
      </c>
      <c r="D223" s="10" t="s">
        <v>58</v>
      </c>
      <c r="E223" s="10" t="s">
        <v>2475</v>
      </c>
      <c r="F223" s="11">
        <v>43877</v>
      </c>
      <c r="G223" t="str">
        <f t="shared" si="12"/>
        <v>CHENNAI</v>
      </c>
      <c r="H223">
        <f>IF(COUNTIF($G$2:G223,G223)=1,1,0)</f>
        <v>0</v>
      </c>
      <c r="I223">
        <f t="shared" si="13"/>
        <v>14</v>
      </c>
      <c r="J223">
        <f t="shared" si="14"/>
        <v>11</v>
      </c>
      <c r="K223">
        <f t="shared" si="15"/>
        <v>1</v>
      </c>
    </row>
    <row r="224" spans="1:11" ht="14.25" customHeight="1" x14ac:dyDescent="0.35">
      <c r="A224" s="10" t="s">
        <v>859</v>
      </c>
      <c r="B224" s="10" t="s">
        <v>2685</v>
      </c>
      <c r="C224" s="12">
        <v>46</v>
      </c>
      <c r="D224" s="10" t="s">
        <v>81</v>
      </c>
      <c r="E224" s="10" t="s">
        <v>2475</v>
      </c>
      <c r="F224" s="11">
        <v>44743</v>
      </c>
      <c r="G224" t="str">
        <f t="shared" si="12"/>
        <v>BENGALURU</v>
      </c>
      <c r="H224">
        <f>IF(COUNTIF($G$2:G224,G224)=1,1,0)</f>
        <v>0</v>
      </c>
      <c r="I224">
        <f t="shared" si="13"/>
        <v>13</v>
      </c>
      <c r="J224">
        <f t="shared" si="14"/>
        <v>13</v>
      </c>
      <c r="K224">
        <f t="shared" si="15"/>
        <v>0</v>
      </c>
    </row>
    <row r="225" spans="1:11" ht="14.25" customHeight="1" x14ac:dyDescent="0.35">
      <c r="A225" s="10" t="s">
        <v>369</v>
      </c>
      <c r="B225" s="10" t="s">
        <v>2686</v>
      </c>
      <c r="C225" s="12">
        <v>24</v>
      </c>
      <c r="D225" s="10" t="s">
        <v>58</v>
      </c>
      <c r="E225" s="10" t="s">
        <v>2477</v>
      </c>
      <c r="F225" s="11">
        <v>44558</v>
      </c>
      <c r="G225" t="str">
        <f t="shared" si="12"/>
        <v>CHENNAI</v>
      </c>
      <c r="H225">
        <f>IF(COUNTIF($G$2:G225,G225)=1,1,0)</f>
        <v>0</v>
      </c>
      <c r="I225">
        <f t="shared" si="13"/>
        <v>12</v>
      </c>
      <c r="J225">
        <f t="shared" si="14"/>
        <v>12</v>
      </c>
      <c r="K225">
        <f t="shared" si="15"/>
        <v>0</v>
      </c>
    </row>
    <row r="226" spans="1:11" ht="14.25" customHeight="1" x14ac:dyDescent="0.35">
      <c r="A226" s="10" t="s">
        <v>728</v>
      </c>
      <c r="B226" s="10" t="s">
        <v>2539</v>
      </c>
      <c r="C226" s="12">
        <v>26</v>
      </c>
      <c r="D226" s="10" t="s">
        <v>58</v>
      </c>
      <c r="E226" s="10" t="s">
        <v>2483</v>
      </c>
      <c r="F226" s="11">
        <v>44213</v>
      </c>
      <c r="G226" t="str">
        <f t="shared" si="12"/>
        <v>CHENNAI</v>
      </c>
      <c r="H226">
        <f>IF(COUNTIF($G$2:G226,G226)=1,1,0)</f>
        <v>0</v>
      </c>
      <c r="I226">
        <f t="shared" si="13"/>
        <v>11</v>
      </c>
      <c r="J226">
        <f t="shared" si="14"/>
        <v>11</v>
      </c>
      <c r="K226">
        <f t="shared" si="15"/>
        <v>0</v>
      </c>
    </row>
    <row r="227" spans="1:11" ht="14.25" customHeight="1" x14ac:dyDescent="0.35">
      <c r="A227" s="10" t="s">
        <v>208</v>
      </c>
      <c r="B227" s="10" t="s">
        <v>2687</v>
      </c>
      <c r="C227" s="12">
        <v>52</v>
      </c>
      <c r="D227" s="10" t="s">
        <v>58</v>
      </c>
      <c r="E227" s="10" t="s">
        <v>2477</v>
      </c>
      <c r="F227" s="11">
        <v>44650</v>
      </c>
      <c r="G227" t="str">
        <f t="shared" si="12"/>
        <v>CHENNAI</v>
      </c>
      <c r="H227">
        <f>IF(COUNTIF($G$2:G227,G227)=1,1,0)</f>
        <v>0</v>
      </c>
      <c r="I227">
        <f t="shared" si="13"/>
        <v>11</v>
      </c>
      <c r="J227">
        <f t="shared" si="14"/>
        <v>11</v>
      </c>
      <c r="K227">
        <f t="shared" si="15"/>
        <v>0</v>
      </c>
    </row>
    <row r="228" spans="1:11" ht="14.25" customHeight="1" x14ac:dyDescent="0.35">
      <c r="A228" s="10" t="s">
        <v>970</v>
      </c>
      <c r="B228" s="10" t="s">
        <v>2571</v>
      </c>
      <c r="C228" s="12">
        <v>44</v>
      </c>
      <c r="D228" s="10" t="s">
        <v>81</v>
      </c>
      <c r="E228" s="10" t="s">
        <v>2483</v>
      </c>
      <c r="F228" s="11">
        <v>44121</v>
      </c>
      <c r="G228" t="str">
        <f t="shared" si="12"/>
        <v>BENGALURU</v>
      </c>
      <c r="H228">
        <f>IF(COUNTIF($G$2:G228,G228)=1,1,0)</f>
        <v>0</v>
      </c>
      <c r="I228">
        <f t="shared" si="13"/>
        <v>10</v>
      </c>
      <c r="J228">
        <f t="shared" si="14"/>
        <v>10</v>
      </c>
      <c r="K228">
        <f t="shared" si="15"/>
        <v>0</v>
      </c>
    </row>
    <row r="229" spans="1:11" ht="14.25" customHeight="1" x14ac:dyDescent="0.35">
      <c r="A229" s="10" t="s">
        <v>424</v>
      </c>
      <c r="B229" s="10" t="s">
        <v>2688</v>
      </c>
      <c r="C229" s="12">
        <v>37</v>
      </c>
      <c r="D229" s="10" t="s">
        <v>52</v>
      </c>
      <c r="E229" s="10" t="s">
        <v>2477</v>
      </c>
      <c r="F229" s="11">
        <v>43952</v>
      </c>
      <c r="G229" t="str">
        <f t="shared" si="12"/>
        <v>PUNE</v>
      </c>
      <c r="H229">
        <f>IF(COUNTIF($G$2:G229,G229)=1,1,0)</f>
        <v>0</v>
      </c>
      <c r="I229">
        <f t="shared" si="13"/>
        <v>13</v>
      </c>
      <c r="J229">
        <f t="shared" si="14"/>
        <v>13</v>
      </c>
      <c r="K229">
        <f t="shared" si="15"/>
        <v>0</v>
      </c>
    </row>
    <row r="230" spans="1:11" ht="14.25" customHeight="1" x14ac:dyDescent="0.35">
      <c r="A230" s="10" t="s">
        <v>1157</v>
      </c>
      <c r="B230" s="10" t="s">
        <v>2689</v>
      </c>
      <c r="C230" s="12">
        <v>25</v>
      </c>
      <c r="D230" s="10" t="s">
        <v>97</v>
      </c>
      <c r="E230" s="10" t="s">
        <v>2483</v>
      </c>
      <c r="F230" s="11">
        <v>44453</v>
      </c>
      <c r="G230" t="str">
        <f t="shared" si="12"/>
        <v>HYDERABAD</v>
      </c>
      <c r="H230">
        <f>IF(COUNTIF($G$2:G230,G230)=1,1,0)</f>
        <v>0</v>
      </c>
      <c r="I230">
        <f t="shared" si="13"/>
        <v>11</v>
      </c>
      <c r="J230">
        <f t="shared" si="14"/>
        <v>11</v>
      </c>
      <c r="K230">
        <f t="shared" si="15"/>
        <v>0</v>
      </c>
    </row>
    <row r="231" spans="1:11" ht="14.25" customHeight="1" x14ac:dyDescent="0.35">
      <c r="A231" s="10" t="s">
        <v>278</v>
      </c>
      <c r="B231" s="10" t="s">
        <v>2690</v>
      </c>
      <c r="C231" s="12">
        <v>33</v>
      </c>
      <c r="D231" s="10" t="s">
        <v>52</v>
      </c>
      <c r="E231" s="10" t="s">
        <v>2477</v>
      </c>
      <c r="F231" s="11">
        <v>43963</v>
      </c>
      <c r="G231" t="str">
        <f t="shared" si="12"/>
        <v>PUNE</v>
      </c>
      <c r="H231">
        <f>IF(COUNTIF($G$2:G231,G231)=1,1,0)</f>
        <v>0</v>
      </c>
      <c r="I231">
        <f t="shared" si="13"/>
        <v>12</v>
      </c>
      <c r="J231">
        <f t="shared" si="14"/>
        <v>12</v>
      </c>
      <c r="K231">
        <f t="shared" si="15"/>
        <v>0</v>
      </c>
    </row>
    <row r="232" spans="1:11" ht="14.25" customHeight="1" x14ac:dyDescent="0.35">
      <c r="A232" s="10" t="s">
        <v>566</v>
      </c>
      <c r="B232" s="10" t="s">
        <v>2691</v>
      </c>
      <c r="C232" s="12">
        <v>61</v>
      </c>
      <c r="D232" s="10" t="s">
        <v>58</v>
      </c>
      <c r="E232" s="10" t="s">
        <v>2475</v>
      </c>
      <c r="F232" s="11">
        <v>45030</v>
      </c>
      <c r="G232" t="str">
        <f t="shared" si="12"/>
        <v>CHENNAI</v>
      </c>
      <c r="H232">
        <f>IF(COUNTIF($G$2:G232,G232)=1,1,0)</f>
        <v>0</v>
      </c>
      <c r="I232">
        <f t="shared" si="13"/>
        <v>11</v>
      </c>
      <c r="J232">
        <f t="shared" si="14"/>
        <v>11</v>
      </c>
      <c r="K232">
        <f t="shared" si="15"/>
        <v>0</v>
      </c>
    </row>
    <row r="233" spans="1:11" ht="14.25" customHeight="1" x14ac:dyDescent="0.35">
      <c r="A233" s="10" t="s">
        <v>503</v>
      </c>
      <c r="B233" s="10" t="s">
        <v>2692</v>
      </c>
      <c r="C233" s="12">
        <v>38</v>
      </c>
      <c r="D233" s="10" t="s">
        <v>97</v>
      </c>
      <c r="E233" s="10" t="s">
        <v>2475</v>
      </c>
      <c r="F233" s="11">
        <v>44364</v>
      </c>
      <c r="G233" t="str">
        <f t="shared" si="12"/>
        <v>HYDERABAD</v>
      </c>
      <c r="H233">
        <f>IF(COUNTIF($G$2:G233,G233)=1,1,0)</f>
        <v>0</v>
      </c>
      <c r="I233">
        <f t="shared" si="13"/>
        <v>13</v>
      </c>
      <c r="J233">
        <f t="shared" si="14"/>
        <v>13</v>
      </c>
      <c r="K233">
        <f t="shared" si="15"/>
        <v>0</v>
      </c>
    </row>
    <row r="234" spans="1:11" ht="14.25" customHeight="1" x14ac:dyDescent="0.35">
      <c r="A234" s="10" t="s">
        <v>923</v>
      </c>
      <c r="B234" s="10" t="s">
        <v>2657</v>
      </c>
      <c r="C234" s="12">
        <v>65</v>
      </c>
      <c r="D234" s="10" t="s">
        <v>76</v>
      </c>
      <c r="E234" s="10" t="s">
        <v>2483</v>
      </c>
      <c r="F234" s="11">
        <v>43850</v>
      </c>
      <c r="G234" t="str">
        <f t="shared" si="12"/>
        <v>MUMBAI</v>
      </c>
      <c r="H234">
        <f>IF(COUNTIF($G$2:G234,G234)=1,1,0)</f>
        <v>0</v>
      </c>
      <c r="I234">
        <f t="shared" si="13"/>
        <v>12</v>
      </c>
      <c r="J234">
        <f t="shared" si="14"/>
        <v>12</v>
      </c>
      <c r="K234">
        <f t="shared" si="15"/>
        <v>0</v>
      </c>
    </row>
    <row r="235" spans="1:11" ht="14.25" customHeight="1" x14ac:dyDescent="0.35">
      <c r="A235" s="10" t="s">
        <v>211</v>
      </c>
      <c r="B235" s="10" t="s">
        <v>2693</v>
      </c>
      <c r="C235" s="12">
        <v>34</v>
      </c>
      <c r="D235" s="10" t="s">
        <v>81</v>
      </c>
      <c r="E235" s="10" t="s">
        <v>2475</v>
      </c>
      <c r="F235" s="11">
        <v>44175</v>
      </c>
      <c r="G235" t="str">
        <f t="shared" si="12"/>
        <v>BENGALURU</v>
      </c>
      <c r="H235">
        <f>IF(COUNTIF($G$2:G235,G235)=1,1,0)</f>
        <v>0</v>
      </c>
      <c r="I235">
        <f t="shared" si="13"/>
        <v>11</v>
      </c>
      <c r="J235">
        <f t="shared" si="14"/>
        <v>11</v>
      </c>
      <c r="K235">
        <f t="shared" si="15"/>
        <v>0</v>
      </c>
    </row>
    <row r="236" spans="1:11" ht="14.25" customHeight="1" x14ac:dyDescent="0.35">
      <c r="A236" s="10" t="s">
        <v>927</v>
      </c>
      <c r="B236" s="10" t="s">
        <v>2577</v>
      </c>
      <c r="C236" s="12">
        <v>31</v>
      </c>
      <c r="D236" s="10" t="s">
        <v>58</v>
      </c>
      <c r="E236" s="10" t="s">
        <v>2475</v>
      </c>
      <c r="F236" s="11">
        <v>43903</v>
      </c>
      <c r="G236" t="str">
        <f t="shared" si="12"/>
        <v>CHENNAI</v>
      </c>
      <c r="H236">
        <f>IF(COUNTIF($G$2:G236,G236)=1,1,0)</f>
        <v>0</v>
      </c>
      <c r="I236">
        <f t="shared" si="13"/>
        <v>10</v>
      </c>
      <c r="J236">
        <f t="shared" si="14"/>
        <v>10</v>
      </c>
      <c r="K236">
        <f t="shared" si="15"/>
        <v>0</v>
      </c>
    </row>
    <row r="237" spans="1:11" ht="14.25" customHeight="1" x14ac:dyDescent="0.35">
      <c r="A237" s="10" t="s">
        <v>847</v>
      </c>
      <c r="B237" s="10" t="s">
        <v>2694</v>
      </c>
      <c r="C237" s="12">
        <v>28</v>
      </c>
      <c r="D237" s="10" t="s">
        <v>97</v>
      </c>
      <c r="E237" s="10" t="s">
        <v>2483</v>
      </c>
      <c r="F237" s="11">
        <v>43949</v>
      </c>
      <c r="G237" t="str">
        <f t="shared" si="12"/>
        <v>HYDERABAD</v>
      </c>
      <c r="H237">
        <f>IF(COUNTIF($G$2:G237,G237)=1,1,0)</f>
        <v>0</v>
      </c>
      <c r="I237">
        <f t="shared" si="13"/>
        <v>9</v>
      </c>
      <c r="J237">
        <f t="shared" si="14"/>
        <v>9</v>
      </c>
      <c r="K237">
        <f t="shared" si="15"/>
        <v>0</v>
      </c>
    </row>
    <row r="238" spans="1:11" ht="14.25" customHeight="1" x14ac:dyDescent="0.35">
      <c r="A238" s="10" t="s">
        <v>920</v>
      </c>
      <c r="B238" s="10" t="s">
        <v>2695</v>
      </c>
      <c r="C238" s="12">
        <v>49</v>
      </c>
      <c r="D238" s="10" t="s">
        <v>76</v>
      </c>
      <c r="E238" s="10" t="s">
        <v>2475</v>
      </c>
      <c r="F238" s="11">
        <v>44068</v>
      </c>
      <c r="G238" t="str">
        <f t="shared" si="12"/>
        <v>MUMBAI</v>
      </c>
      <c r="H238">
        <f>IF(COUNTIF($G$2:G238,G238)=1,1,0)</f>
        <v>0</v>
      </c>
      <c r="I238">
        <f t="shared" si="13"/>
        <v>12</v>
      </c>
      <c r="J238">
        <f t="shared" si="14"/>
        <v>12</v>
      </c>
      <c r="K238">
        <f t="shared" si="15"/>
        <v>0</v>
      </c>
    </row>
    <row r="239" spans="1:11" ht="14.25" customHeight="1" x14ac:dyDescent="0.35">
      <c r="A239" s="10" t="s">
        <v>599</v>
      </c>
      <c r="B239" s="10" t="s">
        <v>2531</v>
      </c>
      <c r="C239" s="12">
        <v>49</v>
      </c>
      <c r="D239" s="10" t="s">
        <v>63</v>
      </c>
      <c r="E239" s="10" t="s">
        <v>2475</v>
      </c>
      <c r="F239" s="11">
        <v>44377</v>
      </c>
      <c r="G239" t="str">
        <f t="shared" si="12"/>
        <v>DELHI</v>
      </c>
      <c r="H239">
        <f>IF(COUNTIF($G$2:G239,G239)=1,1,0)</f>
        <v>0</v>
      </c>
      <c r="I239">
        <f t="shared" si="13"/>
        <v>12</v>
      </c>
      <c r="J239">
        <f t="shared" si="14"/>
        <v>12</v>
      </c>
      <c r="K239">
        <f t="shared" si="15"/>
        <v>0</v>
      </c>
    </row>
    <row r="240" spans="1:11" ht="14.25" customHeight="1" x14ac:dyDescent="0.35">
      <c r="A240" s="10" t="s">
        <v>375</v>
      </c>
      <c r="B240" s="10" t="s">
        <v>2696</v>
      </c>
      <c r="C240" s="12">
        <v>61</v>
      </c>
      <c r="D240" s="10" t="s">
        <v>76</v>
      </c>
      <c r="E240" s="10" t="s">
        <v>2475</v>
      </c>
      <c r="F240" s="11">
        <v>43981</v>
      </c>
      <c r="G240" t="str">
        <f t="shared" si="12"/>
        <v>MUMBAI</v>
      </c>
      <c r="H240">
        <f>IF(COUNTIF($G$2:G240,G240)=1,1,0)</f>
        <v>0</v>
      </c>
      <c r="I240">
        <f t="shared" si="13"/>
        <v>14</v>
      </c>
      <c r="J240">
        <f t="shared" si="14"/>
        <v>14</v>
      </c>
      <c r="K240">
        <f t="shared" si="15"/>
        <v>0</v>
      </c>
    </row>
    <row r="241" spans="1:11" ht="14.25" customHeight="1" x14ac:dyDescent="0.35">
      <c r="A241" s="10" t="s">
        <v>436</v>
      </c>
      <c r="B241" s="10" t="s">
        <v>2697</v>
      </c>
      <c r="C241" s="12">
        <v>35</v>
      </c>
      <c r="D241" s="10" t="s">
        <v>58</v>
      </c>
      <c r="E241" s="10" t="s">
        <v>2477</v>
      </c>
      <c r="F241" s="11">
        <v>44337</v>
      </c>
      <c r="G241" t="str">
        <f t="shared" si="12"/>
        <v>CHENNAI</v>
      </c>
      <c r="H241">
        <f>IF(COUNTIF($G$2:G241,G241)=1,1,0)</f>
        <v>0</v>
      </c>
      <c r="I241">
        <f t="shared" si="13"/>
        <v>11</v>
      </c>
      <c r="J241">
        <f t="shared" si="14"/>
        <v>11</v>
      </c>
      <c r="K241">
        <f t="shared" si="15"/>
        <v>0</v>
      </c>
    </row>
    <row r="242" spans="1:11" ht="14.25" customHeight="1" x14ac:dyDescent="0.35">
      <c r="A242" s="10" t="s">
        <v>161</v>
      </c>
      <c r="B242" s="10" t="s">
        <v>2698</v>
      </c>
      <c r="C242" s="12">
        <v>47</v>
      </c>
      <c r="D242" s="10" t="s">
        <v>52</v>
      </c>
      <c r="E242" s="10" t="s">
        <v>2477</v>
      </c>
      <c r="F242" s="11">
        <v>44195</v>
      </c>
      <c r="G242" t="str">
        <f t="shared" si="12"/>
        <v>PUNE</v>
      </c>
      <c r="H242">
        <f>IF(COUNTIF($G$2:G242,G242)=1,1,0)</f>
        <v>0</v>
      </c>
      <c r="I242">
        <f t="shared" si="13"/>
        <v>11</v>
      </c>
      <c r="J242">
        <f t="shared" si="14"/>
        <v>11</v>
      </c>
      <c r="K242">
        <f t="shared" si="15"/>
        <v>0</v>
      </c>
    </row>
    <row r="243" spans="1:11" ht="14.25" customHeight="1" x14ac:dyDescent="0.35">
      <c r="A243" s="10" t="s">
        <v>546</v>
      </c>
      <c r="B243" s="10" t="s">
        <v>2597</v>
      </c>
      <c r="C243" s="12">
        <v>59</v>
      </c>
      <c r="D243" s="10" t="s">
        <v>58</v>
      </c>
      <c r="E243" s="10" t="s">
        <v>2483</v>
      </c>
      <c r="F243" s="11">
        <v>44474</v>
      </c>
      <c r="G243" t="str">
        <f t="shared" si="12"/>
        <v>CHENNAI</v>
      </c>
      <c r="H243">
        <f>IF(COUNTIF($G$2:G243,G243)=1,1,0)</f>
        <v>0</v>
      </c>
      <c r="I243">
        <f t="shared" si="13"/>
        <v>10</v>
      </c>
      <c r="J243">
        <f t="shared" si="14"/>
        <v>10</v>
      </c>
      <c r="K243">
        <f t="shared" si="15"/>
        <v>0</v>
      </c>
    </row>
    <row r="244" spans="1:11" ht="14.25" customHeight="1" x14ac:dyDescent="0.35">
      <c r="A244" s="10" t="s">
        <v>48</v>
      </c>
      <c r="B244" s="10" t="s">
        <v>2638</v>
      </c>
      <c r="C244" s="12">
        <v>44</v>
      </c>
      <c r="D244" s="10" t="s">
        <v>52</v>
      </c>
      <c r="E244" s="10" t="s">
        <v>2483</v>
      </c>
      <c r="F244" s="11">
        <v>43861</v>
      </c>
      <c r="G244" t="str">
        <f t="shared" si="12"/>
        <v>PUNE</v>
      </c>
      <c r="H244">
        <f>IF(COUNTIF($G$2:G244,G244)=1,1,0)</f>
        <v>0</v>
      </c>
      <c r="I244">
        <f t="shared" si="13"/>
        <v>13</v>
      </c>
      <c r="J244">
        <f t="shared" si="14"/>
        <v>13</v>
      </c>
      <c r="K244">
        <f t="shared" si="15"/>
        <v>0</v>
      </c>
    </row>
    <row r="245" spans="1:11" ht="14.25" customHeight="1" x14ac:dyDescent="0.35">
      <c r="A245" s="10" t="s">
        <v>954</v>
      </c>
      <c r="B245" s="10" t="s">
        <v>2699</v>
      </c>
      <c r="C245" s="12">
        <v>61</v>
      </c>
      <c r="D245" s="10" t="s">
        <v>81</v>
      </c>
      <c r="E245" s="10" t="s">
        <v>2475</v>
      </c>
      <c r="F245" s="11">
        <v>44483</v>
      </c>
      <c r="G245" t="str">
        <f t="shared" si="12"/>
        <v>BENGALURU</v>
      </c>
      <c r="H245">
        <f>IF(COUNTIF($G$2:G245,G245)=1,1,0)</f>
        <v>0</v>
      </c>
      <c r="I245">
        <f t="shared" si="13"/>
        <v>12</v>
      </c>
      <c r="J245">
        <f t="shared" si="14"/>
        <v>12</v>
      </c>
      <c r="K245">
        <f t="shared" si="15"/>
        <v>0</v>
      </c>
    </row>
    <row r="246" spans="1:11" ht="14.25" customHeight="1" x14ac:dyDescent="0.35">
      <c r="A246" s="10" t="s">
        <v>661</v>
      </c>
      <c r="B246" s="10" t="s">
        <v>2700</v>
      </c>
      <c r="C246" s="12">
        <v>65</v>
      </c>
      <c r="D246" s="10" t="s">
        <v>97</v>
      </c>
      <c r="E246" s="10" t="s">
        <v>2475</v>
      </c>
      <c r="F246" s="11">
        <v>44851</v>
      </c>
      <c r="G246" t="str">
        <f t="shared" si="12"/>
        <v>HYDERABAD</v>
      </c>
      <c r="H246">
        <f>IF(COUNTIF($G$2:G246,G246)=1,1,0)</f>
        <v>0</v>
      </c>
      <c r="I246">
        <f t="shared" si="13"/>
        <v>11</v>
      </c>
      <c r="J246">
        <f t="shared" si="14"/>
        <v>11</v>
      </c>
      <c r="K246">
        <f t="shared" si="15"/>
        <v>0</v>
      </c>
    </row>
    <row r="247" spans="1:11" ht="14.25" customHeight="1" x14ac:dyDescent="0.35">
      <c r="A247" s="10" t="s">
        <v>510</v>
      </c>
      <c r="B247" s="10" t="s">
        <v>2701</v>
      </c>
      <c r="C247" s="12">
        <v>29</v>
      </c>
      <c r="D247" s="10" t="s">
        <v>63</v>
      </c>
      <c r="E247" s="10" t="s">
        <v>2483</v>
      </c>
      <c r="F247" s="11">
        <v>44477</v>
      </c>
      <c r="G247" t="str">
        <f t="shared" si="12"/>
        <v>DELHI</v>
      </c>
      <c r="H247">
        <f>IF(COUNTIF($G$2:G247,G247)=1,1,0)</f>
        <v>0</v>
      </c>
      <c r="I247">
        <f t="shared" si="13"/>
        <v>11</v>
      </c>
      <c r="J247">
        <f t="shared" si="14"/>
        <v>11</v>
      </c>
      <c r="K247">
        <f t="shared" si="15"/>
        <v>0</v>
      </c>
    </row>
    <row r="248" spans="1:11" ht="14.25" customHeight="1" x14ac:dyDescent="0.35">
      <c r="A248" s="10" t="s">
        <v>640</v>
      </c>
      <c r="B248" s="10" t="s">
        <v>2702</v>
      </c>
      <c r="C248" s="12">
        <v>35</v>
      </c>
      <c r="D248" s="10" t="s">
        <v>52</v>
      </c>
      <c r="E248" s="10" t="s">
        <v>2483</v>
      </c>
      <c r="F248" s="11">
        <v>43966</v>
      </c>
      <c r="G248" t="str">
        <f t="shared" si="12"/>
        <v>PUNE</v>
      </c>
      <c r="H248">
        <f>IF(COUNTIF($G$2:G248,G248)=1,1,0)</f>
        <v>0</v>
      </c>
      <c r="I248">
        <f t="shared" si="13"/>
        <v>12</v>
      </c>
      <c r="J248">
        <f t="shared" si="14"/>
        <v>12</v>
      </c>
      <c r="K248">
        <f t="shared" si="15"/>
        <v>0</v>
      </c>
    </row>
    <row r="249" spans="1:11" ht="14.25" customHeight="1" x14ac:dyDescent="0.35">
      <c r="A249" s="10" t="s">
        <v>282</v>
      </c>
      <c r="B249" s="10" t="s">
        <v>2703</v>
      </c>
      <c r="C249" s="12">
        <v>57</v>
      </c>
      <c r="D249" s="10" t="s">
        <v>58</v>
      </c>
      <c r="E249" s="10" t="s">
        <v>2483</v>
      </c>
      <c r="F249" s="11">
        <v>44557</v>
      </c>
      <c r="G249" t="str">
        <f t="shared" si="12"/>
        <v>CHENNAI</v>
      </c>
      <c r="H249">
        <f>IF(COUNTIF($G$2:G249,G249)=1,1,0)</f>
        <v>0</v>
      </c>
      <c r="I249">
        <f t="shared" si="13"/>
        <v>10</v>
      </c>
      <c r="J249">
        <f t="shared" si="14"/>
        <v>10</v>
      </c>
      <c r="K249">
        <f t="shared" si="15"/>
        <v>0</v>
      </c>
    </row>
    <row r="250" spans="1:11" ht="14.25" customHeight="1" x14ac:dyDescent="0.35">
      <c r="A250" s="10" t="s">
        <v>577</v>
      </c>
      <c r="B250" s="10" t="s">
        <v>2704</v>
      </c>
      <c r="C250" s="12">
        <v>44</v>
      </c>
      <c r="D250" s="10" t="s">
        <v>76</v>
      </c>
      <c r="E250" s="10" t="s">
        <v>2475</v>
      </c>
      <c r="F250" s="11">
        <v>43866</v>
      </c>
      <c r="G250" t="str">
        <f t="shared" si="12"/>
        <v>MUMBAI</v>
      </c>
      <c r="H250">
        <f>IF(COUNTIF($G$2:G250,G250)=1,1,0)</f>
        <v>0</v>
      </c>
      <c r="I250">
        <f t="shared" si="13"/>
        <v>14</v>
      </c>
      <c r="J250">
        <f t="shared" si="14"/>
        <v>11</v>
      </c>
      <c r="K250">
        <f t="shared" si="15"/>
        <v>1</v>
      </c>
    </row>
    <row r="251" spans="1:11" ht="14.25" customHeight="1" x14ac:dyDescent="0.35">
      <c r="A251" s="10" t="s">
        <v>145</v>
      </c>
      <c r="B251" s="10" t="s">
        <v>2705</v>
      </c>
      <c r="C251" s="12">
        <v>31</v>
      </c>
      <c r="D251" s="10" t="s">
        <v>63</v>
      </c>
      <c r="E251" s="10" t="s">
        <v>2475</v>
      </c>
      <c r="F251" s="11">
        <v>44575</v>
      </c>
      <c r="G251" t="str">
        <f t="shared" si="12"/>
        <v>DELHI</v>
      </c>
      <c r="H251">
        <f>IF(COUNTIF($G$2:G251,G251)=1,1,0)</f>
        <v>0</v>
      </c>
      <c r="I251">
        <f t="shared" si="13"/>
        <v>10</v>
      </c>
      <c r="J251">
        <f t="shared" si="14"/>
        <v>10</v>
      </c>
      <c r="K251">
        <f t="shared" si="15"/>
        <v>0</v>
      </c>
    </row>
    <row r="252" spans="1:11" ht="14.25" customHeight="1" x14ac:dyDescent="0.35">
      <c r="A252" s="10" t="s">
        <v>492</v>
      </c>
      <c r="B252" s="10" t="s">
        <v>2706</v>
      </c>
      <c r="C252" s="12">
        <v>44</v>
      </c>
      <c r="D252" s="10" t="s">
        <v>76</v>
      </c>
      <c r="E252" s="10" t="s">
        <v>2475</v>
      </c>
      <c r="F252" s="11">
        <v>45121</v>
      </c>
      <c r="G252" t="str">
        <f t="shared" si="12"/>
        <v>MUMBAI</v>
      </c>
      <c r="H252">
        <f>IF(COUNTIF($G$2:G252,G252)=1,1,0)</f>
        <v>0</v>
      </c>
      <c r="I252">
        <f t="shared" si="13"/>
        <v>12</v>
      </c>
      <c r="J252">
        <f t="shared" si="14"/>
        <v>12</v>
      </c>
      <c r="K252">
        <f t="shared" si="15"/>
        <v>0</v>
      </c>
    </row>
    <row r="253" spans="1:11" ht="14.25" customHeight="1" x14ac:dyDescent="0.35">
      <c r="A253" s="10" t="s">
        <v>964</v>
      </c>
      <c r="B253" s="10" t="s">
        <v>2707</v>
      </c>
      <c r="C253" s="12">
        <v>27</v>
      </c>
      <c r="D253" s="10" t="s">
        <v>81</v>
      </c>
      <c r="E253" s="10" t="s">
        <v>2475</v>
      </c>
      <c r="F253" s="11">
        <v>45004</v>
      </c>
      <c r="G253" t="str">
        <f t="shared" si="12"/>
        <v>BENGALURU</v>
      </c>
      <c r="H253">
        <f>IF(COUNTIF($G$2:G253,G253)=1,1,0)</f>
        <v>0</v>
      </c>
      <c r="I253">
        <f t="shared" si="13"/>
        <v>15</v>
      </c>
      <c r="J253">
        <f t="shared" si="14"/>
        <v>15</v>
      </c>
      <c r="K253">
        <f t="shared" si="15"/>
        <v>0</v>
      </c>
    </row>
    <row r="254" spans="1:11" ht="14.25" customHeight="1" x14ac:dyDescent="0.35">
      <c r="A254" s="10" t="s">
        <v>363</v>
      </c>
      <c r="B254" s="10" t="s">
        <v>2708</v>
      </c>
      <c r="C254" s="12">
        <v>53</v>
      </c>
      <c r="D254" s="10" t="s">
        <v>63</v>
      </c>
      <c r="E254" s="10" t="s">
        <v>2483</v>
      </c>
      <c r="F254" s="11">
        <v>43892</v>
      </c>
      <c r="G254" t="str">
        <f t="shared" si="12"/>
        <v>DELHI</v>
      </c>
      <c r="H254">
        <f>IF(COUNTIF($G$2:G254,G254)=1,1,0)</f>
        <v>0</v>
      </c>
      <c r="I254">
        <f t="shared" si="13"/>
        <v>11</v>
      </c>
      <c r="J254">
        <f t="shared" si="14"/>
        <v>11</v>
      </c>
      <c r="K254">
        <f t="shared" si="15"/>
        <v>0</v>
      </c>
    </row>
    <row r="255" spans="1:11" ht="14.25" customHeight="1" x14ac:dyDescent="0.35">
      <c r="A255" s="10" t="s">
        <v>864</v>
      </c>
      <c r="B255" s="10" t="s">
        <v>2709</v>
      </c>
      <c r="C255" s="12">
        <v>35</v>
      </c>
      <c r="D255" s="10" t="s">
        <v>81</v>
      </c>
      <c r="E255" s="10" t="s">
        <v>2475</v>
      </c>
      <c r="F255" s="11">
        <v>44000</v>
      </c>
      <c r="G255" t="str">
        <f t="shared" si="12"/>
        <v>BENGALURU</v>
      </c>
      <c r="H255">
        <f>IF(COUNTIF($G$2:G255,G255)=1,1,0)</f>
        <v>0</v>
      </c>
      <c r="I255">
        <f t="shared" si="13"/>
        <v>10</v>
      </c>
      <c r="J255">
        <f t="shared" si="14"/>
        <v>10</v>
      </c>
      <c r="K255">
        <f t="shared" si="15"/>
        <v>0</v>
      </c>
    </row>
    <row r="256" spans="1:11" ht="14.25" customHeight="1" x14ac:dyDescent="0.35">
      <c r="A256" s="10" t="s">
        <v>326</v>
      </c>
      <c r="B256" s="10" t="s">
        <v>2496</v>
      </c>
      <c r="C256" s="12">
        <v>51</v>
      </c>
      <c r="D256" s="10" t="s">
        <v>58</v>
      </c>
      <c r="E256" s="10" t="s">
        <v>2477</v>
      </c>
      <c r="F256" s="11">
        <v>44458</v>
      </c>
      <c r="G256" t="str">
        <f t="shared" si="12"/>
        <v>CHENNAI</v>
      </c>
      <c r="H256">
        <f>IF(COUNTIF($G$2:G256,G256)=1,1,0)</f>
        <v>0</v>
      </c>
      <c r="I256">
        <f t="shared" si="13"/>
        <v>9</v>
      </c>
      <c r="J256">
        <f t="shared" si="14"/>
        <v>9</v>
      </c>
      <c r="K256">
        <f t="shared" si="15"/>
        <v>0</v>
      </c>
    </row>
    <row r="257" spans="1:11" ht="14.25" customHeight="1" x14ac:dyDescent="0.35">
      <c r="A257" s="10" t="s">
        <v>653</v>
      </c>
      <c r="B257" s="10" t="s">
        <v>2710</v>
      </c>
      <c r="C257" s="12">
        <v>28</v>
      </c>
      <c r="D257" s="10" t="s">
        <v>97</v>
      </c>
      <c r="E257" s="10" t="s">
        <v>2475</v>
      </c>
      <c r="F257" s="11">
        <v>44694</v>
      </c>
      <c r="G257" t="str">
        <f t="shared" si="12"/>
        <v>HYDERABAD</v>
      </c>
      <c r="H257">
        <f>IF(COUNTIF($G$2:G257,G257)=1,1,0)</f>
        <v>0</v>
      </c>
      <c r="I257">
        <f t="shared" si="13"/>
        <v>10</v>
      </c>
      <c r="J257">
        <f t="shared" si="14"/>
        <v>10</v>
      </c>
      <c r="K257">
        <f t="shared" si="15"/>
        <v>0</v>
      </c>
    </row>
    <row r="258" spans="1:11" ht="14.25" customHeight="1" x14ac:dyDescent="0.35">
      <c r="A258" s="10" t="s">
        <v>1085</v>
      </c>
      <c r="B258" s="10" t="s">
        <v>2711</v>
      </c>
      <c r="C258" s="12">
        <v>46</v>
      </c>
      <c r="D258" s="10" t="s">
        <v>76</v>
      </c>
      <c r="E258" s="10" t="s">
        <v>2477</v>
      </c>
      <c r="F258" s="11">
        <v>43849</v>
      </c>
      <c r="G258" t="str">
        <f t="shared" ref="G258:G300" si="16">UPPER(TRIM(D258))</f>
        <v>MUMBAI</v>
      </c>
      <c r="H258">
        <f>IF(COUNTIF($G$2:G258,G258)=1,1,0)</f>
        <v>0</v>
      </c>
      <c r="I258">
        <f t="shared" ref="I258:I300" si="17">LEN(B258)</f>
        <v>11</v>
      </c>
      <c r="J258">
        <f t="shared" ref="J258:J300" si="18">LEN(TRIM(B258))</f>
        <v>11</v>
      </c>
      <c r="K258">
        <f t="shared" ref="K258:K321" si="19">IF(I258&lt;&gt;J258,1,0)</f>
        <v>0</v>
      </c>
    </row>
    <row r="259" spans="1:11" ht="14.25" customHeight="1" x14ac:dyDescent="0.35">
      <c r="A259" s="10" t="s">
        <v>239</v>
      </c>
      <c r="B259" s="10" t="s">
        <v>2712</v>
      </c>
      <c r="C259" s="12">
        <v>44</v>
      </c>
      <c r="D259" s="10" t="s">
        <v>52</v>
      </c>
      <c r="E259" s="10" t="s">
        <v>2475</v>
      </c>
      <c r="F259" s="11">
        <v>43874</v>
      </c>
      <c r="G259" t="str">
        <f t="shared" si="16"/>
        <v>PUNE</v>
      </c>
      <c r="H259">
        <f>IF(COUNTIF($G$2:G259,G259)=1,1,0)</f>
        <v>0</v>
      </c>
      <c r="I259">
        <f t="shared" si="17"/>
        <v>10</v>
      </c>
      <c r="J259">
        <f t="shared" si="18"/>
        <v>10</v>
      </c>
      <c r="K259">
        <f t="shared" si="19"/>
        <v>0</v>
      </c>
    </row>
    <row r="260" spans="1:11" ht="14.25" customHeight="1" x14ac:dyDescent="0.35">
      <c r="A260" s="10" t="s">
        <v>133</v>
      </c>
      <c r="B260" s="10" t="s">
        <v>2713</v>
      </c>
      <c r="C260" s="12">
        <v>34</v>
      </c>
      <c r="D260" s="10" t="s">
        <v>76</v>
      </c>
      <c r="E260" s="10" t="s">
        <v>2475</v>
      </c>
      <c r="F260" s="11">
        <v>44086</v>
      </c>
      <c r="G260" t="str">
        <f t="shared" si="16"/>
        <v>MUMBAI</v>
      </c>
      <c r="H260">
        <f>IF(COUNTIF($G$2:G260,G260)=1,1,0)</f>
        <v>0</v>
      </c>
      <c r="I260">
        <f t="shared" si="17"/>
        <v>10</v>
      </c>
      <c r="J260">
        <f t="shared" si="18"/>
        <v>10</v>
      </c>
      <c r="K260">
        <f t="shared" si="19"/>
        <v>0</v>
      </c>
    </row>
    <row r="261" spans="1:11" ht="14.25" customHeight="1" x14ac:dyDescent="0.35">
      <c r="A261" s="10" t="s">
        <v>87</v>
      </c>
      <c r="B261" s="10" t="s">
        <v>2714</v>
      </c>
      <c r="C261" s="12">
        <v>42</v>
      </c>
      <c r="D261" s="10" t="s">
        <v>81</v>
      </c>
      <c r="E261" s="10" t="s">
        <v>2475</v>
      </c>
      <c r="F261" s="11">
        <v>44866</v>
      </c>
      <c r="G261" t="str">
        <f t="shared" si="16"/>
        <v>BENGALURU</v>
      </c>
      <c r="H261">
        <f>IF(COUNTIF($G$2:G261,G261)=1,1,0)</f>
        <v>0</v>
      </c>
      <c r="I261">
        <f t="shared" si="17"/>
        <v>10</v>
      </c>
      <c r="J261">
        <f t="shared" si="18"/>
        <v>10</v>
      </c>
      <c r="K261">
        <f t="shared" si="19"/>
        <v>0</v>
      </c>
    </row>
    <row r="262" spans="1:11" ht="14.25" customHeight="1" x14ac:dyDescent="0.35">
      <c r="A262" s="10" t="s">
        <v>225</v>
      </c>
      <c r="B262" s="10" t="s">
        <v>2715</v>
      </c>
      <c r="C262" s="12">
        <v>54</v>
      </c>
      <c r="D262" s="10" t="s">
        <v>63</v>
      </c>
      <c r="E262" s="10" t="s">
        <v>2475</v>
      </c>
      <c r="F262" s="11">
        <v>43845</v>
      </c>
      <c r="G262" t="str">
        <f t="shared" si="16"/>
        <v>DELHI</v>
      </c>
      <c r="H262">
        <f>IF(COUNTIF($G$2:G262,G262)=1,1,0)</f>
        <v>0</v>
      </c>
      <c r="I262">
        <f t="shared" si="17"/>
        <v>11</v>
      </c>
      <c r="J262">
        <f t="shared" si="18"/>
        <v>11</v>
      </c>
      <c r="K262">
        <f t="shared" si="19"/>
        <v>0</v>
      </c>
    </row>
    <row r="263" spans="1:11" ht="14.25" customHeight="1" x14ac:dyDescent="0.35">
      <c r="A263" s="10" t="s">
        <v>570</v>
      </c>
      <c r="B263" s="10" t="s">
        <v>2716</v>
      </c>
      <c r="C263" s="12">
        <v>52</v>
      </c>
      <c r="D263" s="10" t="s">
        <v>76</v>
      </c>
      <c r="E263" s="10" t="s">
        <v>2475</v>
      </c>
      <c r="F263" s="11">
        <v>44636</v>
      </c>
      <c r="G263" t="str">
        <f t="shared" si="16"/>
        <v>MUMBAI</v>
      </c>
      <c r="H263">
        <f>IF(COUNTIF($G$2:G263,G263)=1,1,0)</f>
        <v>0</v>
      </c>
      <c r="I263">
        <f t="shared" si="17"/>
        <v>11</v>
      </c>
      <c r="J263">
        <f t="shared" si="18"/>
        <v>11</v>
      </c>
      <c r="K263">
        <f t="shared" si="19"/>
        <v>0</v>
      </c>
    </row>
    <row r="264" spans="1:11" ht="14.25" customHeight="1" x14ac:dyDescent="0.35">
      <c r="A264" s="10" t="s">
        <v>233</v>
      </c>
      <c r="B264" s="10" t="s">
        <v>2717</v>
      </c>
      <c r="C264" s="12">
        <v>40</v>
      </c>
      <c r="D264" s="10" t="s">
        <v>76</v>
      </c>
      <c r="E264" s="10" t="s">
        <v>2475</v>
      </c>
      <c r="F264" s="11">
        <v>44758</v>
      </c>
      <c r="G264" t="str">
        <f t="shared" si="16"/>
        <v>MUMBAI</v>
      </c>
      <c r="H264">
        <f>IF(COUNTIF($G$2:G264,G264)=1,1,0)</f>
        <v>0</v>
      </c>
      <c r="I264">
        <f t="shared" si="17"/>
        <v>12</v>
      </c>
      <c r="J264">
        <f t="shared" si="18"/>
        <v>12</v>
      </c>
      <c r="K264">
        <f t="shared" si="19"/>
        <v>0</v>
      </c>
    </row>
    <row r="265" spans="1:11" ht="14.25" customHeight="1" x14ac:dyDescent="0.35">
      <c r="A265" s="10" t="s">
        <v>471</v>
      </c>
      <c r="B265" s="10" t="s">
        <v>2718</v>
      </c>
      <c r="C265" s="12">
        <v>59</v>
      </c>
      <c r="D265" s="10" t="s">
        <v>52</v>
      </c>
      <c r="E265" s="10" t="s">
        <v>2475</v>
      </c>
      <c r="F265" s="11">
        <v>45042</v>
      </c>
      <c r="G265" t="str">
        <f t="shared" si="16"/>
        <v>PUNE</v>
      </c>
      <c r="H265">
        <f>IF(COUNTIF($G$2:G265,G265)=1,1,0)</f>
        <v>0</v>
      </c>
      <c r="I265">
        <f t="shared" si="17"/>
        <v>11</v>
      </c>
      <c r="J265">
        <f t="shared" si="18"/>
        <v>11</v>
      </c>
      <c r="K265">
        <f t="shared" si="19"/>
        <v>0</v>
      </c>
    </row>
    <row r="266" spans="1:11" ht="14.25" customHeight="1" x14ac:dyDescent="0.35">
      <c r="A266" s="10" t="s">
        <v>127</v>
      </c>
      <c r="B266" s="10" t="s">
        <v>2719</v>
      </c>
      <c r="C266" s="12">
        <v>49</v>
      </c>
      <c r="D266" s="10" t="s">
        <v>58</v>
      </c>
      <c r="E266" s="10" t="s">
        <v>2475</v>
      </c>
      <c r="F266" s="11">
        <v>44555</v>
      </c>
      <c r="G266" t="str">
        <f t="shared" si="16"/>
        <v>CHENNAI</v>
      </c>
      <c r="H266">
        <f>IF(COUNTIF($G$2:G266,G266)=1,1,0)</f>
        <v>0</v>
      </c>
      <c r="I266">
        <f t="shared" si="17"/>
        <v>14</v>
      </c>
      <c r="J266">
        <f t="shared" si="18"/>
        <v>12</v>
      </c>
      <c r="K266">
        <f t="shared" si="19"/>
        <v>1</v>
      </c>
    </row>
    <row r="267" spans="1:11" ht="14.25" customHeight="1" x14ac:dyDescent="0.35">
      <c r="A267" s="10" t="s">
        <v>912</v>
      </c>
      <c r="B267" s="10" t="s">
        <v>2720</v>
      </c>
      <c r="C267" s="12">
        <v>65</v>
      </c>
      <c r="D267" s="10" t="s">
        <v>52</v>
      </c>
      <c r="E267" s="10" t="s">
        <v>2475</v>
      </c>
      <c r="F267" s="11">
        <v>44469</v>
      </c>
      <c r="G267" t="str">
        <f t="shared" si="16"/>
        <v>PUNE</v>
      </c>
      <c r="H267">
        <f>IF(COUNTIF($G$2:G267,G267)=1,1,0)</f>
        <v>0</v>
      </c>
      <c r="I267">
        <f t="shared" si="17"/>
        <v>12</v>
      </c>
      <c r="J267">
        <f t="shared" si="18"/>
        <v>12</v>
      </c>
      <c r="K267">
        <f t="shared" si="19"/>
        <v>0</v>
      </c>
    </row>
    <row r="268" spans="1:11" ht="14.25" customHeight="1" x14ac:dyDescent="0.35">
      <c r="A268" s="10" t="s">
        <v>220</v>
      </c>
      <c r="B268" s="10" t="s">
        <v>2721</v>
      </c>
      <c r="C268" s="12">
        <v>27</v>
      </c>
      <c r="D268" s="10" t="s">
        <v>97</v>
      </c>
      <c r="E268" s="10" t="s">
        <v>2475</v>
      </c>
      <c r="F268" s="11">
        <v>44352</v>
      </c>
      <c r="G268" t="str">
        <f t="shared" si="16"/>
        <v>HYDERABAD</v>
      </c>
      <c r="H268">
        <f>IF(COUNTIF($G$2:G268,G268)=1,1,0)</f>
        <v>0</v>
      </c>
      <c r="I268">
        <f t="shared" si="17"/>
        <v>12</v>
      </c>
      <c r="J268">
        <f t="shared" si="18"/>
        <v>12</v>
      </c>
      <c r="K268">
        <f t="shared" si="19"/>
        <v>0</v>
      </c>
    </row>
    <row r="269" spans="1:11" ht="14.25" customHeight="1" x14ac:dyDescent="0.35">
      <c r="A269" s="10" t="s">
        <v>1592</v>
      </c>
      <c r="B269" s="10" t="s">
        <v>2722</v>
      </c>
      <c r="C269" s="12">
        <v>35</v>
      </c>
      <c r="D269" s="10" t="s">
        <v>58</v>
      </c>
      <c r="E269" s="10" t="s">
        <v>2475</v>
      </c>
      <c r="F269" s="11">
        <v>44991</v>
      </c>
      <c r="G269" t="str">
        <f t="shared" si="16"/>
        <v>CHENNAI</v>
      </c>
      <c r="H269">
        <f>IF(COUNTIF($G$2:G269,G269)=1,1,0)</f>
        <v>0</v>
      </c>
      <c r="I269">
        <f t="shared" si="17"/>
        <v>12</v>
      </c>
      <c r="J269">
        <f t="shared" si="18"/>
        <v>12</v>
      </c>
      <c r="K269">
        <f t="shared" si="19"/>
        <v>0</v>
      </c>
    </row>
    <row r="270" spans="1:11" ht="14.25" customHeight="1" x14ac:dyDescent="0.35">
      <c r="A270" s="10" t="s">
        <v>684</v>
      </c>
      <c r="B270" s="10" t="s">
        <v>2723</v>
      </c>
      <c r="C270" s="12">
        <v>48</v>
      </c>
      <c r="D270" s="10" t="s">
        <v>52</v>
      </c>
      <c r="E270" s="10" t="s">
        <v>2475</v>
      </c>
      <c r="F270" s="11">
        <v>44429</v>
      </c>
      <c r="G270" t="str">
        <f t="shared" si="16"/>
        <v>PUNE</v>
      </c>
      <c r="H270">
        <f>IF(COUNTIF($G$2:G270,G270)=1,1,0)</f>
        <v>0</v>
      </c>
      <c r="I270">
        <f t="shared" si="17"/>
        <v>12</v>
      </c>
      <c r="J270">
        <f t="shared" si="18"/>
        <v>12</v>
      </c>
      <c r="K270">
        <f t="shared" si="19"/>
        <v>0</v>
      </c>
    </row>
    <row r="271" spans="1:11" ht="14.25" customHeight="1" x14ac:dyDescent="0.35">
      <c r="A271" s="10" t="s">
        <v>723</v>
      </c>
      <c r="B271" s="10" t="s">
        <v>2724</v>
      </c>
      <c r="C271" s="12">
        <v>29</v>
      </c>
      <c r="D271" s="10" t="s">
        <v>81</v>
      </c>
      <c r="E271" s="10" t="s">
        <v>2475</v>
      </c>
      <c r="F271" s="11">
        <v>44410</v>
      </c>
      <c r="G271" t="str">
        <f t="shared" si="16"/>
        <v>BENGALURU</v>
      </c>
      <c r="H271">
        <f>IF(COUNTIF($G$2:G271,G271)=1,1,0)</f>
        <v>0</v>
      </c>
      <c r="I271">
        <f t="shared" si="17"/>
        <v>10</v>
      </c>
      <c r="J271">
        <f t="shared" si="18"/>
        <v>10</v>
      </c>
      <c r="K271">
        <f t="shared" si="19"/>
        <v>0</v>
      </c>
    </row>
    <row r="272" spans="1:11" ht="14.25" customHeight="1" x14ac:dyDescent="0.35">
      <c r="A272" s="10" t="s">
        <v>531</v>
      </c>
      <c r="B272" s="10" t="s">
        <v>2569</v>
      </c>
      <c r="C272" s="12">
        <v>41</v>
      </c>
      <c r="D272" s="10" t="s">
        <v>81</v>
      </c>
      <c r="E272" s="10" t="s">
        <v>2477</v>
      </c>
      <c r="F272" s="11">
        <v>44441</v>
      </c>
      <c r="G272" t="str">
        <f t="shared" si="16"/>
        <v>BENGALURU</v>
      </c>
      <c r="H272">
        <f>IF(COUNTIF($G$2:G272,G272)=1,1,0)</f>
        <v>0</v>
      </c>
      <c r="I272">
        <f t="shared" si="17"/>
        <v>10</v>
      </c>
      <c r="J272">
        <f t="shared" si="18"/>
        <v>10</v>
      </c>
      <c r="K272">
        <f t="shared" si="19"/>
        <v>0</v>
      </c>
    </row>
    <row r="273" spans="1:11" ht="14.25" customHeight="1" x14ac:dyDescent="0.35">
      <c r="A273" s="10" t="s">
        <v>991</v>
      </c>
      <c r="B273" s="10" t="s">
        <v>2725</v>
      </c>
      <c r="C273" s="12">
        <v>47</v>
      </c>
      <c r="D273" s="10" t="s">
        <v>76</v>
      </c>
      <c r="E273" s="10" t="s">
        <v>2483</v>
      </c>
      <c r="F273" s="11">
        <v>44634</v>
      </c>
      <c r="G273" t="str">
        <f t="shared" si="16"/>
        <v>MUMBAI</v>
      </c>
      <c r="H273">
        <f>IF(COUNTIF($G$2:G273,G273)=1,1,0)</f>
        <v>0</v>
      </c>
      <c r="I273">
        <f t="shared" si="17"/>
        <v>12</v>
      </c>
      <c r="J273">
        <f t="shared" si="18"/>
        <v>12</v>
      </c>
      <c r="K273">
        <f t="shared" si="19"/>
        <v>0</v>
      </c>
    </row>
    <row r="274" spans="1:11" ht="14.25" customHeight="1" x14ac:dyDescent="0.35">
      <c r="A274" s="10" t="s">
        <v>120</v>
      </c>
      <c r="B274" s="10" t="s">
        <v>2726</v>
      </c>
      <c r="C274" s="12">
        <v>32</v>
      </c>
      <c r="D274" s="10" t="s">
        <v>97</v>
      </c>
      <c r="E274" s="10" t="s">
        <v>2477</v>
      </c>
      <c r="F274" s="11">
        <v>44221</v>
      </c>
      <c r="G274" t="str">
        <f t="shared" si="16"/>
        <v>HYDERABAD</v>
      </c>
      <c r="H274">
        <f>IF(COUNTIF($G$2:G274,G274)=1,1,0)</f>
        <v>0</v>
      </c>
      <c r="I274">
        <f t="shared" si="17"/>
        <v>12</v>
      </c>
      <c r="J274">
        <f t="shared" si="18"/>
        <v>12</v>
      </c>
      <c r="K274">
        <f t="shared" si="19"/>
        <v>0</v>
      </c>
    </row>
    <row r="275" spans="1:11" ht="14.25" customHeight="1" x14ac:dyDescent="0.35">
      <c r="A275" s="10" t="s">
        <v>468</v>
      </c>
      <c r="B275" s="10" t="s">
        <v>2727</v>
      </c>
      <c r="C275" s="12">
        <v>36</v>
      </c>
      <c r="D275" s="10" t="s">
        <v>81</v>
      </c>
      <c r="E275" s="10" t="s">
        <v>2477</v>
      </c>
      <c r="F275" s="11">
        <v>44381</v>
      </c>
      <c r="G275" t="str">
        <f t="shared" si="16"/>
        <v>BENGALURU</v>
      </c>
      <c r="H275">
        <f>IF(COUNTIF($G$2:G275,G275)=1,1,0)</f>
        <v>0</v>
      </c>
      <c r="I275">
        <f t="shared" si="17"/>
        <v>12</v>
      </c>
      <c r="J275">
        <f t="shared" si="18"/>
        <v>12</v>
      </c>
      <c r="K275">
        <f t="shared" si="19"/>
        <v>0</v>
      </c>
    </row>
    <row r="276" spans="1:11" ht="14.25" customHeight="1" x14ac:dyDescent="0.35">
      <c r="A276" s="10" t="s">
        <v>73</v>
      </c>
      <c r="B276" s="10" t="s">
        <v>2728</v>
      </c>
      <c r="C276" s="12">
        <v>36</v>
      </c>
      <c r="D276" s="10" t="s">
        <v>76</v>
      </c>
      <c r="E276" s="10" t="s">
        <v>2475</v>
      </c>
      <c r="F276" s="11">
        <v>45106</v>
      </c>
      <c r="G276" t="str">
        <f t="shared" si="16"/>
        <v>MUMBAI</v>
      </c>
      <c r="H276">
        <f>IF(COUNTIF($G$2:G276,G276)=1,1,0)</f>
        <v>0</v>
      </c>
      <c r="I276">
        <f t="shared" si="17"/>
        <v>10</v>
      </c>
      <c r="J276">
        <f t="shared" si="18"/>
        <v>10</v>
      </c>
      <c r="K276">
        <f t="shared" si="19"/>
        <v>0</v>
      </c>
    </row>
    <row r="277" spans="1:11" ht="14.25" customHeight="1" x14ac:dyDescent="0.35">
      <c r="A277" s="10" t="s">
        <v>1463</v>
      </c>
      <c r="B277" s="10" t="s">
        <v>2523</v>
      </c>
      <c r="C277" s="12">
        <v>26</v>
      </c>
      <c r="D277" s="10" t="s">
        <v>58</v>
      </c>
      <c r="E277" s="10" t="s">
        <v>2475</v>
      </c>
      <c r="F277" s="11">
        <v>44272</v>
      </c>
      <c r="G277" t="str">
        <f t="shared" si="16"/>
        <v>CHENNAI</v>
      </c>
      <c r="H277">
        <f>IF(COUNTIF($G$2:G277,G277)=1,1,0)</f>
        <v>0</v>
      </c>
      <c r="I277">
        <f t="shared" si="17"/>
        <v>13</v>
      </c>
      <c r="J277">
        <f t="shared" si="18"/>
        <v>13</v>
      </c>
      <c r="K277">
        <f t="shared" si="19"/>
        <v>0</v>
      </c>
    </row>
    <row r="278" spans="1:11" ht="14.25" customHeight="1" x14ac:dyDescent="0.35">
      <c r="A278" s="10" t="s">
        <v>505</v>
      </c>
      <c r="B278" s="10" t="s">
        <v>2540</v>
      </c>
      <c r="C278" s="12">
        <v>34</v>
      </c>
      <c r="D278" s="10" t="s">
        <v>58</v>
      </c>
      <c r="E278" s="10" t="s">
        <v>2477</v>
      </c>
      <c r="F278" s="11">
        <v>44958</v>
      </c>
      <c r="G278" t="str">
        <f t="shared" si="16"/>
        <v>CHENNAI</v>
      </c>
      <c r="H278">
        <f>IF(COUNTIF($G$2:G278,G278)=1,1,0)</f>
        <v>0</v>
      </c>
      <c r="I278">
        <f t="shared" si="17"/>
        <v>11</v>
      </c>
      <c r="J278">
        <f t="shared" si="18"/>
        <v>11</v>
      </c>
      <c r="K278">
        <f t="shared" si="19"/>
        <v>0</v>
      </c>
    </row>
    <row r="279" spans="1:11" ht="14.25" customHeight="1" x14ac:dyDescent="0.35">
      <c r="A279" s="10" t="s">
        <v>1011</v>
      </c>
      <c r="B279" s="10" t="s">
        <v>2729</v>
      </c>
      <c r="C279" s="12">
        <v>41</v>
      </c>
      <c r="D279" s="10" t="s">
        <v>97</v>
      </c>
      <c r="E279" s="10" t="s">
        <v>2475</v>
      </c>
      <c r="F279" s="11">
        <v>43973</v>
      </c>
      <c r="G279" t="str">
        <f t="shared" si="16"/>
        <v>HYDERABAD</v>
      </c>
      <c r="H279">
        <f>IF(COUNTIF($G$2:G279,G279)=1,1,0)</f>
        <v>0</v>
      </c>
      <c r="I279">
        <f t="shared" si="17"/>
        <v>15</v>
      </c>
      <c r="J279">
        <f t="shared" si="18"/>
        <v>15</v>
      </c>
      <c r="K279">
        <f t="shared" si="19"/>
        <v>0</v>
      </c>
    </row>
    <row r="280" spans="1:11" ht="14.25" customHeight="1" x14ac:dyDescent="0.35">
      <c r="A280" s="10" t="s">
        <v>693</v>
      </c>
      <c r="B280" s="10" t="s">
        <v>2710</v>
      </c>
      <c r="C280" s="12">
        <v>56</v>
      </c>
      <c r="D280" s="10" t="s">
        <v>76</v>
      </c>
      <c r="E280" s="10" t="s">
        <v>2475</v>
      </c>
      <c r="F280" s="11">
        <v>44517</v>
      </c>
      <c r="G280" t="str">
        <f t="shared" si="16"/>
        <v>MUMBAI</v>
      </c>
      <c r="H280">
        <f>IF(COUNTIF($G$2:G280,G280)=1,1,0)</f>
        <v>0</v>
      </c>
      <c r="I280">
        <f t="shared" si="17"/>
        <v>10</v>
      </c>
      <c r="J280">
        <f t="shared" si="18"/>
        <v>10</v>
      </c>
      <c r="K280">
        <f t="shared" si="19"/>
        <v>0</v>
      </c>
    </row>
    <row r="281" spans="1:11" ht="14.25" customHeight="1" x14ac:dyDescent="0.35">
      <c r="A281" s="10" t="s">
        <v>101</v>
      </c>
      <c r="B281" s="10" t="s">
        <v>2730</v>
      </c>
      <c r="C281" s="12">
        <v>27</v>
      </c>
      <c r="D281" s="10" t="s">
        <v>63</v>
      </c>
      <c r="E281" s="10" t="s">
        <v>2483</v>
      </c>
      <c r="F281" s="11">
        <v>45059</v>
      </c>
      <c r="G281" t="str">
        <f t="shared" si="16"/>
        <v>DELHI</v>
      </c>
      <c r="H281">
        <f>IF(COUNTIF($G$2:G281,G281)=1,1,0)</f>
        <v>0</v>
      </c>
      <c r="I281">
        <f t="shared" si="17"/>
        <v>12</v>
      </c>
      <c r="J281">
        <f t="shared" si="18"/>
        <v>12</v>
      </c>
      <c r="K281">
        <f t="shared" si="19"/>
        <v>0</v>
      </c>
    </row>
    <row r="282" spans="1:11" ht="14.25" customHeight="1" x14ac:dyDescent="0.35">
      <c r="A282" s="10" t="s">
        <v>83</v>
      </c>
      <c r="B282" s="10" t="s">
        <v>2495</v>
      </c>
      <c r="C282" s="12">
        <v>57</v>
      </c>
      <c r="D282" s="10" t="s">
        <v>81</v>
      </c>
      <c r="E282" s="10" t="s">
        <v>2477</v>
      </c>
      <c r="F282" s="11">
        <v>44029</v>
      </c>
      <c r="G282" t="str">
        <f t="shared" si="16"/>
        <v>BENGALURU</v>
      </c>
      <c r="H282">
        <f>IF(COUNTIF($G$2:G282,G282)=1,1,0)</f>
        <v>0</v>
      </c>
      <c r="I282">
        <f t="shared" si="17"/>
        <v>13</v>
      </c>
      <c r="J282">
        <f t="shared" si="18"/>
        <v>13</v>
      </c>
      <c r="K282">
        <f t="shared" si="19"/>
        <v>0</v>
      </c>
    </row>
    <row r="283" spans="1:11" ht="14.25" customHeight="1" x14ac:dyDescent="0.35">
      <c r="A283" s="10" t="s">
        <v>242</v>
      </c>
      <c r="B283" s="10" t="s">
        <v>2731</v>
      </c>
      <c r="C283" s="12">
        <v>29</v>
      </c>
      <c r="D283" s="10" t="s">
        <v>97</v>
      </c>
      <c r="E283" s="10" t="s">
        <v>2477</v>
      </c>
      <c r="F283" s="11">
        <v>44631</v>
      </c>
      <c r="G283" t="str">
        <f t="shared" si="16"/>
        <v>HYDERABAD</v>
      </c>
      <c r="H283">
        <f>IF(COUNTIF($G$2:G283,G283)=1,1,0)</f>
        <v>0</v>
      </c>
      <c r="I283">
        <f t="shared" si="17"/>
        <v>11</v>
      </c>
      <c r="J283">
        <f t="shared" si="18"/>
        <v>11</v>
      </c>
      <c r="K283">
        <f t="shared" si="19"/>
        <v>0</v>
      </c>
    </row>
    <row r="284" spans="1:11" ht="14.25" customHeight="1" x14ac:dyDescent="0.35">
      <c r="A284" s="10" t="s">
        <v>183</v>
      </c>
      <c r="B284" s="10" t="s">
        <v>2732</v>
      </c>
      <c r="C284" s="12">
        <v>50</v>
      </c>
      <c r="D284" s="10" t="s">
        <v>2480</v>
      </c>
      <c r="E284" s="10" t="s">
        <v>2483</v>
      </c>
      <c r="F284" s="11">
        <v>44869</v>
      </c>
      <c r="G284" t="str">
        <f t="shared" si="16"/>
        <v>DELHI</v>
      </c>
      <c r="H284">
        <f>IF(COUNTIF($G$2:G284,G284)=1,1,0)</f>
        <v>0</v>
      </c>
      <c r="I284">
        <f t="shared" si="17"/>
        <v>11</v>
      </c>
      <c r="J284">
        <f t="shared" si="18"/>
        <v>11</v>
      </c>
      <c r="K284">
        <f t="shared" si="19"/>
        <v>0</v>
      </c>
    </row>
    <row r="285" spans="1:11" ht="14.25" customHeight="1" x14ac:dyDescent="0.35">
      <c r="A285" s="10" t="s">
        <v>465</v>
      </c>
      <c r="B285" s="10" t="s">
        <v>2733</v>
      </c>
      <c r="C285" s="12">
        <v>65</v>
      </c>
      <c r="D285" s="10" t="s">
        <v>97</v>
      </c>
      <c r="E285" s="10" t="s">
        <v>2483</v>
      </c>
      <c r="F285" s="11">
        <v>44047</v>
      </c>
      <c r="G285" t="str">
        <f t="shared" si="16"/>
        <v>HYDERABAD</v>
      </c>
      <c r="H285">
        <f>IF(COUNTIF($G$2:G285,G285)=1,1,0)</f>
        <v>0</v>
      </c>
      <c r="I285">
        <f t="shared" si="17"/>
        <v>11</v>
      </c>
      <c r="J285">
        <f t="shared" si="18"/>
        <v>11</v>
      </c>
      <c r="K285">
        <f t="shared" si="19"/>
        <v>0</v>
      </c>
    </row>
    <row r="286" spans="1:11" ht="14.25" customHeight="1" x14ac:dyDescent="0.35">
      <c r="A286" s="10" t="s">
        <v>556</v>
      </c>
      <c r="B286" s="10" t="s">
        <v>2734</v>
      </c>
      <c r="C286" s="12">
        <v>22</v>
      </c>
      <c r="D286" s="10" t="s">
        <v>97</v>
      </c>
      <c r="E286" s="10" t="s">
        <v>2475</v>
      </c>
      <c r="F286" s="11">
        <v>44593</v>
      </c>
      <c r="G286" t="str">
        <f t="shared" si="16"/>
        <v>HYDERABAD</v>
      </c>
      <c r="H286">
        <f>IF(COUNTIF($G$2:G286,G286)=1,1,0)</f>
        <v>0</v>
      </c>
      <c r="I286">
        <f t="shared" si="17"/>
        <v>12</v>
      </c>
      <c r="J286">
        <f t="shared" si="18"/>
        <v>12</v>
      </c>
      <c r="K286">
        <f t="shared" si="19"/>
        <v>0</v>
      </c>
    </row>
    <row r="287" spans="1:11" ht="14.25" customHeight="1" x14ac:dyDescent="0.35">
      <c r="A287" s="10" t="s">
        <v>1780</v>
      </c>
      <c r="B287" s="10" t="s">
        <v>2735</v>
      </c>
      <c r="C287" s="12">
        <v>62</v>
      </c>
      <c r="D287" s="10" t="s">
        <v>63</v>
      </c>
      <c r="E287" s="10" t="s">
        <v>2475</v>
      </c>
      <c r="F287" s="11">
        <v>44489</v>
      </c>
      <c r="G287" t="str">
        <f t="shared" si="16"/>
        <v>DELHI</v>
      </c>
      <c r="H287">
        <f>IF(COUNTIF($G$2:G287,G287)=1,1,0)</f>
        <v>0</v>
      </c>
      <c r="I287">
        <f t="shared" si="17"/>
        <v>11</v>
      </c>
      <c r="J287">
        <f t="shared" si="18"/>
        <v>11</v>
      </c>
      <c r="K287">
        <f t="shared" si="19"/>
        <v>0</v>
      </c>
    </row>
    <row r="288" spans="1:11" ht="14.25" customHeight="1" x14ac:dyDescent="0.35">
      <c r="A288" s="10" t="s">
        <v>342</v>
      </c>
      <c r="B288" s="10" t="s">
        <v>2736</v>
      </c>
      <c r="C288" s="12">
        <v>53</v>
      </c>
      <c r="D288" s="10" t="s">
        <v>58</v>
      </c>
      <c r="E288" s="10" t="s">
        <v>2483</v>
      </c>
      <c r="F288" s="11">
        <v>44738</v>
      </c>
      <c r="G288" t="str">
        <f t="shared" si="16"/>
        <v>CHENNAI</v>
      </c>
      <c r="H288">
        <f>IF(COUNTIF($G$2:G288,G288)=1,1,0)</f>
        <v>0</v>
      </c>
      <c r="I288">
        <f t="shared" si="17"/>
        <v>11</v>
      </c>
      <c r="J288">
        <f t="shared" si="18"/>
        <v>11</v>
      </c>
      <c r="K288">
        <f t="shared" si="19"/>
        <v>0</v>
      </c>
    </row>
    <row r="289" spans="1:11" ht="14.25" customHeight="1" x14ac:dyDescent="0.35">
      <c r="A289" s="10" t="s">
        <v>1498</v>
      </c>
      <c r="B289" s="10" t="s">
        <v>2737</v>
      </c>
      <c r="C289" s="12">
        <v>25</v>
      </c>
      <c r="D289" s="10" t="s">
        <v>97</v>
      </c>
      <c r="E289" s="10" t="s">
        <v>2477</v>
      </c>
      <c r="F289" s="11">
        <v>44450</v>
      </c>
      <c r="G289" t="str">
        <f t="shared" si="16"/>
        <v>HYDERABAD</v>
      </c>
      <c r="H289">
        <f>IF(COUNTIF($G$2:G289,G289)=1,1,0)</f>
        <v>0</v>
      </c>
      <c r="I289">
        <f t="shared" si="17"/>
        <v>11</v>
      </c>
      <c r="J289">
        <f t="shared" si="18"/>
        <v>11</v>
      </c>
      <c r="K289">
        <f t="shared" si="19"/>
        <v>0</v>
      </c>
    </row>
    <row r="290" spans="1:11" ht="14.25" customHeight="1" x14ac:dyDescent="0.35">
      <c r="A290" s="10" t="s">
        <v>1015</v>
      </c>
      <c r="B290" s="10" t="s">
        <v>2738</v>
      </c>
      <c r="C290" s="12">
        <v>54</v>
      </c>
      <c r="D290" s="10" t="s">
        <v>76</v>
      </c>
      <c r="E290" s="10" t="s">
        <v>2475</v>
      </c>
      <c r="F290" s="11">
        <v>44720</v>
      </c>
      <c r="G290" t="str">
        <f t="shared" si="16"/>
        <v>MUMBAI</v>
      </c>
      <c r="H290">
        <f>IF(COUNTIF($G$2:G290,G290)=1,1,0)</f>
        <v>0</v>
      </c>
      <c r="I290">
        <f t="shared" si="17"/>
        <v>13</v>
      </c>
      <c r="J290">
        <f t="shared" si="18"/>
        <v>13</v>
      </c>
      <c r="K290">
        <f t="shared" si="19"/>
        <v>0</v>
      </c>
    </row>
    <row r="291" spans="1:11" ht="14.25" customHeight="1" x14ac:dyDescent="0.35">
      <c r="A291" s="10" t="s">
        <v>761</v>
      </c>
      <c r="B291" s="10" t="s">
        <v>2739</v>
      </c>
      <c r="C291" s="12">
        <v>63</v>
      </c>
      <c r="D291" s="10" t="s">
        <v>63</v>
      </c>
      <c r="E291" s="10" t="s">
        <v>2475</v>
      </c>
      <c r="F291" s="11">
        <v>44330</v>
      </c>
      <c r="G291" t="str">
        <f t="shared" si="16"/>
        <v>DELHI</v>
      </c>
      <c r="H291">
        <f>IF(COUNTIF($G$2:G291,G291)=1,1,0)</f>
        <v>0</v>
      </c>
      <c r="I291">
        <f t="shared" si="17"/>
        <v>12</v>
      </c>
      <c r="J291">
        <f t="shared" si="18"/>
        <v>12</v>
      </c>
      <c r="K291">
        <f t="shared" si="19"/>
        <v>0</v>
      </c>
    </row>
    <row r="292" spans="1:11" ht="14.25" customHeight="1" x14ac:dyDescent="0.35">
      <c r="A292" s="10" t="s">
        <v>197</v>
      </c>
      <c r="B292" s="10" t="s">
        <v>2740</v>
      </c>
      <c r="C292" s="12">
        <v>29</v>
      </c>
      <c r="D292" s="10" t="s">
        <v>52</v>
      </c>
      <c r="E292" s="10" t="s">
        <v>2483</v>
      </c>
      <c r="F292" s="11">
        <v>43950</v>
      </c>
      <c r="G292" t="str">
        <f t="shared" si="16"/>
        <v>PUNE</v>
      </c>
      <c r="H292">
        <f>IF(COUNTIF($G$2:G292,G292)=1,1,0)</f>
        <v>0</v>
      </c>
      <c r="I292">
        <f t="shared" si="17"/>
        <v>11</v>
      </c>
      <c r="J292">
        <f t="shared" si="18"/>
        <v>11</v>
      </c>
      <c r="K292">
        <f t="shared" si="19"/>
        <v>0</v>
      </c>
    </row>
    <row r="293" spans="1:11" ht="14.25" customHeight="1" x14ac:dyDescent="0.35">
      <c r="A293" s="10" t="s">
        <v>716</v>
      </c>
      <c r="B293" s="10" t="s">
        <v>2568</v>
      </c>
      <c r="C293" s="12">
        <v>32</v>
      </c>
      <c r="D293" s="10" t="s">
        <v>81</v>
      </c>
      <c r="E293" s="10" t="s">
        <v>2475</v>
      </c>
      <c r="F293" s="11">
        <v>43968</v>
      </c>
      <c r="G293" t="str">
        <f t="shared" si="16"/>
        <v>BENGALURU</v>
      </c>
      <c r="H293">
        <f>IF(COUNTIF($G$2:G293,G293)=1,1,0)</f>
        <v>0</v>
      </c>
      <c r="I293">
        <f t="shared" si="17"/>
        <v>12</v>
      </c>
      <c r="J293">
        <f t="shared" si="18"/>
        <v>12</v>
      </c>
      <c r="K293">
        <f t="shared" si="19"/>
        <v>0</v>
      </c>
    </row>
    <row r="294" spans="1:11" ht="14.25" customHeight="1" x14ac:dyDescent="0.35">
      <c r="A294" s="10" t="s">
        <v>78</v>
      </c>
      <c r="B294" s="10" t="s">
        <v>2741</v>
      </c>
      <c r="C294" s="12">
        <v>27</v>
      </c>
      <c r="D294" s="10" t="s">
        <v>81</v>
      </c>
      <c r="E294" s="10" t="s">
        <v>2475</v>
      </c>
      <c r="F294" s="11">
        <v>44335</v>
      </c>
      <c r="G294" t="str">
        <f t="shared" si="16"/>
        <v>BENGALURU</v>
      </c>
      <c r="H294">
        <f>IF(COUNTIF($G$2:G294,G294)=1,1,0)</f>
        <v>0</v>
      </c>
      <c r="I294">
        <f t="shared" si="17"/>
        <v>10</v>
      </c>
      <c r="J294">
        <f t="shared" si="18"/>
        <v>10</v>
      </c>
      <c r="K294">
        <f t="shared" si="19"/>
        <v>0</v>
      </c>
    </row>
    <row r="295" spans="1:11" ht="14.25" customHeight="1" x14ac:dyDescent="0.35">
      <c r="A295" s="10" t="s">
        <v>398</v>
      </c>
      <c r="B295" s="10" t="s">
        <v>2501</v>
      </c>
      <c r="C295" s="12">
        <v>31</v>
      </c>
      <c r="D295" s="10" t="s">
        <v>63</v>
      </c>
      <c r="E295" s="10" t="s">
        <v>2477</v>
      </c>
      <c r="F295" s="11">
        <v>43885</v>
      </c>
      <c r="G295" t="str">
        <f t="shared" si="16"/>
        <v>DELHI</v>
      </c>
      <c r="H295">
        <f>IF(COUNTIF($G$2:G295,G295)=1,1,0)</f>
        <v>0</v>
      </c>
      <c r="I295">
        <f t="shared" si="17"/>
        <v>11</v>
      </c>
      <c r="J295">
        <f t="shared" si="18"/>
        <v>11</v>
      </c>
      <c r="K295">
        <f t="shared" si="19"/>
        <v>0</v>
      </c>
    </row>
    <row r="296" spans="1:11" ht="14.25" customHeight="1" x14ac:dyDescent="0.35">
      <c r="A296" s="10" t="s">
        <v>559</v>
      </c>
      <c r="B296" s="10" t="s">
        <v>2742</v>
      </c>
      <c r="C296" s="12">
        <v>48</v>
      </c>
      <c r="D296" s="10" t="s">
        <v>63</v>
      </c>
      <c r="E296" s="10" t="s">
        <v>2483</v>
      </c>
      <c r="F296" s="11">
        <v>43863</v>
      </c>
      <c r="G296" t="str">
        <f t="shared" si="16"/>
        <v>DELHI</v>
      </c>
      <c r="H296">
        <f>IF(COUNTIF($G$2:G296,G296)=1,1,0)</f>
        <v>0</v>
      </c>
      <c r="I296">
        <f t="shared" si="17"/>
        <v>13</v>
      </c>
      <c r="J296">
        <f t="shared" si="18"/>
        <v>13</v>
      </c>
      <c r="K296">
        <f t="shared" si="19"/>
        <v>0</v>
      </c>
    </row>
    <row r="297" spans="1:11" ht="14.25" customHeight="1" x14ac:dyDescent="0.35">
      <c r="A297" s="10" t="s">
        <v>534</v>
      </c>
      <c r="B297" s="10" t="s">
        <v>2743</v>
      </c>
      <c r="C297" s="12">
        <v>47</v>
      </c>
      <c r="D297" s="10" t="s">
        <v>63</v>
      </c>
      <c r="E297" s="10" t="s">
        <v>2477</v>
      </c>
      <c r="F297" s="11">
        <v>44784</v>
      </c>
      <c r="G297" t="str">
        <f t="shared" si="16"/>
        <v>DELHI</v>
      </c>
      <c r="H297">
        <f>IF(COUNTIF($G$2:G297,G297)=1,1,0)</f>
        <v>0</v>
      </c>
      <c r="I297">
        <f t="shared" si="17"/>
        <v>12</v>
      </c>
      <c r="J297">
        <f t="shared" si="18"/>
        <v>12</v>
      </c>
      <c r="K297">
        <f t="shared" si="19"/>
        <v>0</v>
      </c>
    </row>
    <row r="298" spans="1:11" ht="14.25" customHeight="1" x14ac:dyDescent="0.35">
      <c r="A298" s="10" t="s">
        <v>615</v>
      </c>
      <c r="B298" s="10" t="s">
        <v>2744</v>
      </c>
      <c r="C298" s="12">
        <v>50</v>
      </c>
      <c r="D298" s="10" t="s">
        <v>97</v>
      </c>
      <c r="E298" s="10" t="s">
        <v>2475</v>
      </c>
      <c r="F298" s="11">
        <v>44027</v>
      </c>
      <c r="G298" t="str">
        <f t="shared" si="16"/>
        <v>HYDERABAD</v>
      </c>
      <c r="H298">
        <f>IF(COUNTIF($G$2:G298,G298)=1,1,0)</f>
        <v>0</v>
      </c>
      <c r="I298">
        <f t="shared" si="17"/>
        <v>14</v>
      </c>
      <c r="J298">
        <f t="shared" si="18"/>
        <v>14</v>
      </c>
      <c r="K298">
        <f t="shared" si="19"/>
        <v>0</v>
      </c>
    </row>
    <row r="299" spans="1:11" ht="14.25" customHeight="1" x14ac:dyDescent="0.35">
      <c r="A299" s="10" t="s">
        <v>384</v>
      </c>
      <c r="B299" s="10" t="s">
        <v>2745</v>
      </c>
      <c r="C299" s="12">
        <v>44</v>
      </c>
      <c r="D299" s="10" t="s">
        <v>63</v>
      </c>
      <c r="E299" s="10" t="s">
        <v>2475</v>
      </c>
      <c r="F299" s="11">
        <v>43840</v>
      </c>
      <c r="G299" t="str">
        <f t="shared" si="16"/>
        <v>DELHI</v>
      </c>
      <c r="H299">
        <f>IF(COUNTIF($G$2:G299,G299)=1,1,0)</f>
        <v>0</v>
      </c>
      <c r="I299">
        <f t="shared" si="17"/>
        <v>10</v>
      </c>
      <c r="J299">
        <f t="shared" si="18"/>
        <v>10</v>
      </c>
      <c r="K299">
        <f t="shared" si="19"/>
        <v>0</v>
      </c>
    </row>
    <row r="300" spans="1:11" ht="14.25" customHeight="1" x14ac:dyDescent="0.35">
      <c r="A300" s="10" t="s">
        <v>676</v>
      </c>
      <c r="B300" s="10" t="s">
        <v>2658</v>
      </c>
      <c r="C300" s="12">
        <v>51</v>
      </c>
      <c r="D300" s="10" t="s">
        <v>76</v>
      </c>
      <c r="E300" s="10" t="s">
        <v>2477</v>
      </c>
      <c r="F300" s="11">
        <v>44675</v>
      </c>
      <c r="G300" t="str">
        <f t="shared" si="16"/>
        <v>MUMBAI</v>
      </c>
      <c r="H300">
        <f>IF(COUNTIF($G$2:G300,G300)=1,1,0)</f>
        <v>0</v>
      </c>
      <c r="I300">
        <f t="shared" si="17"/>
        <v>10</v>
      </c>
      <c r="J300">
        <f t="shared" si="18"/>
        <v>10</v>
      </c>
      <c r="K300">
        <f t="shared" si="19"/>
        <v>0</v>
      </c>
    </row>
    <row r="301" spans="1:11" ht="14.25" customHeight="1" x14ac:dyDescent="0.35">
      <c r="A301" s="10" t="s">
        <v>1261</v>
      </c>
      <c r="B301" s="10" t="s">
        <v>2746</v>
      </c>
      <c r="C301" s="12">
        <v>38</v>
      </c>
      <c r="D301" s="10" t="s">
        <v>76</v>
      </c>
      <c r="E301" s="10" t="s">
        <v>2475</v>
      </c>
      <c r="F301" s="11">
        <v>43932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I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9" ht="14.25" customHeight="1" x14ac:dyDescent="0.35">
      <c r="A1" s="6" t="s">
        <v>28</v>
      </c>
      <c r="B1" s="6" t="s">
        <v>2747</v>
      </c>
      <c r="C1" s="6" t="s">
        <v>36</v>
      </c>
      <c r="D1" s="6" t="s">
        <v>40</v>
      </c>
      <c r="E1" s="6" t="s">
        <v>31</v>
      </c>
      <c r="F1" s="6" t="s">
        <v>41</v>
      </c>
      <c r="G1" s="9" t="s">
        <v>2748</v>
      </c>
      <c r="H1" s="9" t="s">
        <v>2749</v>
      </c>
      <c r="I1" s="9" t="s">
        <v>2750</v>
      </c>
    </row>
    <row r="2" spans="1:9" ht="14.25" customHeight="1" x14ac:dyDescent="0.35">
      <c r="A2" s="10" t="s">
        <v>328</v>
      </c>
      <c r="B2" s="10" t="s">
        <v>2751</v>
      </c>
      <c r="C2" s="10" t="s">
        <v>2752</v>
      </c>
      <c r="D2" s="12">
        <v>2405</v>
      </c>
      <c r="E2" s="12">
        <v>5330</v>
      </c>
      <c r="F2" s="10" t="b">
        <f>TRUE()</f>
        <v>1</v>
      </c>
      <c r="G2">
        <f>SUMIFS(Orders!$I$2:$I$2001,Orders!$D$2:$D$2001,A2,Orders!$M$2:$M$2001,"West")</f>
        <v>155358.84</v>
      </c>
      <c r="H2">
        <f t="shared" ref="H2:H33" si="0">RANK(G2,$G$2:$G$61,0)</f>
        <v>10</v>
      </c>
      <c r="I2" t="str">
        <f t="shared" ref="I2:I33" si="1">B2</f>
        <v>Smartphone Pro</v>
      </c>
    </row>
    <row r="3" spans="1:9" ht="14.25" customHeight="1" x14ac:dyDescent="0.35">
      <c r="A3" s="10" t="s">
        <v>102</v>
      </c>
      <c r="B3" s="10" t="s">
        <v>2753</v>
      </c>
      <c r="C3" s="10" t="s">
        <v>2752</v>
      </c>
      <c r="D3" s="12">
        <v>1052</v>
      </c>
      <c r="E3" s="12">
        <v>2600</v>
      </c>
      <c r="F3" s="10" t="b">
        <f>TRUE()</f>
        <v>1</v>
      </c>
      <c r="G3">
        <f>SUMIFS(Orders!$I$2:$I$2001,Orders!$D$2:$D$2001,A3,Orders!$M$2:$M$2001,"West")</f>
        <v>105284.40000000001</v>
      </c>
      <c r="H3">
        <f t="shared" si="0"/>
        <v>23</v>
      </c>
      <c r="I3" t="str">
        <f t="shared" si="1"/>
        <v>Wireless Earbuds</v>
      </c>
    </row>
    <row r="4" spans="1:9" ht="14.25" customHeight="1" x14ac:dyDescent="0.35">
      <c r="A4" s="10" t="s">
        <v>151</v>
      </c>
      <c r="B4" s="10" t="s">
        <v>2754</v>
      </c>
      <c r="C4" s="10" t="s">
        <v>2752</v>
      </c>
      <c r="D4" s="12">
        <v>1665</v>
      </c>
      <c r="E4" s="12">
        <v>3570</v>
      </c>
      <c r="F4" s="10" t="b">
        <f>TRUE()</f>
        <v>1</v>
      </c>
      <c r="G4">
        <f>SUMIFS(Orders!$I$2:$I$2001,Orders!$D$2:$D$2001,A4,Orders!$M$2:$M$2001,"West")</f>
        <v>248025.75</v>
      </c>
      <c r="H4">
        <f t="shared" si="0"/>
        <v>2</v>
      </c>
      <c r="I4" t="str">
        <f t="shared" si="1"/>
        <v>Smart Watch</v>
      </c>
    </row>
    <row r="5" spans="1:9" ht="14.25" customHeight="1" x14ac:dyDescent="0.35">
      <c r="A5" s="10" t="s">
        <v>212</v>
      </c>
      <c r="B5" s="10" t="s">
        <v>2755</v>
      </c>
      <c r="C5" s="10" t="s">
        <v>2752</v>
      </c>
      <c r="D5" s="12">
        <v>1559</v>
      </c>
      <c r="E5" s="12">
        <v>3870</v>
      </c>
      <c r="F5" s="10" t="b">
        <f>TRUE()</f>
        <v>1</v>
      </c>
      <c r="G5">
        <f>SUMIFS(Orders!$I$2:$I$2001,Orders!$D$2:$D$2001,A5,Orders!$M$2:$M$2001,"West")</f>
        <v>198124.65</v>
      </c>
      <c r="H5">
        <f t="shared" si="0"/>
        <v>5</v>
      </c>
      <c r="I5" t="str">
        <f t="shared" si="1"/>
        <v>Laptop Bag</v>
      </c>
    </row>
    <row r="6" spans="1:9" ht="14.25" customHeight="1" x14ac:dyDescent="0.35">
      <c r="A6" s="10" t="s">
        <v>246</v>
      </c>
      <c r="B6" s="10" t="s">
        <v>2756</v>
      </c>
      <c r="C6" s="10" t="s">
        <v>2752</v>
      </c>
      <c r="D6" s="12">
        <v>128</v>
      </c>
      <c r="E6" s="12">
        <v>300</v>
      </c>
      <c r="F6" s="10" t="b">
        <f>TRUE()</f>
        <v>1</v>
      </c>
      <c r="G6">
        <f>SUMIFS(Orders!$I$2:$I$2001,Orders!$D$2:$D$2001,A6,Orders!$M$2:$M$2001,"West")</f>
        <v>7449.9000000000005</v>
      </c>
      <c r="H6">
        <f t="shared" si="0"/>
        <v>59</v>
      </c>
      <c r="I6" t="str">
        <f t="shared" si="1"/>
        <v>Power Bank</v>
      </c>
    </row>
    <row r="7" spans="1:9" ht="14.25" customHeight="1" x14ac:dyDescent="0.35">
      <c r="A7" s="10" t="s">
        <v>372</v>
      </c>
      <c r="B7" s="10" t="s">
        <v>2757</v>
      </c>
      <c r="C7" s="10" t="s">
        <v>2752</v>
      </c>
      <c r="D7" s="12">
        <v>2865</v>
      </c>
      <c r="E7" s="12">
        <v>3970</v>
      </c>
      <c r="F7" s="10" t="b">
        <f>TRUE()</f>
        <v>1</v>
      </c>
      <c r="G7">
        <f>SUMIFS(Orders!$I$2:$I$2001,Orders!$D$2:$D$2001,A7,Orders!$M$2:$M$2001,"West")</f>
        <v>100869.76000000001</v>
      </c>
      <c r="H7">
        <f t="shared" si="0"/>
        <v>28</v>
      </c>
      <c r="I7" t="str">
        <f t="shared" si="1"/>
        <v>Bluetooth Speaker</v>
      </c>
    </row>
    <row r="8" spans="1:9" ht="14.25" customHeight="1" x14ac:dyDescent="0.35">
      <c r="A8" s="10" t="s">
        <v>84</v>
      </c>
      <c r="B8" s="10" t="s">
        <v>2758</v>
      </c>
      <c r="C8" s="10" t="s">
        <v>2752</v>
      </c>
      <c r="D8" s="12">
        <v>861</v>
      </c>
      <c r="E8" s="12">
        <v>1430</v>
      </c>
      <c r="F8" s="10" t="b">
        <f>TRUE()</f>
        <v>1</v>
      </c>
      <c r="G8">
        <f>SUMIFS(Orders!$I$2:$I$2001,Orders!$D$2:$D$2001,A8,Orders!$M$2:$M$2001,"West")</f>
        <v>38531.35</v>
      </c>
      <c r="H8">
        <f t="shared" si="0"/>
        <v>48</v>
      </c>
      <c r="I8" t="str">
        <f t="shared" si="1"/>
        <v>USB-C Cable</v>
      </c>
    </row>
    <row r="9" spans="1:9" ht="14.25" customHeight="1" x14ac:dyDescent="0.35">
      <c r="A9" s="10" t="s">
        <v>243</v>
      </c>
      <c r="B9" s="10" t="s">
        <v>2759</v>
      </c>
      <c r="C9" s="10" t="s">
        <v>2752</v>
      </c>
      <c r="D9" s="12">
        <v>1259</v>
      </c>
      <c r="E9" s="12">
        <v>2660</v>
      </c>
      <c r="F9" s="10" t="b">
        <f>FALSE()</f>
        <v>0</v>
      </c>
      <c r="G9">
        <f>SUMIFS(Orders!$I$2:$I$2001,Orders!$D$2:$D$2001,A9,Orders!$M$2:$M$2001,"West")</f>
        <v>7807.1</v>
      </c>
      <c r="H9">
        <f t="shared" si="0"/>
        <v>58</v>
      </c>
      <c r="I9" t="str">
        <f t="shared" si="1"/>
        <v>Wireless Mouse</v>
      </c>
    </row>
    <row r="10" spans="1:9" ht="14.25" customHeight="1" x14ac:dyDescent="0.35">
      <c r="A10" s="10" t="s">
        <v>231</v>
      </c>
      <c r="B10" s="10" t="s">
        <v>2760</v>
      </c>
      <c r="C10" s="10" t="s">
        <v>2752</v>
      </c>
      <c r="D10" s="12">
        <v>517</v>
      </c>
      <c r="E10" s="12">
        <v>1220</v>
      </c>
      <c r="F10" s="10" t="b">
        <f>TRUE()</f>
        <v>1</v>
      </c>
      <c r="G10">
        <f>SUMIFS(Orders!$I$2:$I$2001,Orders!$D$2:$D$2001,A10,Orders!$M$2:$M$2001,"West")</f>
        <v>64207.380000000005</v>
      </c>
      <c r="H10">
        <f t="shared" si="0"/>
        <v>44</v>
      </c>
      <c r="I10" t="str">
        <f t="shared" si="1"/>
        <v>Mechanical Keyboard</v>
      </c>
    </row>
    <row r="11" spans="1:9" ht="14.25" customHeight="1" x14ac:dyDescent="0.35">
      <c r="A11" s="10" t="s">
        <v>99</v>
      </c>
      <c r="B11" s="10" t="s">
        <v>2761</v>
      </c>
      <c r="C11" s="10" t="s">
        <v>2752</v>
      </c>
      <c r="D11" s="12">
        <v>1149</v>
      </c>
      <c r="E11" s="12">
        <v>2640</v>
      </c>
      <c r="F11" s="10" t="b">
        <f>TRUE()</f>
        <v>1</v>
      </c>
      <c r="G11">
        <f>SUMIFS(Orders!$I$2:$I$2001,Orders!$D$2:$D$2001,A11,Orders!$M$2:$M$2001,"West")</f>
        <v>67393.919999999998</v>
      </c>
      <c r="H11">
        <f t="shared" si="0"/>
        <v>42</v>
      </c>
      <c r="I11" t="str">
        <f t="shared" si="1"/>
        <v>Tablet Stand</v>
      </c>
    </row>
    <row r="12" spans="1:9" ht="14.25" customHeight="1" x14ac:dyDescent="0.35">
      <c r="A12" s="10" t="s">
        <v>416</v>
      </c>
      <c r="B12" s="10" t="s">
        <v>2762</v>
      </c>
      <c r="C12" s="10" t="s">
        <v>2763</v>
      </c>
      <c r="D12" s="12">
        <v>1748</v>
      </c>
      <c r="E12" s="12">
        <v>3450</v>
      </c>
      <c r="F12" s="10" t="b">
        <f>TRUE()</f>
        <v>1</v>
      </c>
      <c r="G12">
        <f>SUMIFS(Orders!$I$2:$I$2001,Orders!$D$2:$D$2001,A12,Orders!$M$2:$M$2001,"West")</f>
        <v>145224.29999999999</v>
      </c>
      <c r="H12">
        <f t="shared" si="0"/>
        <v>12</v>
      </c>
      <c r="I12" t="str">
        <f t="shared" si="1"/>
        <v>Cotton T-Shirt</v>
      </c>
    </row>
    <row r="13" spans="1:9" ht="14.25" customHeight="1" x14ac:dyDescent="0.35">
      <c r="A13" s="10" t="s">
        <v>70</v>
      </c>
      <c r="B13" s="10" t="s">
        <v>2764</v>
      </c>
      <c r="C13" s="10" t="s">
        <v>2763</v>
      </c>
      <c r="D13" s="12">
        <v>1886</v>
      </c>
      <c r="E13" s="12">
        <v>3160</v>
      </c>
      <c r="F13" s="10" t="b">
        <f>TRUE()</f>
        <v>1</v>
      </c>
      <c r="G13">
        <f>SUMIFS(Orders!$I$2:$I$2001,Orders!$D$2:$D$2001,A13,Orders!$M$2:$M$2001,"West")</f>
        <v>121770.59999999999</v>
      </c>
      <c r="H13">
        <f t="shared" si="0"/>
        <v>16</v>
      </c>
      <c r="I13" t="str">
        <f t="shared" si="1"/>
        <v>Denim Jeans</v>
      </c>
    </row>
    <row r="14" spans="1:9" ht="14.25" customHeight="1" x14ac:dyDescent="0.35">
      <c r="A14" s="10" t="s">
        <v>201</v>
      </c>
      <c r="B14" s="10" t="s">
        <v>2765</v>
      </c>
      <c r="C14" s="10" t="s">
        <v>2763</v>
      </c>
      <c r="D14" s="12">
        <v>2611</v>
      </c>
      <c r="E14" s="12">
        <v>3640</v>
      </c>
      <c r="F14" s="10" t="b">
        <f>TRUE()</f>
        <v>1</v>
      </c>
      <c r="G14">
        <f>SUMIFS(Orders!$I$2:$I$2001,Orders!$D$2:$D$2001,A14,Orders!$M$2:$M$2001,"West")</f>
        <v>85543.640000000014</v>
      </c>
      <c r="H14">
        <f t="shared" si="0"/>
        <v>34</v>
      </c>
      <c r="I14" t="str">
        <f t="shared" si="1"/>
        <v>Formal Shirt</v>
      </c>
    </row>
    <row r="15" spans="1:9" ht="14.25" customHeight="1" x14ac:dyDescent="0.35">
      <c r="A15" s="10" t="s">
        <v>49</v>
      </c>
      <c r="B15" s="10" t="s">
        <v>2766</v>
      </c>
      <c r="C15" s="10" t="s">
        <v>2763</v>
      </c>
      <c r="D15" s="12">
        <v>2509</v>
      </c>
      <c r="E15" s="12">
        <v>3620</v>
      </c>
      <c r="F15" s="10" t="b">
        <f>TRUE()</f>
        <v>1</v>
      </c>
      <c r="G15">
        <f>SUMIFS(Orders!$I$2:$I$2001,Orders!$D$2:$D$2001,A15,Orders!$M$2:$M$2001,"West")</f>
        <v>95390.62</v>
      </c>
      <c r="H15">
        <f t="shared" si="0"/>
        <v>31</v>
      </c>
      <c r="I15" t="str">
        <f t="shared" si="1"/>
        <v>Winter Jacket</v>
      </c>
    </row>
    <row r="16" spans="1:9" ht="14.25" customHeight="1" x14ac:dyDescent="0.35">
      <c r="A16" s="10" t="s">
        <v>137</v>
      </c>
      <c r="B16" s="10" t="s">
        <v>2767</v>
      </c>
      <c r="C16" s="10" t="s">
        <v>2763</v>
      </c>
      <c r="D16" s="12">
        <v>1962</v>
      </c>
      <c r="E16" s="12">
        <v>2720</v>
      </c>
      <c r="F16" s="10" t="b">
        <f>TRUE()</f>
        <v>1</v>
      </c>
      <c r="G16">
        <f>SUMIFS(Orders!$I$2:$I$2001,Orders!$D$2:$D$2001,A16,Orders!$M$2:$M$2001,"West")</f>
        <v>108190.72</v>
      </c>
      <c r="H16">
        <f t="shared" si="0"/>
        <v>22</v>
      </c>
      <c r="I16" t="str">
        <f t="shared" si="1"/>
        <v>Sports Shoes</v>
      </c>
    </row>
    <row r="17" spans="1:9" ht="14.25" customHeight="1" x14ac:dyDescent="0.35">
      <c r="A17" s="10" t="s">
        <v>256</v>
      </c>
      <c r="B17" s="10" t="s">
        <v>2768</v>
      </c>
      <c r="C17" s="10" t="s">
        <v>2763</v>
      </c>
      <c r="D17" s="12">
        <v>396</v>
      </c>
      <c r="E17" s="12">
        <v>620</v>
      </c>
      <c r="F17" s="10" t="b">
        <f>TRUE()</f>
        <v>1</v>
      </c>
      <c r="G17">
        <f>SUMIFS(Orders!$I$2:$I$2001,Orders!$D$2:$D$2001,A17,Orders!$M$2:$M$2001,"West")</f>
        <v>12964.820000000002</v>
      </c>
      <c r="H17">
        <f t="shared" si="0"/>
        <v>56</v>
      </c>
      <c r="I17" t="str">
        <f t="shared" si="1"/>
        <v>Casual Sneakers</v>
      </c>
    </row>
    <row r="18" spans="1:9" ht="14.25" customHeight="1" x14ac:dyDescent="0.35">
      <c r="A18" s="10" t="s">
        <v>319</v>
      </c>
      <c r="B18" s="10" t="s">
        <v>2769</v>
      </c>
      <c r="C18" s="10" t="s">
        <v>2763</v>
      </c>
      <c r="D18" s="12">
        <v>1075</v>
      </c>
      <c r="E18" s="12">
        <v>2510</v>
      </c>
      <c r="F18" s="10" t="b">
        <f>FALSE()</f>
        <v>0</v>
      </c>
      <c r="G18">
        <f>SUMIFS(Orders!$I$2:$I$2001,Orders!$D$2:$D$2001,A18,Orders!$M$2:$M$2001,"West")</f>
        <v>84699.95</v>
      </c>
      <c r="H18">
        <f t="shared" si="0"/>
        <v>35</v>
      </c>
      <c r="I18" t="str">
        <f t="shared" si="1"/>
        <v>Silk Saree</v>
      </c>
    </row>
    <row r="19" spans="1:9" ht="14.25" customHeight="1" x14ac:dyDescent="0.35">
      <c r="A19" s="10" t="s">
        <v>623</v>
      </c>
      <c r="B19" s="10" t="s">
        <v>2770</v>
      </c>
      <c r="C19" s="10" t="s">
        <v>2763</v>
      </c>
      <c r="D19" s="12">
        <v>2629</v>
      </c>
      <c r="E19" s="12">
        <v>3560</v>
      </c>
      <c r="F19" s="10" t="b">
        <f>TRUE()</f>
        <v>1</v>
      </c>
      <c r="G19">
        <f>SUMIFS(Orders!$I$2:$I$2001,Orders!$D$2:$D$2001,A19,Orders!$M$2:$M$2001,"West")</f>
        <v>100288.76000000001</v>
      </c>
      <c r="H19">
        <f t="shared" si="0"/>
        <v>29</v>
      </c>
      <c r="I19" t="str">
        <f t="shared" si="1"/>
        <v>Kurta Set</v>
      </c>
    </row>
    <row r="20" spans="1:9" ht="14.25" customHeight="1" x14ac:dyDescent="0.35">
      <c r="A20" s="10" t="s">
        <v>131</v>
      </c>
      <c r="B20" s="10" t="s">
        <v>2771</v>
      </c>
      <c r="C20" s="10" t="s">
        <v>2763</v>
      </c>
      <c r="D20" s="12">
        <v>1173</v>
      </c>
      <c r="E20" s="12">
        <v>2480</v>
      </c>
      <c r="F20" s="10" t="b">
        <f>TRUE()</f>
        <v>1</v>
      </c>
      <c r="G20">
        <f>SUMIFS(Orders!$I$2:$I$2001,Orders!$D$2:$D$2001,A20,Orders!$M$2:$M$2001,"West")</f>
        <v>104993.28</v>
      </c>
      <c r="H20">
        <f t="shared" si="0"/>
        <v>24</v>
      </c>
      <c r="I20" t="str">
        <f t="shared" si="1"/>
        <v>Track Pants</v>
      </c>
    </row>
    <row r="21" spans="1:9" ht="14.25" customHeight="1" x14ac:dyDescent="0.35">
      <c r="A21" s="10" t="s">
        <v>55</v>
      </c>
      <c r="B21" s="10" t="s">
        <v>2772</v>
      </c>
      <c r="C21" s="10" t="s">
        <v>2763</v>
      </c>
      <c r="D21" s="12">
        <v>391</v>
      </c>
      <c r="E21" s="12">
        <v>820</v>
      </c>
      <c r="F21" s="10" t="b">
        <f>TRUE()</f>
        <v>1</v>
      </c>
      <c r="G21">
        <f>SUMIFS(Orders!$I$2:$I$2001,Orders!$D$2:$D$2001,A21,Orders!$M$2:$M$2001,"West")</f>
        <v>9173.34</v>
      </c>
      <c r="H21">
        <f t="shared" si="0"/>
        <v>57</v>
      </c>
      <c r="I21" t="str">
        <f t="shared" si="1"/>
        <v>Woolen Sweater</v>
      </c>
    </row>
    <row r="22" spans="1:9" ht="14.25" customHeight="1" x14ac:dyDescent="0.35">
      <c r="A22" s="10" t="s">
        <v>164</v>
      </c>
      <c r="B22" s="10" t="s">
        <v>2773</v>
      </c>
      <c r="C22" s="10" t="s">
        <v>2774</v>
      </c>
      <c r="D22" s="12">
        <v>1435</v>
      </c>
      <c r="E22" s="12">
        <v>2760</v>
      </c>
      <c r="F22" s="10" t="b">
        <f>TRUE()</f>
        <v>1</v>
      </c>
      <c r="G22">
        <f>SUMIFS(Orders!$I$2:$I$2001,Orders!$D$2:$D$2001,A22,Orders!$M$2:$M$2001,"West")</f>
        <v>90555.6</v>
      </c>
      <c r="H22">
        <f t="shared" si="0"/>
        <v>32</v>
      </c>
      <c r="I22" t="str">
        <f t="shared" si="1"/>
        <v>Basmati Rice 5kg</v>
      </c>
    </row>
    <row r="23" spans="1:9" ht="14.25" customHeight="1" x14ac:dyDescent="0.35">
      <c r="A23" s="10" t="s">
        <v>209</v>
      </c>
      <c r="B23" s="10" t="s">
        <v>2775</v>
      </c>
      <c r="C23" s="10" t="s">
        <v>2774</v>
      </c>
      <c r="D23" s="12">
        <v>1412</v>
      </c>
      <c r="E23" s="12">
        <v>2270</v>
      </c>
      <c r="F23" s="10" t="b">
        <f>TRUE()</f>
        <v>1</v>
      </c>
      <c r="G23">
        <f>SUMIFS(Orders!$I$2:$I$2001,Orders!$D$2:$D$2001,A23,Orders!$M$2:$M$2001,"West")</f>
        <v>66299.89</v>
      </c>
      <c r="H23">
        <f t="shared" si="0"/>
        <v>43</v>
      </c>
      <c r="I23" t="str">
        <f t="shared" si="1"/>
        <v>Wheat Flour 10kg</v>
      </c>
    </row>
    <row r="24" spans="1:9" ht="14.25" customHeight="1" x14ac:dyDescent="0.35">
      <c r="A24" s="10" t="s">
        <v>331</v>
      </c>
      <c r="B24" s="10" t="s">
        <v>2776</v>
      </c>
      <c r="C24" s="10" t="s">
        <v>2774</v>
      </c>
      <c r="D24" s="12">
        <v>1182</v>
      </c>
      <c r="E24" s="12">
        <v>2380</v>
      </c>
      <c r="F24" s="10" t="b">
        <f>TRUE()</f>
        <v>1</v>
      </c>
      <c r="G24">
        <f>SUMIFS(Orders!$I$2:$I$2001,Orders!$D$2:$D$2001,A24,Orders!$M$2:$M$2001,"West")</f>
        <v>84480.48000000001</v>
      </c>
      <c r="H24">
        <f t="shared" si="0"/>
        <v>36</v>
      </c>
      <c r="I24" t="str">
        <f t="shared" si="1"/>
        <v>Cooking Oil 5L</v>
      </c>
    </row>
    <row r="25" spans="1:9" ht="14.25" customHeight="1" x14ac:dyDescent="0.35">
      <c r="A25" s="10" t="s">
        <v>95</v>
      </c>
      <c r="B25" s="10" t="s">
        <v>2777</v>
      </c>
      <c r="C25" s="10" t="s">
        <v>2774</v>
      </c>
      <c r="D25" s="12">
        <v>1203</v>
      </c>
      <c r="E25" s="12">
        <v>2270</v>
      </c>
      <c r="F25" s="10" t="b">
        <f>TRUE()</f>
        <v>1</v>
      </c>
      <c r="G25">
        <f>SUMIFS(Orders!$I$2:$I$2001,Orders!$D$2:$D$2001,A25,Orders!$M$2:$M$2001,"West")</f>
        <v>77055.150000000009</v>
      </c>
      <c r="H25">
        <f t="shared" si="0"/>
        <v>38</v>
      </c>
      <c r="I25" t="str">
        <f t="shared" si="1"/>
        <v>Turmeric Powder 500g</v>
      </c>
    </row>
    <row r="26" spans="1:9" ht="14.25" customHeight="1" x14ac:dyDescent="0.35">
      <c r="A26" s="10" t="s">
        <v>315</v>
      </c>
      <c r="B26" s="10" t="s">
        <v>2778</v>
      </c>
      <c r="C26" s="10" t="s">
        <v>2774</v>
      </c>
      <c r="D26" s="12">
        <v>2911</v>
      </c>
      <c r="E26" s="12">
        <v>4060</v>
      </c>
      <c r="F26" s="10" t="b">
        <f>TRUE()</f>
        <v>1</v>
      </c>
      <c r="G26">
        <f>SUMIFS(Orders!$I$2:$I$2001,Orders!$D$2:$D$2001,A26,Orders!$M$2:$M$2001,"West")</f>
        <v>190994.58000000002</v>
      </c>
      <c r="H26">
        <f t="shared" si="0"/>
        <v>6</v>
      </c>
      <c r="I26" t="str">
        <f t="shared" si="1"/>
        <v>Chili Powder 500g</v>
      </c>
    </row>
    <row r="27" spans="1:9" ht="14.25" customHeight="1" x14ac:dyDescent="0.35">
      <c r="A27" s="10" t="s">
        <v>228</v>
      </c>
      <c r="B27" s="10" t="s">
        <v>2779</v>
      </c>
      <c r="C27" s="10" t="s">
        <v>2774</v>
      </c>
      <c r="D27" s="12">
        <v>2027</v>
      </c>
      <c r="E27" s="12">
        <v>4070</v>
      </c>
      <c r="F27" s="10" t="b">
        <f>TRUE()</f>
        <v>1</v>
      </c>
      <c r="G27">
        <f>SUMIFS(Orders!$I$2:$I$2001,Orders!$D$2:$D$2001,A27,Orders!$M$2:$M$2001,"West")</f>
        <v>179739.34</v>
      </c>
      <c r="H27">
        <f t="shared" si="0"/>
        <v>7</v>
      </c>
      <c r="I27" t="str">
        <f t="shared" si="1"/>
        <v>Sugar 5kg</v>
      </c>
    </row>
    <row r="28" spans="1:9" ht="14.25" customHeight="1" x14ac:dyDescent="0.35">
      <c r="A28" s="10" t="s">
        <v>198</v>
      </c>
      <c r="B28" s="10" t="s">
        <v>2780</v>
      </c>
      <c r="C28" s="10" t="s">
        <v>2774</v>
      </c>
      <c r="D28" s="12">
        <v>2436</v>
      </c>
      <c r="E28" s="12">
        <v>3780</v>
      </c>
      <c r="F28" s="10" t="b">
        <f>TRUE()</f>
        <v>1</v>
      </c>
      <c r="G28">
        <f>SUMIFS(Orders!$I$2:$I$2001,Orders!$D$2:$D$2001,A28,Orders!$M$2:$M$2001,"West")</f>
        <v>39599.279999999999</v>
      </c>
      <c r="H28">
        <f t="shared" si="0"/>
        <v>47</v>
      </c>
      <c r="I28" t="str">
        <f t="shared" si="1"/>
        <v>Tea Leaves 1kg</v>
      </c>
    </row>
    <row r="29" spans="1:9" ht="14.25" customHeight="1" x14ac:dyDescent="0.35">
      <c r="A29" s="10" t="s">
        <v>66</v>
      </c>
      <c r="B29" s="10" t="s">
        <v>2781</v>
      </c>
      <c r="C29" s="10" t="s">
        <v>2774</v>
      </c>
      <c r="D29" s="12">
        <v>2214</v>
      </c>
      <c r="E29" s="12">
        <v>3660</v>
      </c>
      <c r="F29" s="10" t="b">
        <f>FALSE()</f>
        <v>0</v>
      </c>
      <c r="G29">
        <f>SUMIFS(Orders!$I$2:$I$2001,Orders!$D$2:$D$2001,A29,Orders!$M$2:$M$2001,"West")</f>
        <v>112574.28</v>
      </c>
      <c r="H29">
        <f t="shared" si="0"/>
        <v>19</v>
      </c>
      <c r="I29" t="str">
        <f t="shared" si="1"/>
        <v>Coffee Beans 500g</v>
      </c>
    </row>
    <row r="30" spans="1:9" ht="14.25" customHeight="1" x14ac:dyDescent="0.35">
      <c r="A30" s="10" t="s">
        <v>302</v>
      </c>
      <c r="B30" s="10" t="s">
        <v>2782</v>
      </c>
      <c r="C30" s="10" t="s">
        <v>2774</v>
      </c>
      <c r="D30" s="12">
        <v>1010</v>
      </c>
      <c r="E30" s="12">
        <v>2210</v>
      </c>
      <c r="F30" s="10" t="b">
        <f>TRUE()</f>
        <v>1</v>
      </c>
      <c r="G30">
        <f>SUMIFS(Orders!$I$2:$I$2001,Orders!$D$2:$D$2001,A30,Orders!$M$2:$M$2001,"West")</f>
        <v>118562.08</v>
      </c>
      <c r="H30">
        <f t="shared" si="0"/>
        <v>18</v>
      </c>
      <c r="I30" t="str">
        <f t="shared" si="1"/>
        <v>Ghee 1L</v>
      </c>
    </row>
    <row r="31" spans="1:9" ht="14.25" customHeight="1" x14ac:dyDescent="0.35">
      <c r="A31" s="10" t="s">
        <v>91</v>
      </c>
      <c r="B31" s="10" t="s">
        <v>2783</v>
      </c>
      <c r="C31" s="10" t="s">
        <v>2774</v>
      </c>
      <c r="D31" s="12">
        <v>434</v>
      </c>
      <c r="E31" s="12">
        <v>970</v>
      </c>
      <c r="F31" s="10" t="b">
        <f>TRUE()</f>
        <v>1</v>
      </c>
      <c r="G31">
        <f>SUMIFS(Orders!$I$2:$I$2001,Orders!$D$2:$D$2001,A31,Orders!$M$2:$M$2001,"West")</f>
        <v>37405.14</v>
      </c>
      <c r="H31">
        <f t="shared" si="0"/>
        <v>49</v>
      </c>
      <c r="I31" t="str">
        <f t="shared" si="1"/>
        <v>Salt 1kg</v>
      </c>
    </row>
    <row r="32" spans="1:9" ht="14.25" customHeight="1" x14ac:dyDescent="0.35">
      <c r="A32" s="10" t="s">
        <v>190</v>
      </c>
      <c r="B32" s="10" t="s">
        <v>2784</v>
      </c>
      <c r="C32" s="10" t="s">
        <v>2785</v>
      </c>
      <c r="D32" s="12">
        <v>2135</v>
      </c>
      <c r="E32" s="12">
        <v>3730</v>
      </c>
      <c r="F32" s="10" t="b">
        <f>TRUE()</f>
        <v>1</v>
      </c>
      <c r="G32">
        <f>SUMIFS(Orders!$I$2:$I$2001,Orders!$D$2:$D$2001,A32,Orders!$M$2:$M$2001,"West")</f>
        <v>102321.36</v>
      </c>
      <c r="H32">
        <f t="shared" si="0"/>
        <v>27</v>
      </c>
      <c r="I32" t="str">
        <f t="shared" si="1"/>
        <v>Bed Sheet Set</v>
      </c>
    </row>
    <row r="33" spans="1:9" ht="14.25" customHeight="1" x14ac:dyDescent="0.35">
      <c r="A33" s="10" t="s">
        <v>74</v>
      </c>
      <c r="B33" s="10" t="s">
        <v>2786</v>
      </c>
      <c r="C33" s="10" t="s">
        <v>2785</v>
      </c>
      <c r="D33" s="12">
        <v>288</v>
      </c>
      <c r="E33" s="12">
        <v>370</v>
      </c>
      <c r="F33" s="10" t="b">
        <f>TRUE()</f>
        <v>1</v>
      </c>
      <c r="G33">
        <f>SUMIFS(Orders!$I$2:$I$2001,Orders!$D$2:$D$2001,A33,Orders!$M$2:$M$2001,"West")</f>
        <v>20402.170000000002</v>
      </c>
      <c r="H33">
        <f t="shared" si="0"/>
        <v>53</v>
      </c>
      <c r="I33" t="str">
        <f t="shared" si="1"/>
        <v>Pillow Cover Pair</v>
      </c>
    </row>
    <row r="34" spans="1:9" ht="14.25" customHeight="1" x14ac:dyDescent="0.35">
      <c r="A34" s="10" t="s">
        <v>259</v>
      </c>
      <c r="B34" s="10" t="s">
        <v>2787</v>
      </c>
      <c r="C34" s="10" t="s">
        <v>2785</v>
      </c>
      <c r="D34" s="12">
        <v>1143</v>
      </c>
      <c r="E34" s="12">
        <v>2030</v>
      </c>
      <c r="F34" s="10" t="b">
        <f>TRUE()</f>
        <v>1</v>
      </c>
      <c r="G34">
        <f>SUMIFS(Orders!$I$2:$I$2001,Orders!$D$2:$D$2001,A34,Orders!$M$2:$M$2001,"West")</f>
        <v>137585.28</v>
      </c>
      <c r="H34">
        <f t="shared" ref="H34:H65" si="2">RANK(G34,$G$2:$G$61,0)</f>
        <v>14</v>
      </c>
      <c r="I34" t="str">
        <f t="shared" ref="I34:I60" si="3">B34</f>
        <v>Curtain Set</v>
      </c>
    </row>
    <row r="35" spans="1:9" ht="14.25" customHeight="1" x14ac:dyDescent="0.35">
      <c r="A35" s="10" t="s">
        <v>407</v>
      </c>
      <c r="B35" s="10" t="s">
        <v>2788</v>
      </c>
      <c r="C35" s="10" t="s">
        <v>2785</v>
      </c>
      <c r="D35" s="12">
        <v>2459</v>
      </c>
      <c r="E35" s="12">
        <v>5080</v>
      </c>
      <c r="F35" s="10" t="b">
        <f>TRUE()</f>
        <v>1</v>
      </c>
      <c r="G35">
        <f>SUMIFS(Orders!$I$2:$I$2001,Orders!$D$2:$D$2001,A35,Orders!$M$2:$M$2001,"West")</f>
        <v>221112.07999999996</v>
      </c>
      <c r="H35">
        <f t="shared" si="2"/>
        <v>4</v>
      </c>
      <c r="I35" t="str">
        <f t="shared" si="3"/>
        <v>Kitchen Towel Set</v>
      </c>
    </row>
    <row r="36" spans="1:9" ht="14.25" customHeight="1" x14ac:dyDescent="0.35">
      <c r="A36" s="10" t="s">
        <v>466</v>
      </c>
      <c r="B36" s="10" t="s">
        <v>2789</v>
      </c>
      <c r="C36" s="10" t="s">
        <v>2785</v>
      </c>
      <c r="D36" s="12">
        <v>464</v>
      </c>
      <c r="E36" s="12">
        <v>1090</v>
      </c>
      <c r="F36" s="10" t="b">
        <f>TRUE()</f>
        <v>1</v>
      </c>
      <c r="G36">
        <f>SUMIFS(Orders!$I$2:$I$2001,Orders!$D$2:$D$2001,A36,Orders!$M$2:$M$2001,"West")</f>
        <v>26929.54</v>
      </c>
      <c r="H36">
        <f t="shared" si="2"/>
        <v>51</v>
      </c>
      <c r="I36" t="str">
        <f t="shared" si="3"/>
        <v>Doormat</v>
      </c>
    </row>
    <row r="37" spans="1:9" ht="14.25" customHeight="1" x14ac:dyDescent="0.35">
      <c r="A37" s="10" t="s">
        <v>107</v>
      </c>
      <c r="B37" s="10" t="s">
        <v>2790</v>
      </c>
      <c r="C37" s="10" t="s">
        <v>2785</v>
      </c>
      <c r="D37" s="12">
        <v>1556</v>
      </c>
      <c r="E37" s="12">
        <v>3250</v>
      </c>
      <c r="F37" s="10" t="b">
        <f>TRUE()</f>
        <v>1</v>
      </c>
      <c r="G37">
        <f>SUMIFS(Orders!$I$2:$I$2001,Orders!$D$2:$D$2001,A37,Orders!$M$2:$M$2001,"West")</f>
        <v>88426</v>
      </c>
      <c r="H37">
        <f t="shared" si="2"/>
        <v>33</v>
      </c>
      <c r="I37" t="str">
        <f t="shared" si="3"/>
        <v>Wall Clock</v>
      </c>
    </row>
    <row r="38" spans="1:9" ht="14.25" customHeight="1" x14ac:dyDescent="0.35">
      <c r="A38" s="10" t="s">
        <v>167</v>
      </c>
      <c r="B38" s="10" t="s">
        <v>2791</v>
      </c>
      <c r="C38" s="10" t="s">
        <v>2785</v>
      </c>
      <c r="D38" s="12">
        <v>329</v>
      </c>
      <c r="E38" s="12">
        <v>660</v>
      </c>
      <c r="F38" s="10" t="b">
        <f>TRUE()</f>
        <v>1</v>
      </c>
      <c r="G38">
        <f>SUMIFS(Orders!$I$2:$I$2001,Orders!$D$2:$D$2001,A38,Orders!$M$2:$M$2001,"West")</f>
        <v>13841.52</v>
      </c>
      <c r="H38">
        <f t="shared" si="2"/>
        <v>55</v>
      </c>
      <c r="I38" t="str">
        <f t="shared" si="3"/>
        <v>Table Lamp</v>
      </c>
    </row>
    <row r="39" spans="1:9" ht="14.25" customHeight="1" x14ac:dyDescent="0.35">
      <c r="A39" s="10" t="s">
        <v>88</v>
      </c>
      <c r="B39" s="10" t="s">
        <v>2792</v>
      </c>
      <c r="C39" s="10" t="s">
        <v>2785</v>
      </c>
      <c r="D39" s="12">
        <v>2549</v>
      </c>
      <c r="E39" s="12">
        <v>5490</v>
      </c>
      <c r="F39" s="10" t="b">
        <f>TRUE()</f>
        <v>1</v>
      </c>
      <c r="G39">
        <f>SUMIFS(Orders!$I$2:$I$2001,Orders!$D$2:$D$2001,A39,Orders!$M$2:$M$2001,"West")</f>
        <v>119445.93</v>
      </c>
      <c r="H39">
        <f t="shared" si="2"/>
        <v>17</v>
      </c>
      <c r="I39" t="str">
        <f t="shared" si="3"/>
        <v>Storage Box</v>
      </c>
    </row>
    <row r="40" spans="1:9" ht="14.25" customHeight="1" x14ac:dyDescent="0.35">
      <c r="A40" s="10" t="s">
        <v>234</v>
      </c>
      <c r="B40" s="10" t="s">
        <v>2793</v>
      </c>
      <c r="C40" s="10" t="s">
        <v>2785</v>
      </c>
      <c r="D40" s="12">
        <v>1850</v>
      </c>
      <c r="E40" s="12">
        <v>4610</v>
      </c>
      <c r="F40" s="10" t="b">
        <f>TRUE()</f>
        <v>1</v>
      </c>
      <c r="G40">
        <f>SUMIFS(Orders!$I$2:$I$2001,Orders!$D$2:$D$2001,A40,Orders!$M$2:$M$2001,"West")</f>
        <v>177512.66</v>
      </c>
      <c r="H40">
        <f t="shared" si="2"/>
        <v>8</v>
      </c>
      <c r="I40" t="str">
        <f t="shared" si="3"/>
        <v>Photo Frame</v>
      </c>
    </row>
    <row r="41" spans="1:9" ht="14.25" customHeight="1" x14ac:dyDescent="0.35">
      <c r="A41" s="10" t="s">
        <v>128</v>
      </c>
      <c r="B41" s="10" t="s">
        <v>2794</v>
      </c>
      <c r="C41" s="10" t="s">
        <v>2785</v>
      </c>
      <c r="D41" s="12">
        <v>519</v>
      </c>
      <c r="E41" s="12">
        <v>1080</v>
      </c>
      <c r="F41" s="10" t="b">
        <f>TRUE()</f>
        <v>1</v>
      </c>
      <c r="G41">
        <f>SUMIFS(Orders!$I$2:$I$2001,Orders!$D$2:$D$2001,A41,Orders!$M$2:$M$2001,"West")</f>
        <v>47831.039999999994</v>
      </c>
      <c r="H41">
        <f t="shared" si="2"/>
        <v>46</v>
      </c>
      <c r="I41" t="str">
        <f t="shared" si="3"/>
        <v>Cushion Cover</v>
      </c>
    </row>
    <row r="42" spans="1:9" ht="14.25" customHeight="1" x14ac:dyDescent="0.35">
      <c r="A42" s="10" t="s">
        <v>223</v>
      </c>
      <c r="B42" s="10" t="s">
        <v>2795</v>
      </c>
      <c r="C42" s="10" t="s">
        <v>2796</v>
      </c>
      <c r="D42" s="12">
        <v>647</v>
      </c>
      <c r="E42" s="12">
        <v>1540</v>
      </c>
      <c r="F42" s="10" t="b">
        <f>FALSE()</f>
        <v>0</v>
      </c>
      <c r="G42">
        <f>SUMIFS(Orders!$I$2:$I$2001,Orders!$D$2:$D$2001,A42,Orders!$M$2:$M$2001,"West")</f>
        <v>80488.099999999991</v>
      </c>
      <c r="H42">
        <f t="shared" si="2"/>
        <v>37</v>
      </c>
      <c r="I42" t="str">
        <f t="shared" si="3"/>
        <v>Face Wash 100ml</v>
      </c>
    </row>
    <row r="43" spans="1:9" ht="14.25" customHeight="1" x14ac:dyDescent="0.35">
      <c r="A43" s="10" t="s">
        <v>350</v>
      </c>
      <c r="B43" s="10" t="s">
        <v>2797</v>
      </c>
      <c r="C43" s="10" t="s">
        <v>2796</v>
      </c>
      <c r="D43" s="12">
        <v>1219</v>
      </c>
      <c r="E43" s="12">
        <v>2290</v>
      </c>
      <c r="F43" s="10" t="b">
        <f>TRUE()</f>
        <v>1</v>
      </c>
      <c r="G43">
        <f>SUMIFS(Orders!$I$2:$I$2001,Orders!$D$2:$D$2001,A43,Orders!$M$2:$M$2001,"West")</f>
        <v>138799.19000000003</v>
      </c>
      <c r="H43">
        <f t="shared" si="2"/>
        <v>13</v>
      </c>
      <c r="I43" t="str">
        <f t="shared" si="3"/>
        <v>Moisturizer 200ml</v>
      </c>
    </row>
    <row r="44" spans="1:9" ht="14.25" customHeight="1" x14ac:dyDescent="0.35">
      <c r="A44" s="10" t="s">
        <v>143</v>
      </c>
      <c r="B44" s="10" t="s">
        <v>2798</v>
      </c>
      <c r="C44" s="10" t="s">
        <v>2796</v>
      </c>
      <c r="D44" s="12">
        <v>1728</v>
      </c>
      <c r="E44" s="12">
        <v>3350</v>
      </c>
      <c r="F44" s="10" t="b">
        <f>TRUE()</f>
        <v>1</v>
      </c>
      <c r="G44">
        <f>SUMIFS(Orders!$I$2:$I$2001,Orders!$D$2:$D$2001,A44,Orders!$M$2:$M$2001,"West")</f>
        <v>104386</v>
      </c>
      <c r="H44">
        <f t="shared" si="2"/>
        <v>25</v>
      </c>
      <c r="I44" t="str">
        <f t="shared" si="3"/>
        <v>Shampoo 500ml</v>
      </c>
    </row>
    <row r="45" spans="1:9" ht="14.25" customHeight="1" x14ac:dyDescent="0.35">
      <c r="A45" s="10" t="s">
        <v>140</v>
      </c>
      <c r="B45" s="10" t="s">
        <v>2799</v>
      </c>
      <c r="C45" s="10" t="s">
        <v>2796</v>
      </c>
      <c r="D45" s="12">
        <v>1222</v>
      </c>
      <c r="E45" s="12">
        <v>1650</v>
      </c>
      <c r="F45" s="10" t="b">
        <f>TRUE()</f>
        <v>1</v>
      </c>
      <c r="G45">
        <f>SUMIFS(Orders!$I$2:$I$2001,Orders!$D$2:$D$2001,A45,Orders!$M$2:$M$2001,"West")</f>
        <v>68328.149999999994</v>
      </c>
      <c r="H45">
        <f t="shared" si="2"/>
        <v>41</v>
      </c>
      <c r="I45" t="str">
        <f t="shared" si="3"/>
        <v>Conditioner 500ml</v>
      </c>
    </row>
    <row r="46" spans="1:9" ht="14.25" customHeight="1" x14ac:dyDescent="0.35">
      <c r="A46" s="10" t="s">
        <v>240</v>
      </c>
      <c r="B46" s="10" t="s">
        <v>2800</v>
      </c>
      <c r="C46" s="10" t="s">
        <v>2796</v>
      </c>
      <c r="D46" s="12">
        <v>1626</v>
      </c>
      <c r="E46" s="12">
        <v>3020</v>
      </c>
      <c r="F46" s="10" t="b">
        <f>TRUE()</f>
        <v>1</v>
      </c>
      <c r="G46">
        <f>SUMIFS(Orders!$I$2:$I$2001,Orders!$D$2:$D$2001,A46,Orders!$M$2:$M$2001,"West")</f>
        <v>102894.42000000001</v>
      </c>
      <c r="H46">
        <f t="shared" si="2"/>
        <v>26</v>
      </c>
      <c r="I46" t="str">
        <f t="shared" si="3"/>
        <v>Body Lotion 400ml</v>
      </c>
    </row>
    <row r="47" spans="1:9" ht="14.25" customHeight="1" x14ac:dyDescent="0.35">
      <c r="A47" s="10" t="s">
        <v>148</v>
      </c>
      <c r="B47" s="10" t="s">
        <v>2801</v>
      </c>
      <c r="C47" s="10" t="s">
        <v>2796</v>
      </c>
      <c r="D47" s="12">
        <v>2768</v>
      </c>
      <c r="E47" s="12">
        <v>4880</v>
      </c>
      <c r="F47" s="10" t="b">
        <f>TRUE()</f>
        <v>1</v>
      </c>
      <c r="G47">
        <f>SUMIFS(Orders!$I$2:$I$2001,Orders!$D$2:$D$2001,A47,Orders!$M$2:$M$2001,"West")</f>
        <v>100035.12</v>
      </c>
      <c r="H47">
        <f t="shared" si="2"/>
        <v>30</v>
      </c>
      <c r="I47" t="str">
        <f t="shared" si="3"/>
        <v>Sunscreen SPF50</v>
      </c>
    </row>
    <row r="48" spans="1:9" ht="14.25" customHeight="1" x14ac:dyDescent="0.35">
      <c r="A48" s="10" t="s">
        <v>121</v>
      </c>
      <c r="B48" s="10" t="s">
        <v>2802</v>
      </c>
      <c r="C48" s="10" t="s">
        <v>2796</v>
      </c>
      <c r="D48" s="12">
        <v>2420</v>
      </c>
      <c r="E48" s="12">
        <v>3450</v>
      </c>
      <c r="F48" s="10" t="b">
        <f>TRUE()</f>
        <v>1</v>
      </c>
      <c r="G48">
        <f>SUMIFS(Orders!$I$2:$I$2001,Orders!$D$2:$D$2001,A48,Orders!$M$2:$M$2001,"West")</f>
        <v>167780.4</v>
      </c>
      <c r="H48">
        <f t="shared" si="2"/>
        <v>9</v>
      </c>
      <c r="I48" t="str">
        <f t="shared" si="3"/>
        <v>Lipstick</v>
      </c>
    </row>
    <row r="49" spans="1:9" ht="14.25" customHeight="1" x14ac:dyDescent="0.35">
      <c r="A49" s="10" t="s">
        <v>155</v>
      </c>
      <c r="B49" s="10" t="s">
        <v>2803</v>
      </c>
      <c r="C49" s="10" t="s">
        <v>2796</v>
      </c>
      <c r="D49" s="12">
        <v>2237</v>
      </c>
      <c r="E49" s="12">
        <v>5100</v>
      </c>
      <c r="F49" s="10" t="b">
        <f>TRUE()</f>
        <v>1</v>
      </c>
      <c r="G49">
        <f>SUMIFS(Orders!$I$2:$I$2001,Orders!$D$2:$D$2001,A49,Orders!$M$2:$M$2001,"West")</f>
        <v>244351.19999999998</v>
      </c>
      <c r="H49">
        <f t="shared" si="2"/>
        <v>3</v>
      </c>
      <c r="I49" t="str">
        <f t="shared" si="3"/>
        <v>Kajal</v>
      </c>
    </row>
    <row r="50" spans="1:9" ht="14.25" customHeight="1" x14ac:dyDescent="0.35">
      <c r="A50" s="10" t="s">
        <v>344</v>
      </c>
      <c r="B50" s="10" t="s">
        <v>2804</v>
      </c>
      <c r="C50" s="10" t="s">
        <v>2796</v>
      </c>
      <c r="D50" s="12">
        <v>675</v>
      </c>
      <c r="E50" s="12">
        <v>960</v>
      </c>
      <c r="F50" s="10" t="b">
        <f>TRUE()</f>
        <v>1</v>
      </c>
      <c r="G50">
        <f>SUMIFS(Orders!$I$2:$I$2001,Orders!$D$2:$D$2001,A50,Orders!$M$2:$M$2001,"West")</f>
        <v>56751.360000000008</v>
      </c>
      <c r="H50">
        <f t="shared" si="2"/>
        <v>45</v>
      </c>
      <c r="I50" t="str">
        <f t="shared" si="3"/>
        <v>Hair Oil 200ml</v>
      </c>
    </row>
    <row r="51" spans="1:9" ht="14.25" customHeight="1" x14ac:dyDescent="0.35">
      <c r="A51" s="10" t="s">
        <v>205</v>
      </c>
      <c r="B51" s="10" t="s">
        <v>2805</v>
      </c>
      <c r="C51" s="10" t="s">
        <v>2796</v>
      </c>
      <c r="D51" s="12">
        <v>2617</v>
      </c>
      <c r="E51" s="12">
        <v>6080</v>
      </c>
      <c r="F51" s="10" t="b">
        <f>TRUE()</f>
        <v>1</v>
      </c>
      <c r="G51">
        <f>SUMIFS(Orders!$I$2:$I$2001,Orders!$D$2:$D$2001,A51,Orders!$M$2:$M$2001,"West")</f>
        <v>124646.07999999999</v>
      </c>
      <c r="H51">
        <f t="shared" si="2"/>
        <v>15</v>
      </c>
      <c r="I51" t="str">
        <f t="shared" si="3"/>
        <v>Perfume 100ml</v>
      </c>
    </row>
    <row r="52" spans="1:9" ht="14.25" customHeight="1" x14ac:dyDescent="0.35">
      <c r="A52" s="10" t="s">
        <v>125</v>
      </c>
      <c r="B52" s="10" t="s">
        <v>2806</v>
      </c>
      <c r="C52" s="10" t="s">
        <v>2807</v>
      </c>
      <c r="D52" s="12">
        <v>2467</v>
      </c>
      <c r="E52" s="12">
        <v>3450</v>
      </c>
      <c r="F52" s="10" t="b">
        <f>TRUE()</f>
        <v>1</v>
      </c>
      <c r="G52">
        <f>SUMIFS(Orders!$I$2:$I$2001,Orders!$D$2:$D$2001,A52,Orders!$M$2:$M$2001,"West")</f>
        <v>109233.90000000001</v>
      </c>
      <c r="H52">
        <f t="shared" si="2"/>
        <v>21</v>
      </c>
      <c r="I52" t="str">
        <f t="shared" si="3"/>
        <v>Yoga Mat</v>
      </c>
    </row>
    <row r="53" spans="1:9" ht="14.25" customHeight="1" x14ac:dyDescent="0.35">
      <c r="A53" s="10" t="s">
        <v>324</v>
      </c>
      <c r="B53" s="10" t="s">
        <v>2808</v>
      </c>
      <c r="C53" s="10" t="s">
        <v>2807</v>
      </c>
      <c r="D53" s="12">
        <v>2265</v>
      </c>
      <c r="E53" s="12">
        <v>5410</v>
      </c>
      <c r="F53" s="10" t="b">
        <f>TRUE()</f>
        <v>1</v>
      </c>
      <c r="G53">
        <f>SUMIFS(Orders!$I$2:$I$2001,Orders!$D$2:$D$2001,A53,Orders!$M$2:$M$2001,"West")</f>
        <v>74614.720000000001</v>
      </c>
      <c r="H53">
        <f t="shared" si="2"/>
        <v>39</v>
      </c>
      <c r="I53" t="str">
        <f t="shared" si="3"/>
        <v>Dumbbells 5kg</v>
      </c>
    </row>
    <row r="54" spans="1:9" ht="14.25" customHeight="1" x14ac:dyDescent="0.35">
      <c r="A54" s="10" t="s">
        <v>61</v>
      </c>
      <c r="B54" s="10" t="s">
        <v>2809</v>
      </c>
      <c r="C54" s="10" t="s">
        <v>2807</v>
      </c>
      <c r="D54" s="12">
        <v>302</v>
      </c>
      <c r="E54" s="12">
        <v>470</v>
      </c>
      <c r="F54" s="10" t="b">
        <f>FALSE()</f>
        <v>0</v>
      </c>
      <c r="G54">
        <f>SUMIFS(Orders!$I$2:$I$2001,Orders!$D$2:$D$2001,A54,Orders!$M$2:$M$2001,"West")</f>
        <v>21160.81</v>
      </c>
      <c r="H54">
        <f t="shared" si="2"/>
        <v>52</v>
      </c>
      <c r="I54" t="str">
        <f t="shared" si="3"/>
        <v>Skipping Rope</v>
      </c>
    </row>
    <row r="55" spans="1:9" ht="14.25" customHeight="1" x14ac:dyDescent="0.35">
      <c r="A55" s="10" t="s">
        <v>146</v>
      </c>
      <c r="B55" s="10" t="s">
        <v>2810</v>
      </c>
      <c r="C55" s="10" t="s">
        <v>2807</v>
      </c>
      <c r="D55" s="12">
        <v>516</v>
      </c>
      <c r="E55" s="12">
        <v>1010</v>
      </c>
      <c r="F55" s="10" t="b">
        <f>TRUE()</f>
        <v>1</v>
      </c>
      <c r="G55">
        <f>SUMIFS(Orders!$I$2:$I$2001,Orders!$D$2:$D$2001,A55,Orders!$M$2:$M$2001,"West")</f>
        <v>19529.36</v>
      </c>
      <c r="H55">
        <f t="shared" si="2"/>
        <v>54</v>
      </c>
      <c r="I55" t="str">
        <f t="shared" si="3"/>
        <v>Cricket Bat</v>
      </c>
    </row>
    <row r="56" spans="1:9" ht="14.25" customHeight="1" x14ac:dyDescent="0.35">
      <c r="A56" s="10" t="s">
        <v>159</v>
      </c>
      <c r="B56" s="10" t="s">
        <v>2811</v>
      </c>
      <c r="C56" s="10" t="s">
        <v>2807</v>
      </c>
      <c r="D56" s="12">
        <v>2028</v>
      </c>
      <c r="E56" s="12">
        <v>2860</v>
      </c>
      <c r="F56" s="10" t="b">
        <f>TRUE()</f>
        <v>1</v>
      </c>
      <c r="G56">
        <f>SUMIFS(Orders!$I$2:$I$2001,Orders!$D$2:$D$2001,A56,Orders!$M$2:$M$2001,"West")</f>
        <v>109566.6</v>
      </c>
      <c r="H56">
        <f t="shared" si="2"/>
        <v>20</v>
      </c>
      <c r="I56" t="str">
        <f t="shared" si="3"/>
        <v>Football Size 5</v>
      </c>
    </row>
    <row r="57" spans="1:9" ht="14.25" customHeight="1" x14ac:dyDescent="0.35">
      <c r="A57" s="10" t="s">
        <v>479</v>
      </c>
      <c r="B57" s="10" t="s">
        <v>2812</v>
      </c>
      <c r="C57" s="10" t="s">
        <v>2807</v>
      </c>
      <c r="D57" s="12">
        <v>2827</v>
      </c>
      <c r="E57" s="12">
        <v>6940</v>
      </c>
      <c r="F57" s="10" t="b">
        <f>TRUE()</f>
        <v>1</v>
      </c>
      <c r="G57">
        <f>SUMIFS(Orders!$I$2:$I$2001,Orders!$D$2:$D$2001,A57,Orders!$M$2:$M$2001,"West")</f>
        <v>260395.73999999996</v>
      </c>
      <c r="H57">
        <f t="shared" si="2"/>
        <v>1</v>
      </c>
      <c r="I57" t="str">
        <f t="shared" si="3"/>
        <v>Badminton Racket</v>
      </c>
    </row>
    <row r="58" spans="1:9" ht="14.25" customHeight="1" x14ac:dyDescent="0.35">
      <c r="A58" s="10" t="s">
        <v>79</v>
      </c>
      <c r="B58" s="10" t="s">
        <v>2813</v>
      </c>
      <c r="C58" s="10" t="s">
        <v>2807</v>
      </c>
      <c r="D58" s="12">
        <v>705</v>
      </c>
      <c r="E58" s="12">
        <v>960</v>
      </c>
      <c r="F58" s="10" t="b">
        <f>TRUE()</f>
        <v>1</v>
      </c>
      <c r="G58">
        <f>SUMIFS(Orders!$I$2:$I$2001,Orders!$D$2:$D$2001,A58,Orders!$M$2:$M$2001,"West")</f>
        <v>32451.840000000004</v>
      </c>
      <c r="H58">
        <f t="shared" si="2"/>
        <v>50</v>
      </c>
      <c r="I58" t="str">
        <f t="shared" si="3"/>
        <v>Tennis Ball Pack</v>
      </c>
    </row>
    <row r="59" spans="1:9" ht="14.25" customHeight="1" x14ac:dyDescent="0.35">
      <c r="A59" s="10" t="s">
        <v>115</v>
      </c>
      <c r="B59" s="10" t="s">
        <v>2814</v>
      </c>
      <c r="C59" s="10" t="s">
        <v>2807</v>
      </c>
      <c r="D59" s="12">
        <v>974</v>
      </c>
      <c r="E59" s="12">
        <v>2400</v>
      </c>
      <c r="F59" s="10" t="b">
        <f>TRUE()</f>
        <v>1</v>
      </c>
      <c r="G59">
        <f>SUMIFS(Orders!$I$2:$I$2001,Orders!$D$2:$D$2001,A59,Orders!$M$2:$M$2001,"West")</f>
        <v>71772</v>
      </c>
      <c r="H59">
        <f t="shared" si="2"/>
        <v>40</v>
      </c>
      <c r="I59" t="str">
        <f t="shared" si="3"/>
        <v>Cycling Helmet</v>
      </c>
    </row>
    <row r="60" spans="1:9" ht="14.25" customHeight="1" x14ac:dyDescent="0.35">
      <c r="A60" s="10" t="s">
        <v>425</v>
      </c>
      <c r="B60" s="10" t="s">
        <v>2815</v>
      </c>
      <c r="C60" s="10" t="s">
        <v>2807</v>
      </c>
      <c r="D60" s="12">
        <v>1860</v>
      </c>
      <c r="E60" s="12">
        <v>3780</v>
      </c>
      <c r="F60" s="10" t="b">
        <f>TRUE()</f>
        <v>1</v>
      </c>
      <c r="G60">
        <f>SUMIFS(Orders!$I$2:$I$2001,Orders!$D$2:$D$2001,A60,Orders!$M$2:$M$2001,"West")</f>
        <v>150054.66</v>
      </c>
      <c r="H60">
        <f t="shared" si="2"/>
        <v>11</v>
      </c>
      <c r="I60" t="str">
        <f t="shared" si="3"/>
        <v>Water Bottle 1L</v>
      </c>
    </row>
    <row r="61" spans="1:9" ht="14.25" customHeight="1" x14ac:dyDescent="0.35">
      <c r="A61" s="10" t="s">
        <v>111</v>
      </c>
      <c r="B61" s="10" t="s">
        <v>2816</v>
      </c>
      <c r="C61" s="10" t="s">
        <v>2807</v>
      </c>
      <c r="D61" s="12">
        <v>147</v>
      </c>
      <c r="E61" s="12">
        <v>190</v>
      </c>
      <c r="F61" s="10" t="b">
        <f>TRUE()</f>
        <v>1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H3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8" ht="14.25" customHeight="1" x14ac:dyDescent="0.35">
      <c r="A1" s="6" t="s">
        <v>2817</v>
      </c>
      <c r="B1" s="6" t="s">
        <v>2818</v>
      </c>
      <c r="C1" s="6" t="s">
        <v>37</v>
      </c>
      <c r="D1" s="6" t="s">
        <v>2819</v>
      </c>
      <c r="E1" s="6" t="s">
        <v>2820</v>
      </c>
      <c r="F1" s="9" t="s">
        <v>2821</v>
      </c>
      <c r="G1" s="9" t="s">
        <v>2822</v>
      </c>
      <c r="H1" s="9" t="s">
        <v>2823</v>
      </c>
    </row>
    <row r="2" spans="1:8" ht="14.25" customHeight="1" x14ac:dyDescent="0.35">
      <c r="A2" s="10" t="s">
        <v>179</v>
      </c>
      <c r="B2" s="10" t="s">
        <v>2824</v>
      </c>
      <c r="C2" s="10" t="s">
        <v>2825</v>
      </c>
      <c r="D2" s="11">
        <v>44207</v>
      </c>
      <c r="E2" s="10"/>
      <c r="F2">
        <f>SUMIF(Orders!$E$2:$E$2001,A2,Orders!$I$2:$I$2001)</f>
        <v>789849.60000000009</v>
      </c>
      <c r="G2">
        <f t="shared" ref="G2:G31" si="0">RANK(F2,$F$2:$F$31,0)</f>
        <v>23</v>
      </c>
      <c r="H2" t="str">
        <f t="shared" ref="H2:H31" si="1">B2</f>
        <v>Rajesh Malhotra</v>
      </c>
    </row>
    <row r="3" spans="1:8" ht="14.25" customHeight="1" x14ac:dyDescent="0.35">
      <c r="A3" s="10" t="s">
        <v>261</v>
      </c>
      <c r="B3" s="10" t="s">
        <v>2826</v>
      </c>
      <c r="C3" s="10" t="s">
        <v>2825</v>
      </c>
      <c r="D3" s="11">
        <v>44028</v>
      </c>
      <c r="E3" s="10"/>
      <c r="F3">
        <f>SUMIF(Orders!$E$2:$E$2001,A3,Orders!$I$2:$I$2001)</f>
        <v>980063.65999999968</v>
      </c>
      <c r="G3">
        <f t="shared" si="0"/>
        <v>9</v>
      </c>
      <c r="H3" t="str">
        <f t="shared" si="1"/>
        <v>Sunita Malhotra</v>
      </c>
    </row>
    <row r="4" spans="1:8" ht="14.25" customHeight="1" x14ac:dyDescent="0.35">
      <c r="A4" s="10" t="s">
        <v>112</v>
      </c>
      <c r="B4" s="10" t="s">
        <v>2827</v>
      </c>
      <c r="C4" s="10" t="s">
        <v>2825</v>
      </c>
      <c r="D4" s="11">
        <v>43651</v>
      </c>
      <c r="E4" s="10"/>
      <c r="F4">
        <f>SUMIF(Orders!$E$2:$E$2001,A4,Orders!$I$2:$I$2001)</f>
        <v>986692.91</v>
      </c>
      <c r="G4">
        <f t="shared" si="0"/>
        <v>7</v>
      </c>
      <c r="H4" t="str">
        <f t="shared" si="1"/>
        <v>Amit Singh</v>
      </c>
    </row>
    <row r="5" spans="1:8" ht="14.25" customHeight="1" x14ac:dyDescent="0.35">
      <c r="A5" s="10" t="s">
        <v>103</v>
      </c>
      <c r="B5" s="10" t="s">
        <v>2828</v>
      </c>
      <c r="C5" s="10" t="s">
        <v>2825</v>
      </c>
      <c r="D5" s="11">
        <v>44907</v>
      </c>
      <c r="E5" s="10"/>
      <c r="F5">
        <f>SUMIF(Orders!$E$2:$E$2001,A5,Orders!$I$2:$I$2001)</f>
        <v>589026.2899999998</v>
      </c>
      <c r="G5">
        <f t="shared" si="0"/>
        <v>29</v>
      </c>
      <c r="H5" t="str">
        <f t="shared" si="1"/>
        <v>Priya Singh</v>
      </c>
    </row>
    <row r="6" spans="1:8" ht="14.25" customHeight="1" x14ac:dyDescent="0.35">
      <c r="A6" s="10" t="s">
        <v>56</v>
      </c>
      <c r="B6" s="10" t="s">
        <v>2829</v>
      </c>
      <c r="C6" s="10" t="s">
        <v>2825</v>
      </c>
      <c r="D6" s="11">
        <v>43588</v>
      </c>
      <c r="E6" s="10" t="s">
        <v>179</v>
      </c>
      <c r="F6">
        <f>SUMIF(Orders!$E$2:$E$2001,A6,Orders!$I$2:$I$2001)</f>
        <v>782445.33</v>
      </c>
      <c r="G6">
        <f t="shared" si="0"/>
        <v>24</v>
      </c>
      <c r="H6" t="str">
        <f t="shared" si="1"/>
        <v>Vikram Patel</v>
      </c>
    </row>
    <row r="7" spans="1:8" ht="14.25" customHeight="1" x14ac:dyDescent="0.35">
      <c r="A7" s="10" t="s">
        <v>67</v>
      </c>
      <c r="B7" s="10" t="s">
        <v>2741</v>
      </c>
      <c r="C7" s="10" t="s">
        <v>2825</v>
      </c>
      <c r="D7" s="11">
        <v>44131</v>
      </c>
      <c r="E7" s="10" t="s">
        <v>179</v>
      </c>
      <c r="F7">
        <f>SUMIF(Orders!$E$2:$E$2001,A7,Orders!$I$2:$I$2001)</f>
        <v>1138648.73</v>
      </c>
      <c r="G7">
        <f t="shared" si="0"/>
        <v>1</v>
      </c>
      <c r="H7" t="str">
        <f t="shared" si="1"/>
        <v>Neha Desai</v>
      </c>
    </row>
    <row r="8" spans="1:8" ht="14.25" customHeight="1" x14ac:dyDescent="0.35">
      <c r="A8" s="10" t="s">
        <v>50</v>
      </c>
      <c r="B8" s="10" t="s">
        <v>2830</v>
      </c>
      <c r="C8" s="10" t="s">
        <v>2825</v>
      </c>
      <c r="D8" s="11">
        <v>43493</v>
      </c>
      <c r="E8" s="10" t="s">
        <v>179</v>
      </c>
      <c r="F8">
        <f>SUMIF(Orders!$E$2:$E$2001,A8,Orders!$I$2:$I$2001)</f>
        <v>855749.67999999982</v>
      </c>
      <c r="G8">
        <f t="shared" si="0"/>
        <v>19</v>
      </c>
      <c r="H8" t="str">
        <f t="shared" si="1"/>
        <v>Suresh Menon</v>
      </c>
    </row>
    <row r="9" spans="1:8" ht="14.25" customHeight="1" x14ac:dyDescent="0.35">
      <c r="A9" s="10" t="s">
        <v>71</v>
      </c>
      <c r="B9" s="10" t="s">
        <v>2730</v>
      </c>
      <c r="C9" s="10" t="s">
        <v>2825</v>
      </c>
      <c r="D9" s="11">
        <v>44693</v>
      </c>
      <c r="E9" s="10" t="s">
        <v>179</v>
      </c>
      <c r="F9">
        <f>SUMIF(Orders!$E$2:$E$2001,A9,Orders!$I$2:$I$2001)</f>
        <v>861553.33</v>
      </c>
      <c r="G9">
        <f t="shared" si="0"/>
        <v>18</v>
      </c>
      <c r="H9" t="str">
        <f t="shared" si="1"/>
        <v>Kavita Patel</v>
      </c>
    </row>
    <row r="10" spans="1:8" ht="14.25" customHeight="1" x14ac:dyDescent="0.35">
      <c r="A10" s="10" t="s">
        <v>168</v>
      </c>
      <c r="B10" s="10" t="s">
        <v>2831</v>
      </c>
      <c r="C10" s="10" t="s">
        <v>2832</v>
      </c>
      <c r="D10" s="11">
        <v>44804</v>
      </c>
      <c r="E10" s="10" t="s">
        <v>261</v>
      </c>
      <c r="F10">
        <f>SUMIF(Orders!$E$2:$E$2001,A10,Orders!$I$2:$I$2001)</f>
        <v>914554.71999999986</v>
      </c>
      <c r="G10">
        <f t="shared" si="0"/>
        <v>12</v>
      </c>
      <c r="H10" t="str">
        <f t="shared" si="1"/>
        <v>Manoj Patel</v>
      </c>
    </row>
    <row r="11" spans="1:8" ht="14.25" customHeight="1" x14ac:dyDescent="0.35">
      <c r="A11" s="10" t="s">
        <v>96</v>
      </c>
      <c r="B11" s="10" t="s">
        <v>2833</v>
      </c>
      <c r="C11" s="10" t="s">
        <v>2832</v>
      </c>
      <c r="D11" s="11">
        <v>43904</v>
      </c>
      <c r="E11" s="10" t="s">
        <v>261</v>
      </c>
      <c r="F11">
        <f>SUMIF(Orders!$E$2:$E$2001,A11,Orders!$I$2:$I$2001)</f>
        <v>880345.20000000007</v>
      </c>
      <c r="G11">
        <f t="shared" si="0"/>
        <v>17</v>
      </c>
      <c r="H11" t="str">
        <f t="shared" si="1"/>
        <v>Divya Rao</v>
      </c>
    </row>
    <row r="12" spans="1:8" ht="14.25" customHeight="1" x14ac:dyDescent="0.35">
      <c r="A12" s="10" t="s">
        <v>237</v>
      </c>
      <c r="B12" s="10" t="s">
        <v>2834</v>
      </c>
      <c r="C12" s="10" t="s">
        <v>2832</v>
      </c>
      <c r="D12" s="11">
        <v>44622</v>
      </c>
      <c r="E12" s="10" t="s">
        <v>261</v>
      </c>
      <c r="F12">
        <f>SUMIF(Orders!$E$2:$E$2001,A12,Orders!$I$2:$I$2001)</f>
        <v>735207.75999999989</v>
      </c>
      <c r="G12">
        <f t="shared" si="0"/>
        <v>28</v>
      </c>
      <c r="H12" t="str">
        <f t="shared" si="1"/>
        <v>Anil Verma</v>
      </c>
    </row>
    <row r="13" spans="1:8" ht="14.25" customHeight="1" x14ac:dyDescent="0.35">
      <c r="A13" s="10" t="s">
        <v>289</v>
      </c>
      <c r="B13" s="10" t="s">
        <v>2835</v>
      </c>
      <c r="C13" s="10" t="s">
        <v>2832</v>
      </c>
      <c r="D13" s="11">
        <v>44890</v>
      </c>
      <c r="E13" s="10" t="s">
        <v>261</v>
      </c>
      <c r="F13">
        <f>SUMIF(Orders!$E$2:$E$2001,A13,Orders!$I$2:$I$2001)</f>
        <v>901394.32000000007</v>
      </c>
      <c r="G13">
        <f t="shared" si="0"/>
        <v>14</v>
      </c>
      <c r="H13" t="str">
        <f t="shared" si="1"/>
        <v>Pooja Nair</v>
      </c>
    </row>
    <row r="14" spans="1:8" ht="14.25" customHeight="1" x14ac:dyDescent="0.35">
      <c r="A14" s="10" t="s">
        <v>216</v>
      </c>
      <c r="B14" s="10" t="s">
        <v>2836</v>
      </c>
      <c r="C14" s="10" t="s">
        <v>2832</v>
      </c>
      <c r="D14" s="11">
        <v>45215</v>
      </c>
      <c r="E14" s="10" t="s">
        <v>261</v>
      </c>
      <c r="F14">
        <f>SUMIF(Orders!$E$2:$E$2001,A14,Orders!$I$2:$I$2001)</f>
        <v>811524.37999999989</v>
      </c>
      <c r="G14">
        <f t="shared" si="0"/>
        <v>22</v>
      </c>
      <c r="H14" t="str">
        <f t="shared" si="1"/>
        <v>Sanjay Kapoor</v>
      </c>
    </row>
    <row r="15" spans="1:8" ht="14.25" customHeight="1" x14ac:dyDescent="0.35">
      <c r="A15" s="10" t="s">
        <v>62</v>
      </c>
      <c r="B15" s="10" t="s">
        <v>2837</v>
      </c>
      <c r="C15" s="10" t="s">
        <v>2832</v>
      </c>
      <c r="D15" s="11">
        <v>44469</v>
      </c>
      <c r="E15" s="10" t="s">
        <v>261</v>
      </c>
      <c r="F15">
        <f>SUMIF(Orders!$E$2:$E$2001,A15,Orders!$I$2:$I$2001)</f>
        <v>995713.54000000015</v>
      </c>
      <c r="G15">
        <f t="shared" si="0"/>
        <v>6</v>
      </c>
      <c r="H15" t="str">
        <f t="shared" si="1"/>
        <v>Ritu Menon</v>
      </c>
    </row>
    <row r="16" spans="1:8" ht="14.25" customHeight="1" x14ac:dyDescent="0.35">
      <c r="A16" s="10" t="s">
        <v>152</v>
      </c>
      <c r="B16" s="10" t="s">
        <v>2838</v>
      </c>
      <c r="C16" s="10" t="s">
        <v>2832</v>
      </c>
      <c r="D16" s="11">
        <v>45231</v>
      </c>
      <c r="E16" s="10" t="s">
        <v>261</v>
      </c>
      <c r="F16">
        <f>SUMIF(Orders!$E$2:$E$2001,A16,Orders!$I$2:$I$2001)</f>
        <v>1091740.1799999997</v>
      </c>
      <c r="G16">
        <f t="shared" si="0"/>
        <v>3</v>
      </c>
      <c r="H16" t="str">
        <f t="shared" si="1"/>
        <v>Deepak Shah</v>
      </c>
    </row>
    <row r="17" spans="1:8" ht="14.25" customHeight="1" x14ac:dyDescent="0.35">
      <c r="A17" s="10" t="s">
        <v>310</v>
      </c>
      <c r="B17" s="10" t="s">
        <v>2839</v>
      </c>
      <c r="C17" s="10" t="s">
        <v>2832</v>
      </c>
      <c r="D17" s="11">
        <v>43614</v>
      </c>
      <c r="E17" s="10" t="s">
        <v>261</v>
      </c>
      <c r="F17">
        <f>SUMIF(Orders!$E$2:$E$2001,A17,Orders!$I$2:$I$2001)</f>
        <v>814563.7100000002</v>
      </c>
      <c r="G17">
        <f t="shared" si="0"/>
        <v>21</v>
      </c>
      <c r="H17" t="str">
        <f t="shared" si="1"/>
        <v>Anjali Chopra</v>
      </c>
    </row>
    <row r="18" spans="1:8" ht="14.25" customHeight="1" x14ac:dyDescent="0.35">
      <c r="A18" s="10" t="s">
        <v>202</v>
      </c>
      <c r="B18" s="10" t="s">
        <v>2840</v>
      </c>
      <c r="C18" s="10" t="s">
        <v>2841</v>
      </c>
      <c r="D18" s="11">
        <v>43685</v>
      </c>
      <c r="E18" s="10" t="s">
        <v>112</v>
      </c>
      <c r="F18">
        <f>SUMIF(Orders!$E$2:$E$2001,A18,Orders!$I$2:$I$2001)</f>
        <v>780384.40999999992</v>
      </c>
      <c r="G18">
        <f t="shared" si="0"/>
        <v>25</v>
      </c>
      <c r="H18" t="str">
        <f t="shared" si="1"/>
        <v>Naveen Singh</v>
      </c>
    </row>
    <row r="19" spans="1:8" ht="14.25" customHeight="1" x14ac:dyDescent="0.35">
      <c r="A19" s="10" t="s">
        <v>267</v>
      </c>
      <c r="B19" s="10" t="s">
        <v>2842</v>
      </c>
      <c r="C19" s="10" t="s">
        <v>2841</v>
      </c>
      <c r="D19" s="11">
        <v>43428</v>
      </c>
      <c r="E19" s="10" t="s">
        <v>112</v>
      </c>
      <c r="F19">
        <f>SUMIF(Orders!$E$2:$E$2001,A19,Orders!$I$2:$I$2001)</f>
        <v>1112289.6400000001</v>
      </c>
      <c r="G19">
        <f t="shared" si="0"/>
        <v>2</v>
      </c>
      <c r="H19" t="str">
        <f t="shared" si="1"/>
        <v>Shalini Patel</v>
      </c>
    </row>
    <row r="20" spans="1:8" ht="14.25" customHeight="1" x14ac:dyDescent="0.35">
      <c r="A20" s="10" t="s">
        <v>85</v>
      </c>
      <c r="B20" s="10" t="s">
        <v>2843</v>
      </c>
      <c r="C20" s="10" t="s">
        <v>2841</v>
      </c>
      <c r="D20" s="11">
        <v>43576</v>
      </c>
      <c r="E20" s="10" t="s">
        <v>112</v>
      </c>
      <c r="F20">
        <f>SUMIF(Orders!$E$2:$E$2001,A20,Orders!$I$2:$I$2001)</f>
        <v>971183.52000000014</v>
      </c>
      <c r="G20">
        <f t="shared" si="0"/>
        <v>10</v>
      </c>
      <c r="H20" t="str">
        <f t="shared" si="1"/>
        <v>Prakash Shah</v>
      </c>
    </row>
    <row r="21" spans="1:8" ht="14.25" customHeight="1" x14ac:dyDescent="0.35">
      <c r="A21" s="10" t="s">
        <v>156</v>
      </c>
      <c r="B21" s="10" t="s">
        <v>2844</v>
      </c>
      <c r="C21" s="10" t="s">
        <v>2841</v>
      </c>
      <c r="D21" s="11">
        <v>43254</v>
      </c>
      <c r="E21" s="10" t="s">
        <v>112</v>
      </c>
      <c r="F21">
        <f>SUMIF(Orders!$E$2:$E$2001,A21,Orders!$I$2:$I$2001)</f>
        <v>906107.71000000008</v>
      </c>
      <c r="G21">
        <f t="shared" si="0"/>
        <v>13</v>
      </c>
      <c r="H21" t="str">
        <f t="shared" si="1"/>
        <v>Meera Iyer</v>
      </c>
    </row>
    <row r="22" spans="1:8" ht="14.25" customHeight="1" x14ac:dyDescent="0.35">
      <c r="A22" s="10" t="s">
        <v>122</v>
      </c>
      <c r="B22" s="10" t="s">
        <v>2845</v>
      </c>
      <c r="C22" s="10" t="s">
        <v>2841</v>
      </c>
      <c r="D22" s="11">
        <v>43260</v>
      </c>
      <c r="E22" s="10" t="s">
        <v>112</v>
      </c>
      <c r="F22">
        <f>SUMIF(Orders!$E$2:$E$2001,A22,Orders!$I$2:$I$2001)</f>
        <v>761507.17000000027</v>
      </c>
      <c r="G22">
        <f t="shared" si="0"/>
        <v>26</v>
      </c>
      <c r="H22" t="str">
        <f t="shared" si="1"/>
        <v>Gaurav Desai</v>
      </c>
    </row>
    <row r="23" spans="1:8" ht="14.25" customHeight="1" x14ac:dyDescent="0.35">
      <c r="A23" s="10" t="s">
        <v>249</v>
      </c>
      <c r="B23" s="10" t="s">
        <v>2846</v>
      </c>
      <c r="C23" s="10" t="s">
        <v>2841</v>
      </c>
      <c r="D23" s="11">
        <v>43146</v>
      </c>
      <c r="E23" s="10" t="s">
        <v>112</v>
      </c>
      <c r="F23">
        <f>SUMIF(Orders!$E$2:$E$2001,A23,Orders!$I$2:$I$2001)</f>
        <v>1069570.5400000003</v>
      </c>
      <c r="G23">
        <f t="shared" si="0"/>
        <v>4</v>
      </c>
      <c r="H23" t="str">
        <f t="shared" si="1"/>
        <v>Nisha Menon</v>
      </c>
    </row>
    <row r="24" spans="1:8" ht="14.25" customHeight="1" x14ac:dyDescent="0.35">
      <c r="A24" s="10" t="s">
        <v>118</v>
      </c>
      <c r="B24" s="10" t="s">
        <v>2847</v>
      </c>
      <c r="C24" s="10" t="s">
        <v>2841</v>
      </c>
      <c r="D24" s="11">
        <v>44777</v>
      </c>
      <c r="E24" s="10" t="s">
        <v>112</v>
      </c>
      <c r="F24">
        <f>SUMIF(Orders!$E$2:$E$2001,A24,Orders!$I$2:$I$2001)</f>
        <v>983787.4800000001</v>
      </c>
      <c r="G24">
        <f t="shared" si="0"/>
        <v>8</v>
      </c>
      <c r="H24" t="str">
        <f t="shared" si="1"/>
        <v>Vinod Kumar</v>
      </c>
    </row>
    <row r="25" spans="1:8" ht="14.25" customHeight="1" x14ac:dyDescent="0.35">
      <c r="A25" s="10" t="s">
        <v>80</v>
      </c>
      <c r="B25" s="10" t="s">
        <v>2848</v>
      </c>
      <c r="C25" s="10" t="s">
        <v>2849</v>
      </c>
      <c r="D25" s="11">
        <v>43371</v>
      </c>
      <c r="E25" s="10" t="s">
        <v>103</v>
      </c>
      <c r="F25">
        <f>SUMIF(Orders!$E$2:$E$2001,A25,Orders!$I$2:$I$2001)</f>
        <v>819558.58</v>
      </c>
      <c r="G25">
        <f t="shared" si="0"/>
        <v>20</v>
      </c>
      <c r="H25" t="str">
        <f t="shared" si="1"/>
        <v>Rekha Chopra</v>
      </c>
    </row>
    <row r="26" spans="1:8" ht="14.25" customHeight="1" x14ac:dyDescent="0.35">
      <c r="A26" s="10" t="s">
        <v>75</v>
      </c>
      <c r="B26" s="10" t="s">
        <v>2850</v>
      </c>
      <c r="C26" s="10" t="s">
        <v>2849</v>
      </c>
      <c r="D26" s="11">
        <v>43781</v>
      </c>
      <c r="E26" s="10" t="s">
        <v>103</v>
      </c>
      <c r="F26">
        <f>SUMIF(Orders!$E$2:$E$2001,A26,Orders!$I$2:$I$2001)</f>
        <v>901298.89</v>
      </c>
      <c r="G26">
        <f t="shared" si="0"/>
        <v>15</v>
      </c>
      <c r="H26" t="str">
        <f t="shared" si="1"/>
        <v>Ashok Reddy</v>
      </c>
    </row>
    <row r="27" spans="1:8" ht="14.25" customHeight="1" x14ac:dyDescent="0.35">
      <c r="A27" s="10" t="s">
        <v>165</v>
      </c>
      <c r="B27" s="10" t="s">
        <v>2851</v>
      </c>
      <c r="C27" s="10" t="s">
        <v>2849</v>
      </c>
      <c r="D27" s="11">
        <v>43570</v>
      </c>
      <c r="E27" s="10" t="s">
        <v>103</v>
      </c>
      <c r="F27">
        <f>SUMIF(Orders!$E$2:$E$2001,A27,Orders!$I$2:$I$2001)</f>
        <v>576305.08000000019</v>
      </c>
      <c r="G27">
        <f t="shared" si="0"/>
        <v>30</v>
      </c>
      <c r="H27" t="str">
        <f t="shared" si="1"/>
        <v>Sonia Malhotra</v>
      </c>
    </row>
    <row r="28" spans="1:8" ht="14.25" customHeight="1" x14ac:dyDescent="0.35">
      <c r="A28" s="10" t="s">
        <v>307</v>
      </c>
      <c r="B28" s="10" t="s">
        <v>2852</v>
      </c>
      <c r="C28" s="10" t="s">
        <v>2849</v>
      </c>
      <c r="D28" s="11">
        <v>45199</v>
      </c>
      <c r="E28" s="10" t="s">
        <v>103</v>
      </c>
      <c r="F28">
        <f>SUMIF(Orders!$E$2:$E$2001,A28,Orders!$I$2:$I$2001)</f>
        <v>917092.61999999965</v>
      </c>
      <c r="G28">
        <f t="shared" si="0"/>
        <v>11</v>
      </c>
      <c r="H28" t="str">
        <f t="shared" si="1"/>
        <v>Ramesh Bhatt</v>
      </c>
    </row>
    <row r="29" spans="1:8" ht="14.25" customHeight="1" x14ac:dyDescent="0.35">
      <c r="A29" s="10" t="s">
        <v>92</v>
      </c>
      <c r="B29" s="10" t="s">
        <v>2853</v>
      </c>
      <c r="C29" s="10" t="s">
        <v>2849</v>
      </c>
      <c r="D29" s="11">
        <v>44898</v>
      </c>
      <c r="E29" s="10" t="s">
        <v>103</v>
      </c>
      <c r="F29">
        <f>SUMIF(Orders!$E$2:$E$2001,A29,Orders!$I$2:$I$2001)</f>
        <v>880468.05</v>
      </c>
      <c r="G29">
        <f t="shared" si="0"/>
        <v>16</v>
      </c>
      <c r="H29" t="str">
        <f t="shared" si="1"/>
        <v>Preeti Shah</v>
      </c>
    </row>
    <row r="30" spans="1:8" ht="14.25" customHeight="1" x14ac:dyDescent="0.35">
      <c r="A30" s="10" t="s">
        <v>193</v>
      </c>
      <c r="B30" s="10" t="s">
        <v>2854</v>
      </c>
      <c r="C30" s="10" t="s">
        <v>2849</v>
      </c>
      <c r="D30" s="11">
        <v>45191</v>
      </c>
      <c r="E30" s="10" t="s">
        <v>103</v>
      </c>
      <c r="F30">
        <f>SUMIF(Orders!$E$2:$E$2001,A30,Orders!$I$2:$I$2001)</f>
        <v>1016696.8000000002</v>
      </c>
      <c r="G30">
        <f t="shared" si="0"/>
        <v>5</v>
      </c>
      <c r="H30" t="str">
        <f t="shared" si="1"/>
        <v>Arun Iyer</v>
      </c>
    </row>
    <row r="31" spans="1:8" ht="14.25" customHeight="1" x14ac:dyDescent="0.35">
      <c r="A31" s="10" t="s">
        <v>134</v>
      </c>
      <c r="B31" s="10" t="s">
        <v>2855</v>
      </c>
      <c r="C31" s="10" t="s">
        <v>2849</v>
      </c>
      <c r="D31" s="11">
        <v>44506</v>
      </c>
      <c r="E31" s="10" t="s">
        <v>103</v>
      </c>
      <c r="F31">
        <f>SUMIF(Orders!$E$2:$E$2001,A31,Orders!$I$2:$I$2001)</f>
        <v>747624.36999999988</v>
      </c>
      <c r="G31">
        <f t="shared" si="0"/>
        <v>27</v>
      </c>
      <c r="H31" t="str">
        <f t="shared" si="1"/>
        <v>Kiran Bhatt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3" width="8" customWidth="1"/>
  </cols>
  <sheetData>
    <row r="1" spans="1:13" ht="14.25" customHeight="1" x14ac:dyDescent="0.35">
      <c r="A1" s="6" t="s">
        <v>2817</v>
      </c>
      <c r="B1" s="6" t="s">
        <v>2856</v>
      </c>
      <c r="C1" s="6" t="s">
        <v>2857</v>
      </c>
      <c r="D1" s="6" t="s">
        <v>2858</v>
      </c>
      <c r="E1" s="6" t="s">
        <v>2859</v>
      </c>
      <c r="F1" s="6" t="s">
        <v>2860</v>
      </c>
      <c r="G1" s="6" t="s">
        <v>2861</v>
      </c>
      <c r="H1" s="6" t="s">
        <v>2862</v>
      </c>
      <c r="I1" s="6" t="s">
        <v>2863</v>
      </c>
      <c r="J1" s="6" t="s">
        <v>2864</v>
      </c>
      <c r="K1" s="6" t="s">
        <v>2865</v>
      </c>
      <c r="L1" s="6" t="s">
        <v>2866</v>
      </c>
      <c r="M1" s="6" t="s">
        <v>2867</v>
      </c>
    </row>
    <row r="2" spans="1:13" ht="14.25" customHeight="1" x14ac:dyDescent="0.35">
      <c r="A2" s="10" t="s">
        <v>179</v>
      </c>
      <c r="B2" s="12">
        <v>231324</v>
      </c>
      <c r="C2" s="12">
        <v>171682</v>
      </c>
      <c r="D2" s="12">
        <v>234376</v>
      </c>
      <c r="E2" s="12">
        <v>326967</v>
      </c>
      <c r="F2" s="12">
        <v>350588</v>
      </c>
      <c r="G2" s="12">
        <v>385324</v>
      </c>
      <c r="H2" s="12">
        <v>307980</v>
      </c>
      <c r="I2" s="12">
        <v>327947</v>
      </c>
      <c r="J2" s="12">
        <v>181016</v>
      </c>
      <c r="K2" s="12">
        <v>374039</v>
      </c>
      <c r="L2" s="12">
        <v>212805</v>
      </c>
      <c r="M2" s="12">
        <v>405999</v>
      </c>
    </row>
    <row r="3" spans="1:13" ht="14.25" customHeight="1" x14ac:dyDescent="0.35">
      <c r="A3" s="10" t="s">
        <v>261</v>
      </c>
      <c r="B3" s="12">
        <v>438126</v>
      </c>
      <c r="C3" s="12">
        <v>346266</v>
      </c>
      <c r="D3" s="12">
        <v>329993</v>
      </c>
      <c r="E3" s="12">
        <v>370744</v>
      </c>
      <c r="F3" s="12">
        <v>294660</v>
      </c>
      <c r="G3" s="12">
        <v>341556</v>
      </c>
      <c r="H3" s="12">
        <v>151934</v>
      </c>
      <c r="I3" s="12">
        <v>223794</v>
      </c>
      <c r="J3" s="12">
        <v>438641</v>
      </c>
      <c r="K3" s="12">
        <v>344308</v>
      </c>
      <c r="L3" s="12">
        <v>296172</v>
      </c>
      <c r="M3" s="12">
        <v>304288</v>
      </c>
    </row>
    <row r="4" spans="1:13" ht="14.25" customHeight="1" x14ac:dyDescent="0.35">
      <c r="A4" s="10" t="s">
        <v>112</v>
      </c>
      <c r="B4" s="12">
        <v>358703</v>
      </c>
      <c r="C4" s="12">
        <v>320519</v>
      </c>
      <c r="D4" s="12">
        <v>327321</v>
      </c>
      <c r="E4" s="12">
        <v>298753</v>
      </c>
      <c r="F4" s="12">
        <v>254636</v>
      </c>
      <c r="G4" s="12">
        <v>351929</v>
      </c>
      <c r="H4" s="12">
        <v>264723</v>
      </c>
      <c r="I4" s="12">
        <v>216459</v>
      </c>
      <c r="J4" s="12">
        <v>391945</v>
      </c>
      <c r="K4" s="12">
        <v>362426</v>
      </c>
      <c r="L4" s="12">
        <v>289199</v>
      </c>
      <c r="M4" s="12">
        <v>301863</v>
      </c>
    </row>
    <row r="5" spans="1:13" ht="14.25" customHeight="1" x14ac:dyDescent="0.35">
      <c r="A5" s="10" t="s">
        <v>103</v>
      </c>
      <c r="B5" s="12">
        <v>389594</v>
      </c>
      <c r="C5" s="12">
        <v>376422</v>
      </c>
      <c r="D5" s="12">
        <v>324156</v>
      </c>
      <c r="E5" s="12">
        <v>420255</v>
      </c>
      <c r="F5" s="12">
        <v>409107</v>
      </c>
      <c r="G5" s="12">
        <v>269954</v>
      </c>
      <c r="H5" s="12">
        <v>179097</v>
      </c>
      <c r="I5" s="12">
        <v>370568</v>
      </c>
      <c r="J5" s="12">
        <v>387395</v>
      </c>
      <c r="K5" s="12">
        <v>243454</v>
      </c>
      <c r="L5" s="12">
        <v>232530</v>
      </c>
      <c r="M5" s="12">
        <v>201999</v>
      </c>
    </row>
    <row r="6" spans="1:13" ht="14.25" customHeight="1" x14ac:dyDescent="0.35">
      <c r="A6" s="10" t="s">
        <v>56</v>
      </c>
      <c r="B6" s="12">
        <v>436862</v>
      </c>
      <c r="C6" s="12">
        <v>391158</v>
      </c>
      <c r="D6" s="12">
        <v>340224</v>
      </c>
      <c r="E6" s="12">
        <v>170548</v>
      </c>
      <c r="F6" s="12">
        <v>229390</v>
      </c>
      <c r="G6" s="12">
        <v>349525</v>
      </c>
      <c r="H6" s="12">
        <v>154683</v>
      </c>
      <c r="I6" s="12">
        <v>320848</v>
      </c>
      <c r="J6" s="12">
        <v>354452</v>
      </c>
      <c r="K6" s="12">
        <v>377180</v>
      </c>
      <c r="L6" s="12">
        <v>342347</v>
      </c>
      <c r="M6" s="12">
        <v>183362</v>
      </c>
    </row>
    <row r="7" spans="1:13" ht="14.25" customHeight="1" x14ac:dyDescent="0.35">
      <c r="A7" s="10" t="s">
        <v>67</v>
      </c>
      <c r="B7" s="12">
        <v>348734</v>
      </c>
      <c r="C7" s="12">
        <v>358191</v>
      </c>
      <c r="D7" s="12">
        <v>250385</v>
      </c>
      <c r="E7" s="12">
        <v>219657</v>
      </c>
      <c r="F7" s="12">
        <v>249365</v>
      </c>
      <c r="G7" s="12">
        <v>435704</v>
      </c>
      <c r="H7" s="12">
        <v>260892</v>
      </c>
      <c r="I7" s="12">
        <v>250741</v>
      </c>
      <c r="J7" s="12">
        <v>358402</v>
      </c>
      <c r="K7" s="12">
        <v>379858</v>
      </c>
      <c r="L7" s="12">
        <v>213280</v>
      </c>
      <c r="M7" s="12">
        <v>224634</v>
      </c>
    </row>
    <row r="8" spans="1:13" ht="14.25" customHeight="1" x14ac:dyDescent="0.35">
      <c r="A8" s="10" t="s">
        <v>50</v>
      </c>
      <c r="B8" s="12">
        <v>280057</v>
      </c>
      <c r="C8" s="12">
        <v>330342</v>
      </c>
      <c r="D8" s="12">
        <v>336856</v>
      </c>
      <c r="E8" s="12">
        <v>227425</v>
      </c>
      <c r="F8" s="12">
        <v>233647</v>
      </c>
      <c r="G8" s="12">
        <v>307088</v>
      </c>
      <c r="H8" s="12">
        <v>370724</v>
      </c>
      <c r="I8" s="12">
        <v>440008</v>
      </c>
      <c r="J8" s="12">
        <v>406347</v>
      </c>
      <c r="K8" s="12">
        <v>217357</v>
      </c>
      <c r="L8" s="12">
        <v>299289</v>
      </c>
      <c r="M8" s="12">
        <v>214568</v>
      </c>
    </row>
    <row r="9" spans="1:13" ht="14.25" customHeight="1" x14ac:dyDescent="0.35">
      <c r="A9" s="10" t="s">
        <v>71</v>
      </c>
      <c r="B9" s="12">
        <v>252886</v>
      </c>
      <c r="C9" s="12">
        <v>206057</v>
      </c>
      <c r="D9" s="12">
        <v>318209</v>
      </c>
      <c r="E9" s="12">
        <v>411230</v>
      </c>
      <c r="F9" s="12">
        <v>448660</v>
      </c>
      <c r="G9" s="12">
        <v>171135</v>
      </c>
      <c r="H9" s="12">
        <v>305339</v>
      </c>
      <c r="I9" s="12">
        <v>432264</v>
      </c>
      <c r="J9" s="12">
        <v>294273</v>
      </c>
      <c r="K9" s="12">
        <v>371409</v>
      </c>
      <c r="L9" s="12">
        <v>284207</v>
      </c>
      <c r="M9" s="12">
        <v>437068</v>
      </c>
    </row>
    <row r="10" spans="1:13" ht="14.25" customHeight="1" x14ac:dyDescent="0.35">
      <c r="A10" s="10" t="s">
        <v>168</v>
      </c>
      <c r="B10" s="12">
        <v>268752</v>
      </c>
      <c r="C10" s="12">
        <v>393256</v>
      </c>
      <c r="D10" s="12">
        <v>310649</v>
      </c>
      <c r="E10" s="12">
        <v>246237</v>
      </c>
      <c r="F10" s="12">
        <v>271287</v>
      </c>
      <c r="G10" s="12">
        <v>314545</v>
      </c>
      <c r="H10" s="12">
        <v>406506</v>
      </c>
      <c r="I10" s="12">
        <v>334930</v>
      </c>
      <c r="J10" s="12">
        <v>348625</v>
      </c>
      <c r="K10" s="12">
        <v>408928</v>
      </c>
      <c r="L10" s="12">
        <v>243749</v>
      </c>
      <c r="M10" s="12">
        <v>418409</v>
      </c>
    </row>
    <row r="11" spans="1:13" ht="14.25" customHeight="1" x14ac:dyDescent="0.35">
      <c r="A11" s="10" t="s">
        <v>96</v>
      </c>
      <c r="B11" s="12">
        <v>384734</v>
      </c>
      <c r="C11" s="12">
        <v>156698</v>
      </c>
      <c r="D11" s="12">
        <v>283679</v>
      </c>
      <c r="E11" s="12">
        <v>276085</v>
      </c>
      <c r="F11" s="12">
        <v>409270</v>
      </c>
      <c r="G11" s="12">
        <v>285230</v>
      </c>
      <c r="H11" s="12">
        <v>304233</v>
      </c>
      <c r="I11" s="12">
        <v>178221</v>
      </c>
      <c r="J11" s="12">
        <v>284216</v>
      </c>
      <c r="K11" s="12">
        <v>287373</v>
      </c>
      <c r="L11" s="12">
        <v>229082</v>
      </c>
      <c r="M11" s="12">
        <v>298969</v>
      </c>
    </row>
    <row r="12" spans="1:13" ht="14.25" customHeight="1" x14ac:dyDescent="0.35">
      <c r="A12" s="10" t="s">
        <v>237</v>
      </c>
      <c r="B12" s="12">
        <v>186029</v>
      </c>
      <c r="C12" s="12">
        <v>151419</v>
      </c>
      <c r="D12" s="12">
        <v>253251</v>
      </c>
      <c r="E12" s="12">
        <v>379757</v>
      </c>
      <c r="F12" s="12">
        <v>204209</v>
      </c>
      <c r="G12" s="12">
        <v>179396</v>
      </c>
      <c r="H12" s="12">
        <v>378008</v>
      </c>
      <c r="I12" s="12">
        <v>182649</v>
      </c>
      <c r="J12" s="12">
        <v>267772</v>
      </c>
      <c r="K12" s="12">
        <v>350352</v>
      </c>
      <c r="L12" s="12">
        <v>358042</v>
      </c>
      <c r="M12" s="12">
        <v>359960</v>
      </c>
    </row>
    <row r="13" spans="1:13" ht="14.25" customHeight="1" x14ac:dyDescent="0.35">
      <c r="A13" s="10" t="s">
        <v>289</v>
      </c>
      <c r="B13" s="12">
        <v>352158</v>
      </c>
      <c r="C13" s="12">
        <v>251181</v>
      </c>
      <c r="D13" s="12">
        <v>321255</v>
      </c>
      <c r="E13" s="12">
        <v>300863</v>
      </c>
      <c r="F13" s="12">
        <v>241731</v>
      </c>
      <c r="G13" s="12">
        <v>393275</v>
      </c>
      <c r="H13" s="12">
        <v>313561</v>
      </c>
      <c r="I13" s="12">
        <v>283604</v>
      </c>
      <c r="J13" s="12">
        <v>429065</v>
      </c>
      <c r="K13" s="12">
        <v>194420</v>
      </c>
      <c r="L13" s="12">
        <v>254168</v>
      </c>
      <c r="M13" s="12">
        <v>389283</v>
      </c>
    </row>
    <row r="14" spans="1:13" ht="14.25" customHeight="1" x14ac:dyDescent="0.35">
      <c r="A14" s="10" t="s">
        <v>216</v>
      </c>
      <c r="B14" s="12">
        <v>350003</v>
      </c>
      <c r="C14" s="12">
        <v>384951</v>
      </c>
      <c r="D14" s="12">
        <v>424777</v>
      </c>
      <c r="E14" s="12">
        <v>323282</v>
      </c>
      <c r="F14" s="12">
        <v>427290</v>
      </c>
      <c r="G14" s="12">
        <v>363819</v>
      </c>
      <c r="H14" s="12">
        <v>279496</v>
      </c>
      <c r="I14" s="12">
        <v>190932</v>
      </c>
      <c r="J14" s="12">
        <v>347420</v>
      </c>
      <c r="K14" s="12">
        <v>160215</v>
      </c>
      <c r="L14" s="12">
        <v>388600</v>
      </c>
      <c r="M14" s="12">
        <v>437901</v>
      </c>
    </row>
    <row r="15" spans="1:13" ht="14.25" customHeight="1" x14ac:dyDescent="0.35">
      <c r="A15" s="10" t="s">
        <v>62</v>
      </c>
      <c r="B15" s="12">
        <v>307327</v>
      </c>
      <c r="C15" s="12">
        <v>377256</v>
      </c>
      <c r="D15" s="12">
        <v>236349</v>
      </c>
      <c r="E15" s="12">
        <v>321223</v>
      </c>
      <c r="F15" s="12">
        <v>268119</v>
      </c>
      <c r="G15" s="12">
        <v>294020</v>
      </c>
      <c r="H15" s="12">
        <v>312180</v>
      </c>
      <c r="I15" s="12">
        <v>390845</v>
      </c>
      <c r="J15" s="12">
        <v>432317</v>
      </c>
      <c r="K15" s="12">
        <v>277613</v>
      </c>
      <c r="L15" s="12">
        <v>373411</v>
      </c>
      <c r="M15" s="12">
        <v>214349</v>
      </c>
    </row>
    <row r="16" spans="1:13" ht="14.25" customHeight="1" x14ac:dyDescent="0.35">
      <c r="A16" s="10" t="s">
        <v>152</v>
      </c>
      <c r="B16" s="12">
        <v>414207</v>
      </c>
      <c r="C16" s="12">
        <v>376391</v>
      </c>
      <c r="D16" s="12">
        <v>192739</v>
      </c>
      <c r="E16" s="12">
        <v>165892</v>
      </c>
      <c r="F16" s="12">
        <v>187659</v>
      </c>
      <c r="G16" s="12">
        <v>283837</v>
      </c>
      <c r="H16" s="12">
        <v>434871</v>
      </c>
      <c r="I16" s="12">
        <v>369518</v>
      </c>
      <c r="J16" s="12">
        <v>171986</v>
      </c>
      <c r="K16" s="12">
        <v>328460</v>
      </c>
      <c r="L16" s="12">
        <v>418857</v>
      </c>
      <c r="M16" s="12">
        <v>159947</v>
      </c>
    </row>
    <row r="17" spans="1:13" ht="14.25" customHeight="1" x14ac:dyDescent="0.35">
      <c r="A17" s="10" t="s">
        <v>310</v>
      </c>
      <c r="B17" s="12">
        <v>335614</v>
      </c>
      <c r="C17" s="12">
        <v>325577</v>
      </c>
      <c r="D17" s="12">
        <v>217575</v>
      </c>
      <c r="E17" s="12">
        <v>427851</v>
      </c>
      <c r="F17" s="12">
        <v>438020</v>
      </c>
      <c r="G17" s="12">
        <v>276675</v>
      </c>
      <c r="H17" s="12">
        <v>331096</v>
      </c>
      <c r="I17" s="12">
        <v>282103</v>
      </c>
      <c r="J17" s="12">
        <v>321062</v>
      </c>
      <c r="K17" s="12">
        <v>235137</v>
      </c>
      <c r="L17" s="12">
        <v>279755</v>
      </c>
      <c r="M17" s="12">
        <v>230523</v>
      </c>
    </row>
    <row r="18" spans="1:13" ht="14.25" customHeight="1" x14ac:dyDescent="0.35">
      <c r="A18" s="10" t="s">
        <v>202</v>
      </c>
      <c r="B18" s="12">
        <v>369725</v>
      </c>
      <c r="C18" s="12">
        <v>181516</v>
      </c>
      <c r="D18" s="12">
        <v>233993</v>
      </c>
      <c r="E18" s="12">
        <v>194261</v>
      </c>
      <c r="F18" s="12">
        <v>233332</v>
      </c>
      <c r="G18" s="12">
        <v>359011</v>
      </c>
      <c r="H18" s="12">
        <v>219264</v>
      </c>
      <c r="I18" s="12">
        <v>391688</v>
      </c>
      <c r="J18" s="12">
        <v>191502</v>
      </c>
      <c r="K18" s="12">
        <v>216536</v>
      </c>
      <c r="L18" s="12">
        <v>205649</v>
      </c>
      <c r="M18" s="12">
        <v>285932</v>
      </c>
    </row>
    <row r="19" spans="1:13" ht="14.25" customHeight="1" x14ac:dyDescent="0.35">
      <c r="A19" s="10" t="s">
        <v>267</v>
      </c>
      <c r="B19" s="12">
        <v>257718</v>
      </c>
      <c r="C19" s="12">
        <v>413773</v>
      </c>
      <c r="D19" s="12">
        <v>202301</v>
      </c>
      <c r="E19" s="12">
        <v>257477</v>
      </c>
      <c r="F19" s="12">
        <v>372470</v>
      </c>
      <c r="G19" s="12">
        <v>371047</v>
      </c>
      <c r="H19" s="12">
        <v>169457</v>
      </c>
      <c r="I19" s="12">
        <v>202077</v>
      </c>
      <c r="J19" s="12">
        <v>406637</v>
      </c>
      <c r="K19" s="12">
        <v>255393</v>
      </c>
      <c r="L19" s="12">
        <v>158049</v>
      </c>
      <c r="M19" s="12">
        <v>317073</v>
      </c>
    </row>
    <row r="20" spans="1:13" ht="14.25" customHeight="1" x14ac:dyDescent="0.35">
      <c r="A20" s="10" t="s">
        <v>85</v>
      </c>
      <c r="B20" s="12">
        <v>277098</v>
      </c>
      <c r="C20" s="12">
        <v>284984</v>
      </c>
      <c r="D20" s="12">
        <v>164922</v>
      </c>
      <c r="E20" s="12">
        <v>181579</v>
      </c>
      <c r="F20" s="12">
        <v>260717</v>
      </c>
      <c r="G20" s="12">
        <v>414136</v>
      </c>
      <c r="H20" s="12">
        <v>305447</v>
      </c>
      <c r="I20" s="12">
        <v>283691</v>
      </c>
      <c r="J20" s="12">
        <v>359591</v>
      </c>
      <c r="K20" s="12">
        <v>415531</v>
      </c>
      <c r="L20" s="12">
        <v>383485</v>
      </c>
      <c r="M20" s="12">
        <v>154976</v>
      </c>
    </row>
    <row r="21" spans="1:13" ht="14.25" customHeight="1" x14ac:dyDescent="0.35">
      <c r="A21" s="10" t="s">
        <v>156</v>
      </c>
      <c r="B21" s="12">
        <v>212521</v>
      </c>
      <c r="C21" s="12">
        <v>245361</v>
      </c>
      <c r="D21" s="12">
        <v>402338</v>
      </c>
      <c r="E21" s="12">
        <v>153034</v>
      </c>
      <c r="F21" s="12">
        <v>274863</v>
      </c>
      <c r="G21" s="12">
        <v>238363</v>
      </c>
      <c r="H21" s="12">
        <v>231270</v>
      </c>
      <c r="I21" s="12">
        <v>245700</v>
      </c>
      <c r="J21" s="12">
        <v>368067</v>
      </c>
      <c r="K21" s="12">
        <v>297022</v>
      </c>
      <c r="L21" s="12">
        <v>413149</v>
      </c>
      <c r="M21" s="12">
        <v>156857</v>
      </c>
    </row>
    <row r="22" spans="1:13" ht="14.25" customHeight="1" x14ac:dyDescent="0.35">
      <c r="A22" s="10" t="s">
        <v>122</v>
      </c>
      <c r="B22" s="12">
        <v>162799</v>
      </c>
      <c r="C22" s="12">
        <v>304758</v>
      </c>
      <c r="D22" s="12">
        <v>405377</v>
      </c>
      <c r="E22" s="12">
        <v>179658</v>
      </c>
      <c r="F22" s="12">
        <v>404994</v>
      </c>
      <c r="G22" s="12">
        <v>193255</v>
      </c>
      <c r="H22" s="12">
        <v>355444</v>
      </c>
      <c r="I22" s="12">
        <v>246543</v>
      </c>
      <c r="J22" s="12">
        <v>329852</v>
      </c>
      <c r="K22" s="12">
        <v>224665</v>
      </c>
      <c r="L22" s="12">
        <v>361938</v>
      </c>
      <c r="M22" s="12">
        <v>165860</v>
      </c>
    </row>
    <row r="23" spans="1:13" ht="14.25" customHeight="1" x14ac:dyDescent="0.35">
      <c r="A23" s="10" t="s">
        <v>249</v>
      </c>
      <c r="B23" s="12">
        <v>356537</v>
      </c>
      <c r="C23" s="12">
        <v>448297</v>
      </c>
      <c r="D23" s="12">
        <v>156014</v>
      </c>
      <c r="E23" s="12">
        <v>157667</v>
      </c>
      <c r="F23" s="12">
        <v>172713</v>
      </c>
      <c r="G23" s="12">
        <v>196305</v>
      </c>
      <c r="H23" s="12">
        <v>442484</v>
      </c>
      <c r="I23" s="12">
        <v>293581</v>
      </c>
      <c r="J23" s="12">
        <v>280862</v>
      </c>
      <c r="K23" s="12">
        <v>340676</v>
      </c>
      <c r="L23" s="12">
        <v>343411</v>
      </c>
      <c r="M23" s="12">
        <v>437921</v>
      </c>
    </row>
    <row r="24" spans="1:13" ht="14.25" customHeight="1" x14ac:dyDescent="0.35">
      <c r="A24" s="10" t="s">
        <v>118</v>
      </c>
      <c r="B24" s="12">
        <v>218099</v>
      </c>
      <c r="C24" s="12">
        <v>412956</v>
      </c>
      <c r="D24" s="12">
        <v>438770</v>
      </c>
      <c r="E24" s="12">
        <v>172679</v>
      </c>
      <c r="F24" s="12">
        <v>343868</v>
      </c>
      <c r="G24" s="12">
        <v>390384</v>
      </c>
      <c r="H24" s="12">
        <v>400933</v>
      </c>
      <c r="I24" s="12">
        <v>211614</v>
      </c>
      <c r="J24" s="12">
        <v>201857</v>
      </c>
      <c r="K24" s="12">
        <v>430835</v>
      </c>
      <c r="L24" s="12">
        <v>193076</v>
      </c>
      <c r="M24" s="12">
        <v>372598</v>
      </c>
    </row>
    <row r="25" spans="1:13" ht="14.25" customHeight="1" x14ac:dyDescent="0.35">
      <c r="A25" s="10" t="s">
        <v>80</v>
      </c>
      <c r="B25" s="12">
        <v>168635</v>
      </c>
      <c r="C25" s="12">
        <v>214511</v>
      </c>
      <c r="D25" s="12">
        <v>169022</v>
      </c>
      <c r="E25" s="12">
        <v>247159</v>
      </c>
      <c r="F25" s="12">
        <v>304981</v>
      </c>
      <c r="G25" s="12">
        <v>387353</v>
      </c>
      <c r="H25" s="12">
        <v>167057</v>
      </c>
      <c r="I25" s="12">
        <v>403051</v>
      </c>
      <c r="J25" s="12">
        <v>184207</v>
      </c>
      <c r="K25" s="12">
        <v>350145</v>
      </c>
      <c r="L25" s="12">
        <v>376579</v>
      </c>
      <c r="M25" s="12">
        <v>364718</v>
      </c>
    </row>
    <row r="26" spans="1:13" ht="14.25" customHeight="1" x14ac:dyDescent="0.35">
      <c r="A26" s="10" t="s">
        <v>75</v>
      </c>
      <c r="B26" s="12">
        <v>241742</v>
      </c>
      <c r="C26" s="12">
        <v>376544</v>
      </c>
      <c r="D26" s="12">
        <v>289689</v>
      </c>
      <c r="E26" s="12">
        <v>291365</v>
      </c>
      <c r="F26" s="12">
        <v>151669</v>
      </c>
      <c r="G26" s="12">
        <v>237046</v>
      </c>
      <c r="H26" s="12">
        <v>215592</v>
      </c>
      <c r="I26" s="12">
        <v>256462</v>
      </c>
      <c r="J26" s="12">
        <v>219765</v>
      </c>
      <c r="K26" s="12">
        <v>305885</v>
      </c>
      <c r="L26" s="12">
        <v>170489</v>
      </c>
      <c r="M26" s="12">
        <v>328169</v>
      </c>
    </row>
    <row r="27" spans="1:13" ht="14.25" customHeight="1" x14ac:dyDescent="0.35">
      <c r="A27" s="10" t="s">
        <v>165</v>
      </c>
      <c r="B27" s="12">
        <v>206632</v>
      </c>
      <c r="C27" s="12">
        <v>418219</v>
      </c>
      <c r="D27" s="12">
        <v>218871</v>
      </c>
      <c r="E27" s="12">
        <v>424496</v>
      </c>
      <c r="F27" s="12">
        <v>269328</v>
      </c>
      <c r="G27" s="12">
        <v>261309</v>
      </c>
      <c r="H27" s="12">
        <v>244265</v>
      </c>
      <c r="I27" s="12">
        <v>228393</v>
      </c>
      <c r="J27" s="12">
        <v>410956</v>
      </c>
      <c r="K27" s="12">
        <v>314259</v>
      </c>
      <c r="L27" s="12">
        <v>297459</v>
      </c>
      <c r="M27" s="12">
        <v>251313</v>
      </c>
    </row>
    <row r="28" spans="1:13" ht="14.25" customHeight="1" x14ac:dyDescent="0.35">
      <c r="A28" s="10" t="s">
        <v>307</v>
      </c>
      <c r="B28" s="12">
        <v>239781</v>
      </c>
      <c r="C28" s="12">
        <v>430605</v>
      </c>
      <c r="D28" s="12">
        <v>190908</v>
      </c>
      <c r="E28" s="12">
        <v>229129</v>
      </c>
      <c r="F28" s="12">
        <v>196262</v>
      </c>
      <c r="G28" s="12">
        <v>377844</v>
      </c>
      <c r="H28" s="12">
        <v>293147</v>
      </c>
      <c r="I28" s="12">
        <v>370985</v>
      </c>
      <c r="J28" s="12">
        <v>420128</v>
      </c>
      <c r="K28" s="12">
        <v>433140</v>
      </c>
      <c r="L28" s="12">
        <v>408093</v>
      </c>
      <c r="M28" s="12">
        <v>255969</v>
      </c>
    </row>
    <row r="29" spans="1:13" ht="14.25" customHeight="1" x14ac:dyDescent="0.35">
      <c r="A29" s="10" t="s">
        <v>92</v>
      </c>
      <c r="B29" s="12">
        <v>426872</v>
      </c>
      <c r="C29" s="12">
        <v>171719</v>
      </c>
      <c r="D29" s="12">
        <v>169701</v>
      </c>
      <c r="E29" s="12">
        <v>347987</v>
      </c>
      <c r="F29" s="12">
        <v>216195</v>
      </c>
      <c r="G29" s="12">
        <v>412271</v>
      </c>
      <c r="H29" s="12">
        <v>416393</v>
      </c>
      <c r="I29" s="12">
        <v>353569</v>
      </c>
      <c r="J29" s="12">
        <v>323287</v>
      </c>
      <c r="K29" s="12">
        <v>301789</v>
      </c>
      <c r="L29" s="12">
        <v>208839</v>
      </c>
      <c r="M29" s="12">
        <v>369454</v>
      </c>
    </row>
    <row r="30" spans="1:13" ht="14.25" customHeight="1" x14ac:dyDescent="0.35">
      <c r="A30" s="10" t="s">
        <v>193</v>
      </c>
      <c r="B30" s="12">
        <v>233369</v>
      </c>
      <c r="C30" s="12">
        <v>371909</v>
      </c>
      <c r="D30" s="12">
        <v>355248</v>
      </c>
      <c r="E30" s="12">
        <v>156409</v>
      </c>
      <c r="F30" s="12">
        <v>308725</v>
      </c>
      <c r="G30" s="12">
        <v>192883</v>
      </c>
      <c r="H30" s="12">
        <v>180902</v>
      </c>
      <c r="I30" s="12">
        <v>168654</v>
      </c>
      <c r="J30" s="12">
        <v>256191</v>
      </c>
      <c r="K30" s="12">
        <v>320737</v>
      </c>
      <c r="L30" s="12">
        <v>430108</v>
      </c>
      <c r="M30" s="12">
        <v>307413</v>
      </c>
    </row>
    <row r="31" spans="1:13" ht="14.25" customHeight="1" x14ac:dyDescent="0.35">
      <c r="A31" s="10" t="s">
        <v>134</v>
      </c>
      <c r="B31" s="12">
        <v>151584</v>
      </c>
      <c r="C31" s="12">
        <v>221679</v>
      </c>
      <c r="D31" s="12">
        <v>385157</v>
      </c>
      <c r="E31" s="12">
        <v>290386</v>
      </c>
      <c r="F31" s="12">
        <v>236041</v>
      </c>
      <c r="G31" s="12">
        <v>407985</v>
      </c>
      <c r="H31" s="12">
        <v>184446</v>
      </c>
      <c r="I31" s="12">
        <v>342894</v>
      </c>
      <c r="J31" s="12">
        <v>180344</v>
      </c>
      <c r="K31" s="12">
        <v>292917</v>
      </c>
      <c r="L31" s="12">
        <v>314858</v>
      </c>
      <c r="M31" s="12">
        <v>364057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J21"/>
  <sheetViews>
    <sheetView zoomScaleNormal="100" workbookViewId="0">
      <pane ySplit="4" topLeftCell="A9" activePane="bottomLeft" state="frozen"/>
      <selection pane="bottomLeft" activeCell="E10" sqref="C10:E12"/>
    </sheetView>
  </sheetViews>
  <sheetFormatPr defaultColWidth="8.6328125"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265625" customWidth="1"/>
  </cols>
  <sheetData>
    <row r="1" spans="1:10" ht="30" customHeight="1" x14ac:dyDescent="0.35">
      <c r="A1" s="4" t="s">
        <v>2868</v>
      </c>
      <c r="B1" s="4"/>
      <c r="C1" s="4"/>
      <c r="D1" s="4"/>
      <c r="E1" s="4"/>
      <c r="F1" s="4"/>
    </row>
    <row r="2" spans="1:10" ht="14.25" customHeight="1" x14ac:dyDescent="0.35">
      <c r="A2" s="3" t="s">
        <v>2869</v>
      </c>
      <c r="B2" s="3"/>
      <c r="C2" s="3"/>
      <c r="D2" s="3"/>
      <c r="E2" s="3"/>
      <c r="F2" s="3"/>
    </row>
    <row r="3" spans="1:10" ht="14.25" customHeight="1" x14ac:dyDescent="0.35">
      <c r="A3" s="13"/>
      <c r="B3" s="13"/>
      <c r="C3" s="13"/>
      <c r="D3" s="13"/>
      <c r="E3" s="13"/>
      <c r="F3" s="13"/>
    </row>
    <row r="4" spans="1:10" ht="24" customHeight="1" x14ac:dyDescent="0.35">
      <c r="A4" s="14" t="s">
        <v>2870</v>
      </c>
      <c r="B4" s="14" t="s">
        <v>2871</v>
      </c>
      <c r="C4" s="14" t="s">
        <v>2872</v>
      </c>
      <c r="D4" s="14" t="s">
        <v>2873</v>
      </c>
      <c r="E4" s="14" t="s">
        <v>2874</v>
      </c>
      <c r="F4" s="14" t="s">
        <v>2875</v>
      </c>
      <c r="H4" s="9" t="s">
        <v>2876</v>
      </c>
    </row>
    <row r="5" spans="1:10" ht="42" customHeight="1" x14ac:dyDescent="0.35">
      <c r="A5" s="15" t="s">
        <v>2877</v>
      </c>
      <c r="B5" s="16" t="s">
        <v>2878</v>
      </c>
      <c r="C5" s="17">
        <v>3</v>
      </c>
      <c r="D5" s="18" t="s">
        <v>2879</v>
      </c>
      <c r="E5" s="19" t="str">
        <f>VLOOKUP("ORD-00234",Orders!A:C,3,0)</f>
        <v>CUST-0173</v>
      </c>
      <c r="F5" s="20" t="s">
        <v>2880</v>
      </c>
    </row>
    <row r="6" spans="1:10" ht="42" customHeight="1" x14ac:dyDescent="0.35">
      <c r="A6" s="15" t="s">
        <v>2881</v>
      </c>
      <c r="B6" s="16" t="s">
        <v>2882</v>
      </c>
      <c r="C6" s="17">
        <v>3</v>
      </c>
      <c r="D6" s="18" t="s">
        <v>2883</v>
      </c>
      <c r="E6" s="19" t="str">
        <f>VLOOKUP(H6,Products!A:B,2,0)</f>
        <v>Dumbbells 5kg</v>
      </c>
      <c r="F6" s="20" t="s">
        <v>2884</v>
      </c>
      <c r="H6" s="21" t="str">
        <f>VLOOKUP("ORD-00456",Orders!A:D,4,0)</f>
        <v>PROD-052</v>
      </c>
    </row>
    <row r="7" spans="1:10" ht="42" customHeight="1" x14ac:dyDescent="0.35">
      <c r="A7" s="15" t="s">
        <v>2885</v>
      </c>
      <c r="B7" s="16" t="s">
        <v>2886</v>
      </c>
      <c r="C7" s="17">
        <v>3</v>
      </c>
      <c r="D7" s="18" t="s">
        <v>2887</v>
      </c>
      <c r="E7" s="19" t="str">
        <f>VLOOKUP(H7,Sales_Reps!A:B,2,0)</f>
        <v>Nisha Menon</v>
      </c>
      <c r="F7" s="20" t="s">
        <v>2884</v>
      </c>
      <c r="H7" s="21" t="str">
        <f>VLOOKUP("ORD-00987",Orders!A:E,5,0)</f>
        <v>R022</v>
      </c>
    </row>
    <row r="8" spans="1:10" ht="42" customHeight="1" x14ac:dyDescent="0.35">
      <c r="A8" s="15" t="s">
        <v>2888</v>
      </c>
      <c r="B8" s="16" t="s">
        <v>2889</v>
      </c>
      <c r="C8" s="17">
        <v>4</v>
      </c>
      <c r="D8" s="18" t="s">
        <v>2890</v>
      </c>
      <c r="E8" s="22">
        <f>VLOOKUP("R012",Targets!A:M,H8,0)</f>
        <v>321255</v>
      </c>
      <c r="F8" s="20" t="s">
        <v>2891</v>
      </c>
      <c r="H8" s="21">
        <f>MATCH("Mar-24",Targets!A1:M1,0)</f>
        <v>4</v>
      </c>
    </row>
    <row r="9" spans="1:10" ht="42" customHeight="1" x14ac:dyDescent="0.35">
      <c r="A9" s="15" t="s">
        <v>2892</v>
      </c>
      <c r="B9" s="16" t="s">
        <v>2893</v>
      </c>
      <c r="C9" s="17">
        <v>4</v>
      </c>
      <c r="D9" s="18" t="s">
        <v>2894</v>
      </c>
      <c r="E9" s="19" t="str">
        <f>VLOOKUP(H9,Products!A:C,3,0)</f>
        <v>Electronics</v>
      </c>
      <c r="F9" s="20" t="s">
        <v>2884</v>
      </c>
      <c r="H9" s="21" t="str">
        <f>VLOOKUP("ORD-01500",Orders!A:D,4,0)</f>
        <v>PROD-004</v>
      </c>
    </row>
    <row r="10" spans="1:10" ht="42" customHeight="1" x14ac:dyDescent="0.35">
      <c r="A10" s="15" t="s">
        <v>2895</v>
      </c>
      <c r="B10" s="16" t="s">
        <v>2896</v>
      </c>
      <c r="C10" s="17">
        <v>3</v>
      </c>
      <c r="D10" s="18" t="s">
        <v>2897</v>
      </c>
      <c r="E10" s="19" t="str">
        <f>VLOOKUP(H10,B18:C21,2,TRUE())</f>
        <v>Bronze</v>
      </c>
      <c r="F10" s="20" t="s">
        <v>2884</v>
      </c>
      <c r="H10" s="21">
        <f>VLOOKUP("ORD-00789",Orders!A:H,8,0)</f>
        <v>0.9</v>
      </c>
    </row>
    <row r="11" spans="1:10" ht="42" customHeight="1" x14ac:dyDescent="0.35">
      <c r="A11" s="15" t="s">
        <v>2898</v>
      </c>
      <c r="B11" s="16" t="s">
        <v>2899</v>
      </c>
      <c r="C11" s="17">
        <v>3</v>
      </c>
      <c r="D11" s="18" t="s">
        <v>2900</v>
      </c>
      <c r="E11" s="19" t="str">
        <f>I11&amp;" ("&amp;J11&amp;")"</f>
        <v>Sanjay Kapoor (South)</v>
      </c>
      <c r="F11" s="20" t="s">
        <v>2884</v>
      </c>
      <c r="H11" s="21" t="str">
        <f>VLOOKUP("ORD-01234",Orders!A:E,5,0)</f>
        <v>R013</v>
      </c>
      <c r="I11" s="21" t="str">
        <f>VLOOKUP(H11,Sales_Reps!A:C,2,0)</f>
        <v>Sanjay Kapoor</v>
      </c>
      <c r="J11" s="21" t="str">
        <f>VLOOKUP(H11,Sales_Reps!A:C,3,0)</f>
        <v>South</v>
      </c>
    </row>
    <row r="12" spans="1:10" ht="42" customHeight="1" x14ac:dyDescent="0.35">
      <c r="A12" s="15" t="s">
        <v>2901</v>
      </c>
      <c r="B12" s="16" t="s">
        <v>2902</v>
      </c>
      <c r="C12" s="17">
        <v>2</v>
      </c>
      <c r="D12" s="18" t="s">
        <v>2903</v>
      </c>
      <c r="E12" s="19" t="str">
        <f>VLOOKUP(H12,Sales_Reps!A:B,2,0)</f>
        <v>Amit Singh</v>
      </c>
      <c r="F12" s="20" t="s">
        <v>2884</v>
      </c>
      <c r="H12" s="21" t="str">
        <f>VLOOKUP("R017",Sales_Reps!A:E,5,0)</f>
        <v>R003</v>
      </c>
    </row>
    <row r="15" spans="1:10" ht="14.25" customHeight="1" x14ac:dyDescent="0.35">
      <c r="B15" s="23" t="s">
        <v>2904</v>
      </c>
    </row>
    <row r="17" spans="2:3" ht="14.25" customHeight="1" x14ac:dyDescent="0.35">
      <c r="B17" s="24" t="s">
        <v>2905</v>
      </c>
      <c r="C17" s="24" t="s">
        <v>2906</v>
      </c>
    </row>
    <row r="18" spans="2:3" ht="14.25" customHeight="1" x14ac:dyDescent="0.35">
      <c r="B18" s="25">
        <v>0</v>
      </c>
      <c r="C18" s="25" t="s">
        <v>2907</v>
      </c>
    </row>
    <row r="19" spans="2:3" ht="14.25" customHeight="1" x14ac:dyDescent="0.35">
      <c r="B19" s="25">
        <v>5</v>
      </c>
      <c r="C19" s="25" t="s">
        <v>2908</v>
      </c>
    </row>
    <row r="20" spans="2:3" ht="14.25" customHeight="1" x14ac:dyDescent="0.35">
      <c r="B20" s="25">
        <v>15</v>
      </c>
      <c r="C20" s="25" t="s">
        <v>2909</v>
      </c>
    </row>
    <row r="21" spans="2:3" ht="14.25" customHeight="1" x14ac:dyDescent="0.35">
      <c r="B21" s="25">
        <v>25</v>
      </c>
      <c r="C21" s="25" t="s">
        <v>2910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tabSelected="1" zoomScaleNormal="100" workbookViewId="0">
      <pane ySplit="4" topLeftCell="A5" activePane="bottomLeft" state="frozen"/>
      <selection pane="bottomLeft" activeCell="E8" sqref="E8"/>
    </sheetView>
  </sheetViews>
  <sheetFormatPr defaultColWidth="8.6328125"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5">
      <c r="A1" s="4" t="s">
        <v>2911</v>
      </c>
      <c r="B1" s="4"/>
      <c r="C1" s="4"/>
      <c r="D1" s="4"/>
      <c r="E1" s="4"/>
      <c r="F1" s="4"/>
    </row>
    <row r="2" spans="1:6" ht="14.25" customHeight="1" x14ac:dyDescent="0.35">
      <c r="A2" s="3" t="s">
        <v>2912</v>
      </c>
      <c r="B2" s="3"/>
      <c r="C2" s="3"/>
      <c r="D2" s="3"/>
      <c r="E2" s="3"/>
      <c r="F2" s="3"/>
    </row>
    <row r="3" spans="1:6" ht="14.25" customHeight="1" x14ac:dyDescent="0.35">
      <c r="A3" s="13"/>
      <c r="B3" s="13"/>
      <c r="C3" s="13"/>
      <c r="D3" s="13"/>
      <c r="E3" s="13"/>
      <c r="F3" s="13"/>
    </row>
    <row r="4" spans="1:6" ht="24" customHeight="1" x14ac:dyDescent="0.35">
      <c r="A4" s="14" t="s">
        <v>2870</v>
      </c>
      <c r="B4" s="14" t="s">
        <v>2871</v>
      </c>
      <c r="C4" s="14" t="s">
        <v>2872</v>
      </c>
      <c r="D4" s="14" t="s">
        <v>2873</v>
      </c>
      <c r="E4" s="14" t="s">
        <v>2874</v>
      </c>
      <c r="F4" s="14" t="s">
        <v>2875</v>
      </c>
    </row>
    <row r="5" spans="1:6" ht="42" customHeight="1" x14ac:dyDescent="0.35">
      <c r="A5" s="15" t="s">
        <v>2913</v>
      </c>
      <c r="B5" s="16" t="s">
        <v>2914</v>
      </c>
      <c r="C5" s="17">
        <v>3</v>
      </c>
      <c r="D5" s="18" t="s">
        <v>2915</v>
      </c>
      <c r="E5" s="22">
        <f>SUM(Orders!T:T)</f>
        <v>20</v>
      </c>
      <c r="F5" s="20" t="s">
        <v>2891</v>
      </c>
    </row>
    <row r="6" spans="1:6" ht="42" customHeight="1" x14ac:dyDescent="0.35">
      <c r="A6" s="15" t="s">
        <v>2916</v>
      </c>
      <c r="B6" s="16" t="s">
        <v>2917</v>
      </c>
      <c r="C6" s="17">
        <v>3</v>
      </c>
      <c r="D6" s="18" t="s">
        <v>2918</v>
      </c>
      <c r="E6" s="22">
        <f>SUM(Customers!K:K)</f>
        <v>15</v>
      </c>
      <c r="F6" s="20" t="s">
        <v>2891</v>
      </c>
    </row>
    <row r="7" spans="1:6" ht="42" customHeight="1" x14ac:dyDescent="0.35">
      <c r="A7" s="15" t="s">
        <v>2919</v>
      </c>
      <c r="B7" s="16" t="s">
        <v>2920</v>
      </c>
      <c r="C7" s="17">
        <v>3</v>
      </c>
      <c r="D7" s="18" t="s">
        <v>2921</v>
      </c>
      <c r="E7" s="22">
        <f>SUM(Customers!H:H)</f>
        <v>6</v>
      </c>
      <c r="F7" s="20" t="s">
        <v>2891</v>
      </c>
    </row>
    <row r="8" spans="1:6" ht="42" customHeight="1" x14ac:dyDescent="0.35">
      <c r="A8" s="15" t="s">
        <v>2922</v>
      </c>
      <c r="B8" s="16" t="s">
        <v>2923</v>
      </c>
      <c r="C8" s="17">
        <v>4</v>
      </c>
      <c r="D8" s="18" t="s">
        <v>2924</v>
      </c>
      <c r="E8" s="22">
        <f>COUNTIF(Orders!U:U,0)</f>
        <v>30</v>
      </c>
      <c r="F8" s="20" t="s">
        <v>2891</v>
      </c>
    </row>
    <row r="9" spans="1:6" ht="42" customHeight="1" x14ac:dyDescent="0.35">
      <c r="A9" s="15" t="s">
        <v>2925</v>
      </c>
      <c r="B9" s="16" t="s">
        <v>2926</v>
      </c>
      <c r="C9" s="17">
        <v>3</v>
      </c>
      <c r="D9" s="18" t="s">
        <v>2927</v>
      </c>
      <c r="E9" s="22">
        <f>COUNTIF(Orders!Q:Q,FALSE())</f>
        <v>174</v>
      </c>
      <c r="F9" s="20" t="s">
        <v>2891</v>
      </c>
    </row>
    <row r="10" spans="1:6" ht="42" customHeight="1" x14ac:dyDescent="0.35">
      <c r="A10" s="15" t="s">
        <v>2928</v>
      </c>
      <c r="B10" s="16" t="s">
        <v>2929</v>
      </c>
      <c r="C10" s="17">
        <v>4</v>
      </c>
      <c r="D10" s="18" t="s">
        <v>2930</v>
      </c>
      <c r="E10" s="22">
        <f>COUNTIFS(Orders!J:J,"Cancelled",Orders!H:H,"&gt;20")</f>
        <v>58</v>
      </c>
      <c r="F10" s="20" t="s">
        <v>2891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K10"/>
  <sheetViews>
    <sheetView zoomScaleNormal="100" workbookViewId="0">
      <pane ySplit="4" topLeftCell="A5" activePane="bottomLeft" state="frozen"/>
      <selection pane="bottomLeft" activeCell="A2" sqref="A2"/>
    </sheetView>
  </sheetViews>
  <sheetFormatPr defaultColWidth="8.6328125"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11" ht="30" customHeight="1" x14ac:dyDescent="0.35">
      <c r="A1" s="2" t="s">
        <v>2931</v>
      </c>
      <c r="B1" s="2"/>
      <c r="C1" s="2"/>
      <c r="D1" s="2"/>
      <c r="E1" s="2"/>
      <c r="F1" s="2"/>
    </row>
    <row r="2" spans="1:11" ht="14.25" customHeight="1" x14ac:dyDescent="0.35">
      <c r="A2" s="3" t="s">
        <v>2932</v>
      </c>
      <c r="B2" s="3"/>
      <c r="C2" s="3"/>
      <c r="D2" s="3"/>
      <c r="E2" s="3"/>
      <c r="F2" s="3"/>
    </row>
    <row r="3" spans="1:11" ht="14.25" customHeight="1" x14ac:dyDescent="0.35">
      <c r="A3" s="13"/>
      <c r="B3" s="13"/>
      <c r="C3" s="13"/>
      <c r="D3" s="13"/>
      <c r="E3" s="13"/>
      <c r="F3" s="13"/>
    </row>
    <row r="4" spans="1:11" ht="24" customHeight="1" x14ac:dyDescent="0.35">
      <c r="A4" s="14" t="s">
        <v>2870</v>
      </c>
      <c r="B4" s="14" t="s">
        <v>2871</v>
      </c>
      <c r="C4" s="14" t="s">
        <v>2872</v>
      </c>
      <c r="D4" s="14" t="s">
        <v>2873</v>
      </c>
      <c r="E4" s="14" t="s">
        <v>2874</v>
      </c>
      <c r="F4" s="14" t="s">
        <v>2875</v>
      </c>
      <c r="H4" s="9" t="s">
        <v>2876</v>
      </c>
    </row>
    <row r="5" spans="1:11" ht="42" customHeight="1" x14ac:dyDescent="0.35">
      <c r="A5" s="15" t="s">
        <v>2933</v>
      </c>
      <c r="B5" s="16" t="s">
        <v>2934</v>
      </c>
      <c r="C5" s="17">
        <v>4</v>
      </c>
      <c r="D5" s="18" t="s">
        <v>2935</v>
      </c>
      <c r="E5" s="26">
        <f>SUMIFS(Orders!I:I,Orders!B:B,"&gt;="&amp;DATE(2024,7,1),Orders!B:B,"&lt;="&amp;DATE(2024,9,30),Orders!K:K,"Mumbai")</f>
        <v>1217239.0099999998</v>
      </c>
      <c r="F5" s="20" t="s">
        <v>2936</v>
      </c>
    </row>
    <row r="6" spans="1:11" ht="42" customHeight="1" x14ac:dyDescent="0.35">
      <c r="A6" s="15" t="s">
        <v>2937</v>
      </c>
      <c r="B6" s="16" t="s">
        <v>2938</v>
      </c>
      <c r="C6" s="17">
        <v>3</v>
      </c>
      <c r="D6" s="18" t="s">
        <v>2939</v>
      </c>
      <c r="E6" s="22">
        <f>COUNTIFS(Orders!H:H,"&gt;15",Orders!J:J,"Completed")</f>
        <v>723</v>
      </c>
      <c r="F6" s="20" t="s">
        <v>2891</v>
      </c>
    </row>
    <row r="7" spans="1:11" ht="42" customHeight="1" x14ac:dyDescent="0.35">
      <c r="A7" s="15" t="s">
        <v>2940</v>
      </c>
      <c r="B7" s="16" t="s">
        <v>2941</v>
      </c>
      <c r="C7" s="17">
        <v>5</v>
      </c>
      <c r="D7" s="18" t="s">
        <v>2942</v>
      </c>
      <c r="E7" s="26">
        <f>AVERAGEIFS(Orders!I:I,Orders!L:L,"Electronics",Orders!N:N,"Corporate")</f>
        <v>13981.401558441557</v>
      </c>
      <c r="F7" s="20" t="s">
        <v>2936</v>
      </c>
    </row>
    <row r="8" spans="1:11" ht="42" customHeight="1" x14ac:dyDescent="0.35">
      <c r="A8" s="15" t="s">
        <v>2943</v>
      </c>
      <c r="B8" s="16" t="s">
        <v>2944</v>
      </c>
      <c r="C8" s="17">
        <v>4</v>
      </c>
      <c r="D8" s="18" t="s">
        <v>2945</v>
      </c>
      <c r="E8" s="26">
        <f>LARGE(Sales_Reps!F:F,1)+LARGE(Sales_Reps!F:F,2)+LARGE(Sales_Reps!F:F,3)</f>
        <v>3342678.55</v>
      </c>
      <c r="F8" s="20" t="s">
        <v>2936</v>
      </c>
    </row>
    <row r="9" spans="1:11" ht="42" customHeight="1" x14ac:dyDescent="0.35">
      <c r="A9" s="15" t="s">
        <v>2946</v>
      </c>
      <c r="B9" s="16" t="s">
        <v>2947</v>
      </c>
      <c r="C9" s="17">
        <v>5</v>
      </c>
      <c r="D9" s="18" t="s">
        <v>2948</v>
      </c>
      <c r="E9" s="19" t="str">
        <f>IF(K9&lt;0.8,"Below",IF(K9&lt;=1.2,"On Track","Exceeds"))</f>
        <v>Below</v>
      </c>
      <c r="F9" s="20" t="s">
        <v>2884</v>
      </c>
      <c r="H9" s="21">
        <f>SUMIFS(Orders!I:I,Orders!E:E,"R015",Orders!B:B,"&gt;="&amp;DATE(2024,11,1),Orders!B:B,"&lt;="&amp;DATE(2024,11,30))</f>
        <v>97394.65</v>
      </c>
      <c r="I9" s="21">
        <f>MATCH("Nov-24",Targets!A1:M1,0)</f>
        <v>12</v>
      </c>
      <c r="J9" s="21">
        <f>VLOOKUP("R015",Targets!A:M,I9,0)</f>
        <v>418857</v>
      </c>
      <c r="K9" s="21">
        <f>H9/J9</f>
        <v>0.23252482350778428</v>
      </c>
    </row>
    <row r="10" spans="1:11" ht="42" customHeight="1" x14ac:dyDescent="0.35">
      <c r="A10" s="15" t="s">
        <v>2949</v>
      </c>
      <c r="B10" s="16" t="s">
        <v>2950</v>
      </c>
      <c r="C10" s="17">
        <v>4</v>
      </c>
      <c r="D10" s="18" t="s">
        <v>2951</v>
      </c>
      <c r="E10" s="26">
        <f>SUMIFS(Orders!I:I,Orders!N:N,"Corporate",Orders!O:O,"&gt;=30",Orders!O:O,"&lt;=40")</f>
        <v>982568.40000000014</v>
      </c>
      <c r="F10" s="20" t="s">
        <v>2936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I9"/>
  <sheetViews>
    <sheetView zoomScaleNormal="100" workbookViewId="0">
      <pane ySplit="4" topLeftCell="A5" activePane="bottomLeft" state="frozen"/>
      <selection pane="bottomLeft" activeCell="A2" sqref="A2"/>
    </sheetView>
  </sheetViews>
  <sheetFormatPr defaultColWidth="8.6328125"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9" ht="30" customHeight="1" x14ac:dyDescent="0.35">
      <c r="A1" s="2" t="s">
        <v>2952</v>
      </c>
      <c r="B1" s="2"/>
      <c r="C1" s="2"/>
      <c r="D1" s="2"/>
      <c r="E1" s="2"/>
      <c r="F1" s="2"/>
    </row>
    <row r="2" spans="1:9" ht="14.25" customHeight="1" x14ac:dyDescent="0.35">
      <c r="A2" s="1" t="s">
        <v>2953</v>
      </c>
      <c r="B2" s="1"/>
      <c r="C2" s="1"/>
      <c r="D2" s="1"/>
      <c r="E2" s="1"/>
      <c r="F2" s="1"/>
    </row>
    <row r="4" spans="1:9" ht="24" customHeight="1" x14ac:dyDescent="0.35">
      <c r="A4" s="6" t="s">
        <v>2870</v>
      </c>
      <c r="B4" s="6" t="s">
        <v>2871</v>
      </c>
      <c r="C4" s="6" t="s">
        <v>2872</v>
      </c>
      <c r="D4" s="6" t="s">
        <v>2873</v>
      </c>
      <c r="E4" s="6" t="s">
        <v>2874</v>
      </c>
      <c r="F4" s="6" t="s">
        <v>2875</v>
      </c>
      <c r="H4" s="9" t="s">
        <v>2876</v>
      </c>
    </row>
    <row r="5" spans="1:9" ht="42" customHeight="1" x14ac:dyDescent="0.35">
      <c r="A5" s="27" t="s">
        <v>2954</v>
      </c>
      <c r="B5" s="28" t="s">
        <v>2955</v>
      </c>
      <c r="C5" s="29">
        <v>4</v>
      </c>
      <c r="D5" s="30" t="s">
        <v>2956</v>
      </c>
      <c r="E5" s="31">
        <f>SUMIFS(Orders!I:I,Orders!M:M,"South",Orders!L:L,"Electronics")</f>
        <v>1314107.3899999999</v>
      </c>
      <c r="F5" s="32" t="s">
        <v>2936</v>
      </c>
    </row>
    <row r="6" spans="1:9" ht="42" customHeight="1" x14ac:dyDescent="0.35">
      <c r="A6" s="27" t="s">
        <v>2957</v>
      </c>
      <c r="B6" s="28" t="s">
        <v>2958</v>
      </c>
      <c r="C6" s="29">
        <v>4</v>
      </c>
      <c r="D6" s="30" t="s">
        <v>2959</v>
      </c>
      <c r="E6" s="31">
        <f>MAX(PivotHelper!B2:M31)</f>
        <v>216421.52000000002</v>
      </c>
      <c r="F6" s="32" t="s">
        <v>2936</v>
      </c>
    </row>
    <row r="7" spans="1:9" ht="42" customHeight="1" x14ac:dyDescent="0.35">
      <c r="A7" s="27" t="s">
        <v>2960</v>
      </c>
      <c r="B7" s="28" t="s">
        <v>2961</v>
      </c>
      <c r="C7" s="29">
        <v>4</v>
      </c>
      <c r="D7" s="30" t="s">
        <v>2962</v>
      </c>
      <c r="E7" s="33">
        <f>H7/I7</f>
        <v>0.14023150471988341</v>
      </c>
      <c r="F7" s="32" t="s">
        <v>2963</v>
      </c>
      <c r="H7" s="21">
        <f>SUMIFS(Orders!I:I,Orders!M:M,"North",Orders!L:L,"Apparel")</f>
        <v>979380.9700000002</v>
      </c>
      <c r="I7" s="21">
        <f>SUMIFS(Orders!I:I,Orders!M:M,"North")</f>
        <v>6984029.5300000003</v>
      </c>
    </row>
    <row r="8" spans="1:9" ht="42" customHeight="1" x14ac:dyDescent="0.35">
      <c r="A8" s="27" t="s">
        <v>2964</v>
      </c>
      <c r="B8" s="28" t="s">
        <v>2965</v>
      </c>
      <c r="C8" s="29">
        <v>4</v>
      </c>
      <c r="D8" s="30" t="s">
        <v>2966</v>
      </c>
      <c r="E8" s="31">
        <f>SUMIFS(Orders!I:I,Orders!B:B,"&gt;="&amp;DATE(2024,10,1),Orders!B:B,"&lt;="&amp;DATE(2024,12,31))</f>
        <v>6459442.9800000004</v>
      </c>
      <c r="F8" s="32" t="s">
        <v>2936</v>
      </c>
    </row>
    <row r="9" spans="1:9" ht="42" customHeight="1" x14ac:dyDescent="0.35">
      <c r="A9" s="27" t="s">
        <v>2967</v>
      </c>
      <c r="B9" s="28" t="s">
        <v>2968</v>
      </c>
      <c r="C9" s="29">
        <v>4</v>
      </c>
      <c r="D9" s="30" t="s">
        <v>2969</v>
      </c>
      <c r="E9" s="33">
        <f>AVERAGEIFS(Orders!R:R,Orders!K:K,"Delhi")</f>
        <v>0.4488087270396342</v>
      </c>
      <c r="F9" s="32" t="s">
        <v>2963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zoomScaleNormal="100" workbookViewId="0">
      <pane ySplit="4" topLeftCell="A5" activePane="bottomLeft" state="frozen"/>
      <selection pane="bottomLeft" activeCell="F9" sqref="F9"/>
    </sheetView>
  </sheetViews>
  <sheetFormatPr defaultColWidth="8.6328125"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5">
      <c r="A1" s="2" t="s">
        <v>2970</v>
      </c>
      <c r="B1" s="2"/>
      <c r="C1" s="2"/>
      <c r="D1" s="2"/>
      <c r="E1" s="2"/>
      <c r="F1" s="2"/>
    </row>
    <row r="2" spans="1:6" ht="14.25" customHeight="1" x14ac:dyDescent="0.35">
      <c r="A2" s="1" t="s">
        <v>2971</v>
      </c>
      <c r="B2" s="1"/>
      <c r="C2" s="1"/>
      <c r="D2" s="1"/>
      <c r="E2" s="1"/>
      <c r="F2" s="1"/>
    </row>
    <row r="4" spans="1:6" ht="24" customHeight="1" x14ac:dyDescent="0.35">
      <c r="A4" s="6" t="s">
        <v>2870</v>
      </c>
      <c r="B4" s="6" t="s">
        <v>2871</v>
      </c>
      <c r="C4" s="6" t="s">
        <v>2872</v>
      </c>
      <c r="D4" s="6" t="s">
        <v>2873</v>
      </c>
      <c r="E4" s="6" t="s">
        <v>2874</v>
      </c>
      <c r="F4" s="6" t="s">
        <v>2875</v>
      </c>
    </row>
    <row r="5" spans="1:6" ht="42" customHeight="1" x14ac:dyDescent="0.35">
      <c r="A5" s="27" t="s">
        <v>2972</v>
      </c>
      <c r="B5" s="28" t="s">
        <v>2973</v>
      </c>
      <c r="C5" s="29">
        <v>2</v>
      </c>
      <c r="D5" s="30" t="s">
        <v>2974</v>
      </c>
      <c r="E5" s="34" t="str">
        <f>VLOOKUP(7,Sales_Reps!G:H,2,0)</f>
        <v>Amit Singh</v>
      </c>
      <c r="F5" s="32" t="s">
        <v>2884</v>
      </c>
    </row>
    <row r="6" spans="1:6" ht="42" customHeight="1" x14ac:dyDescent="0.35">
      <c r="A6" s="27" t="s">
        <v>2975</v>
      </c>
      <c r="B6" s="28" t="s">
        <v>2976</v>
      </c>
      <c r="C6" s="29">
        <v>2</v>
      </c>
      <c r="D6" s="30" t="s">
        <v>2977</v>
      </c>
      <c r="E6" s="31">
        <f>SUMIFS(Orders!I:I,Orders!B:B,"&lt;="&amp;DATE(2024,8,31))</f>
        <v>18050689.600000005</v>
      </c>
      <c r="F6" s="32" t="s">
        <v>2936</v>
      </c>
    </row>
    <row r="7" spans="1:6" ht="42" customHeight="1" x14ac:dyDescent="0.35">
      <c r="A7" s="27" t="s">
        <v>2978</v>
      </c>
      <c r="B7" s="28" t="s">
        <v>2979</v>
      </c>
      <c r="C7" s="29">
        <v>3</v>
      </c>
      <c r="D7" s="30" t="s">
        <v>2980</v>
      </c>
      <c r="E7" s="34" t="str">
        <f>VLOOKUP(2,Products!H:I,2,0)</f>
        <v>Smart Watch</v>
      </c>
      <c r="F7" s="32" t="s">
        <v>2884</v>
      </c>
    </row>
    <row r="8" spans="1:6" ht="42" customHeight="1" x14ac:dyDescent="0.35">
      <c r="A8" s="27" t="s">
        <v>2981</v>
      </c>
      <c r="B8" s="28" t="s">
        <v>2982</v>
      </c>
      <c r="C8" s="29">
        <v>2</v>
      </c>
      <c r="D8" s="30" t="s">
        <v>2983</v>
      </c>
      <c r="E8" s="34" t="str">
        <f>VLOOKUP(1,Sales_Reps!G:H,2,0)&amp;" | "&amp;VLOOKUP(2,Sales_Reps!G:H,2,0)&amp;" | "&amp;VLOOKUP(3,Sales_Reps!G:H,2,0)&amp;" | "&amp;VLOOKUP(4,Sales_Reps!G:H,2,0)&amp;" | "&amp;VLOOKUP(5,Sales_Reps!G:H,2,0)</f>
        <v>Neha Desai | Shalini Patel | Deepak Shah | Nisha Menon | Arun Iyer</v>
      </c>
      <c r="F8" s="32" t="s">
        <v>2884</v>
      </c>
    </row>
    <row r="9" spans="1:6" ht="42" customHeight="1" x14ac:dyDescent="0.35">
      <c r="A9" s="27" t="s">
        <v>2984</v>
      </c>
      <c r="B9" s="28" t="s">
        <v>2985</v>
      </c>
      <c r="C9" s="29">
        <v>1</v>
      </c>
      <c r="D9" s="30" t="s">
        <v>2986</v>
      </c>
      <c r="E9" s="31">
        <f>MAX(Orders!V:V)</f>
        <v>22134</v>
      </c>
      <c r="F9" s="32" t="s">
        <v>2936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1"/>
  <sheetViews>
    <sheetView zoomScaleNormal="100" workbookViewId="0"/>
  </sheetViews>
  <sheetFormatPr defaultColWidth="8.6328125" defaultRowHeight="14.5" x14ac:dyDescent="0.35"/>
  <sheetData>
    <row r="1" spans="1:13" ht="15" customHeight="1" x14ac:dyDescent="0.35">
      <c r="A1" s="9" t="s">
        <v>2817</v>
      </c>
      <c r="B1" s="9" t="s">
        <v>2856</v>
      </c>
      <c r="C1" s="9" t="s">
        <v>2857</v>
      </c>
      <c r="D1" s="9" t="s">
        <v>2858</v>
      </c>
      <c r="E1" s="9" t="s">
        <v>2859</v>
      </c>
      <c r="F1" s="9" t="s">
        <v>2860</v>
      </c>
      <c r="G1" s="9" t="s">
        <v>2861</v>
      </c>
      <c r="H1" s="9" t="s">
        <v>2862</v>
      </c>
      <c r="I1" s="9" t="s">
        <v>2863</v>
      </c>
      <c r="J1" s="9" t="s">
        <v>2864</v>
      </c>
      <c r="K1" s="9" t="s">
        <v>2865</v>
      </c>
      <c r="L1" s="9" t="s">
        <v>2866</v>
      </c>
      <c r="M1" s="9" t="s">
        <v>2867</v>
      </c>
    </row>
    <row r="2" spans="1:13" ht="15" customHeight="1" x14ac:dyDescent="0.35">
      <c r="A2" t="str">
        <f>Sales_Reps!A2</f>
        <v>R001</v>
      </c>
      <c r="B2">
        <f>SUMIFS(Orders!$I$2:$I$2001,Orders!$E$2:$E$2001,$A2,Orders!$B$2:$B$2001,"&gt;="&amp;DATE(2024,1,1),Orders!$B$2:$B$2001,"&lt;"&amp;DATE(2024,2,1))</f>
        <v>43650.559999999998</v>
      </c>
      <c r="C2">
        <f>SUMIFS(Orders!$I$2:$I$2001,Orders!$E$2:$E$2001,$A2,Orders!$B$2:$B$2001,"&gt;="&amp;DATE(2024,2,1),Orders!$B$2:$B$2001,"&lt;"&amp;DATE(2024,3,1))</f>
        <v>127005.17000000001</v>
      </c>
      <c r="D2">
        <f>SUMIFS(Orders!$I$2:$I$2001,Orders!$E$2:$E$2001,$A2,Orders!$B$2:$B$2001,"&gt;="&amp;DATE(2024,3,1),Orders!$B$2:$B$2001,"&lt;"&amp;DATE(2024,4,1))</f>
        <v>58208.49</v>
      </c>
      <c r="E2">
        <f>SUMIFS(Orders!$I$2:$I$2001,Orders!$E$2:$E$2001,$A2,Orders!$B$2:$B$2001,"&gt;="&amp;DATE(2024,4,1),Orders!$B$2:$B$2001,"&lt;"&amp;DATE(2024,5,1))</f>
        <v>33643.480000000003</v>
      </c>
      <c r="F2">
        <f>SUMIFS(Orders!$I$2:$I$2001,Orders!$E$2:$E$2001,$A2,Orders!$B$2:$B$2001,"&gt;="&amp;DATE(2024,5,1),Orders!$B$2:$B$2001,"&lt;"&amp;DATE(2024,6,1))</f>
        <v>44809.659999999996</v>
      </c>
      <c r="G2">
        <f>SUMIFS(Orders!$I$2:$I$2001,Orders!$E$2:$E$2001,$A2,Orders!$B$2:$B$2001,"&gt;="&amp;DATE(2024,6,1),Orders!$B$2:$B$2001,"&lt;"&amp;DATE(2024,7,1))</f>
        <v>82789.949999999983</v>
      </c>
      <c r="H2">
        <f>SUMIFS(Orders!$I$2:$I$2001,Orders!$E$2:$E$2001,$A2,Orders!$B$2:$B$2001,"&gt;="&amp;DATE(2024,7,1),Orders!$B$2:$B$2001,"&lt;"&amp;DATE(2024,8,1))</f>
        <v>28761.200000000001</v>
      </c>
      <c r="I2">
        <f>SUMIFS(Orders!$I$2:$I$2001,Orders!$E$2:$E$2001,$A2,Orders!$B$2:$B$2001,"&gt;="&amp;DATE(2024,8,1),Orders!$B$2:$B$2001,"&lt;"&amp;DATE(2024,9,1))</f>
        <v>92676.920000000013</v>
      </c>
      <c r="J2">
        <f>SUMIFS(Orders!$I$2:$I$2001,Orders!$E$2:$E$2001,$A2,Orders!$B$2:$B$2001,"&gt;="&amp;DATE(2024,9,1),Orders!$B$2:$B$2001,"&lt;"&amp;DATE(2024,10,1))</f>
        <v>88884.34</v>
      </c>
      <c r="K2">
        <f>SUMIFS(Orders!$I$2:$I$2001,Orders!$E$2:$E$2001,$A2,Orders!$B$2:$B$2001,"&gt;="&amp;DATE(2024,10,1),Orders!$B$2:$B$2001,"&lt;"&amp;DATE(2024,11,1))</f>
        <v>37753.900000000009</v>
      </c>
      <c r="L2">
        <f>SUMIFS(Orders!$I$2:$I$2001,Orders!$E$2:$E$2001,$A2,Orders!$B$2:$B$2001,"&gt;="&amp;DATE(2024,11,1),Orders!$B$2:$B$2001,"&lt;"&amp;DATE(2024,12,1))</f>
        <v>72215.41</v>
      </c>
      <c r="M2">
        <f>SUMIFS(Orders!$I$2:$I$2001,Orders!$E$2:$E$2001,$A2,Orders!$B$2:$B$2001,"&gt;="&amp;DATE(2024,12,1),Orders!$B$2:$B$2001,"&lt;"&amp;DATE(2025,1,1))</f>
        <v>79450.51999999999</v>
      </c>
    </row>
    <row r="3" spans="1:13" ht="15" customHeight="1" x14ac:dyDescent="0.35">
      <c r="A3" t="str">
        <f>Sales_Reps!A3</f>
        <v>R002</v>
      </c>
      <c r="B3">
        <f>SUMIFS(Orders!$I$2:$I$2001,Orders!$E$2:$E$2001,$A3,Orders!$B$2:$B$2001,"&gt;="&amp;DATE(2024,1,1),Orders!$B$2:$B$2001,"&lt;"&amp;DATE(2024,2,1))</f>
        <v>51707.32</v>
      </c>
      <c r="C3">
        <f>SUMIFS(Orders!$I$2:$I$2001,Orders!$E$2:$E$2001,$A3,Orders!$B$2:$B$2001,"&gt;="&amp;DATE(2024,2,1),Orders!$B$2:$B$2001,"&lt;"&amp;DATE(2024,3,1))</f>
        <v>125187.78</v>
      </c>
      <c r="D3">
        <f>SUMIFS(Orders!$I$2:$I$2001,Orders!$E$2:$E$2001,$A3,Orders!$B$2:$B$2001,"&gt;="&amp;DATE(2024,3,1),Orders!$B$2:$B$2001,"&lt;"&amp;DATE(2024,4,1))</f>
        <v>53533</v>
      </c>
      <c r="E3">
        <f>SUMIFS(Orders!$I$2:$I$2001,Orders!$E$2:$E$2001,$A3,Orders!$B$2:$B$2001,"&gt;="&amp;DATE(2024,4,1),Orders!$B$2:$B$2001,"&lt;"&amp;DATE(2024,5,1))</f>
        <v>46286.92</v>
      </c>
      <c r="F3">
        <f>SUMIFS(Orders!$I$2:$I$2001,Orders!$E$2:$E$2001,$A3,Orders!$B$2:$B$2001,"&gt;="&amp;DATE(2024,5,1),Orders!$B$2:$B$2001,"&lt;"&amp;DATE(2024,6,1))</f>
        <v>89794.86</v>
      </c>
      <c r="G3">
        <f>SUMIFS(Orders!$I$2:$I$2001,Orders!$E$2:$E$2001,$A3,Orders!$B$2:$B$2001,"&gt;="&amp;DATE(2024,6,1),Orders!$B$2:$B$2001,"&lt;"&amp;DATE(2024,7,1))</f>
        <v>82753.37000000001</v>
      </c>
      <c r="H3">
        <f>SUMIFS(Orders!$I$2:$I$2001,Orders!$E$2:$E$2001,$A3,Orders!$B$2:$B$2001,"&gt;="&amp;DATE(2024,7,1),Orders!$B$2:$B$2001,"&lt;"&amp;DATE(2024,8,1))</f>
        <v>62949.74</v>
      </c>
      <c r="I3">
        <f>SUMIFS(Orders!$I$2:$I$2001,Orders!$E$2:$E$2001,$A3,Orders!$B$2:$B$2001,"&gt;="&amp;DATE(2024,8,1),Orders!$B$2:$B$2001,"&lt;"&amp;DATE(2024,9,1))</f>
        <v>134500.5</v>
      </c>
      <c r="J3">
        <f>SUMIFS(Orders!$I$2:$I$2001,Orders!$E$2:$E$2001,$A3,Orders!$B$2:$B$2001,"&gt;="&amp;DATE(2024,9,1),Orders!$B$2:$B$2001,"&lt;"&amp;DATE(2024,10,1))</f>
        <v>91647.290000000008</v>
      </c>
      <c r="K3">
        <f>SUMIFS(Orders!$I$2:$I$2001,Orders!$E$2:$E$2001,$A3,Orders!$B$2:$B$2001,"&gt;="&amp;DATE(2024,10,1),Orders!$B$2:$B$2001,"&lt;"&amp;DATE(2024,11,1))</f>
        <v>35751.81</v>
      </c>
      <c r="L3">
        <f>SUMIFS(Orders!$I$2:$I$2001,Orders!$E$2:$E$2001,$A3,Orders!$B$2:$B$2001,"&gt;="&amp;DATE(2024,11,1),Orders!$B$2:$B$2001,"&lt;"&amp;DATE(2024,12,1))</f>
        <v>158277.82</v>
      </c>
      <c r="M3">
        <f>SUMIFS(Orders!$I$2:$I$2001,Orders!$E$2:$E$2001,$A3,Orders!$B$2:$B$2001,"&gt;="&amp;DATE(2024,12,1),Orders!$B$2:$B$2001,"&lt;"&amp;DATE(2025,1,1))</f>
        <v>47673.25</v>
      </c>
    </row>
    <row r="4" spans="1:13" ht="15" customHeight="1" x14ac:dyDescent="0.35">
      <c r="A4" t="str">
        <f>Sales_Reps!A4</f>
        <v>R003</v>
      </c>
      <c r="B4">
        <f>SUMIFS(Orders!$I$2:$I$2001,Orders!$E$2:$E$2001,$A4,Orders!$B$2:$B$2001,"&gt;="&amp;DATE(2024,1,1),Orders!$B$2:$B$2001,"&lt;"&amp;DATE(2024,2,1))</f>
        <v>54307</v>
      </c>
      <c r="C4">
        <f>SUMIFS(Orders!$I$2:$I$2001,Orders!$E$2:$E$2001,$A4,Orders!$B$2:$B$2001,"&gt;="&amp;DATE(2024,2,1),Orders!$B$2:$B$2001,"&lt;"&amp;DATE(2024,3,1))</f>
        <v>32452</v>
      </c>
      <c r="D4">
        <f>SUMIFS(Orders!$I$2:$I$2001,Orders!$E$2:$E$2001,$A4,Orders!$B$2:$B$2001,"&gt;="&amp;DATE(2024,3,1),Orders!$B$2:$B$2001,"&lt;"&amp;DATE(2024,4,1))</f>
        <v>107489.23000000001</v>
      </c>
      <c r="E4">
        <f>SUMIFS(Orders!$I$2:$I$2001,Orders!$E$2:$E$2001,$A4,Orders!$B$2:$B$2001,"&gt;="&amp;DATE(2024,4,1),Orders!$B$2:$B$2001,"&lt;"&amp;DATE(2024,5,1))</f>
        <v>96349.859999999986</v>
      </c>
      <c r="F4">
        <f>SUMIFS(Orders!$I$2:$I$2001,Orders!$E$2:$E$2001,$A4,Orders!$B$2:$B$2001,"&gt;="&amp;DATE(2024,5,1),Orders!$B$2:$B$2001,"&lt;"&amp;DATE(2024,6,1))</f>
        <v>139257.72</v>
      </c>
      <c r="G4">
        <f>SUMIFS(Orders!$I$2:$I$2001,Orders!$E$2:$E$2001,$A4,Orders!$B$2:$B$2001,"&gt;="&amp;DATE(2024,6,1),Orders!$B$2:$B$2001,"&lt;"&amp;DATE(2024,7,1))</f>
        <v>37966.089999999997</v>
      </c>
      <c r="H4">
        <f>SUMIFS(Orders!$I$2:$I$2001,Orders!$E$2:$E$2001,$A4,Orders!$B$2:$B$2001,"&gt;="&amp;DATE(2024,7,1),Orders!$B$2:$B$2001,"&lt;"&amp;DATE(2024,8,1))</f>
        <v>185921.75</v>
      </c>
      <c r="I4">
        <f>SUMIFS(Orders!$I$2:$I$2001,Orders!$E$2:$E$2001,$A4,Orders!$B$2:$B$2001,"&gt;="&amp;DATE(2024,8,1),Orders!$B$2:$B$2001,"&lt;"&amp;DATE(2024,9,1))</f>
        <v>114656.26999999999</v>
      </c>
      <c r="J4">
        <f>SUMIFS(Orders!$I$2:$I$2001,Orders!$E$2:$E$2001,$A4,Orders!$B$2:$B$2001,"&gt;="&amp;DATE(2024,9,1),Orders!$B$2:$B$2001,"&lt;"&amp;DATE(2024,10,1))</f>
        <v>69896.72</v>
      </c>
      <c r="K4">
        <f>SUMIFS(Orders!$I$2:$I$2001,Orders!$E$2:$E$2001,$A4,Orders!$B$2:$B$2001,"&gt;="&amp;DATE(2024,10,1),Orders!$B$2:$B$2001,"&lt;"&amp;DATE(2024,11,1))</f>
        <v>29309.979999999996</v>
      </c>
      <c r="L4">
        <f>SUMIFS(Orders!$I$2:$I$2001,Orders!$E$2:$E$2001,$A4,Orders!$B$2:$B$2001,"&gt;="&amp;DATE(2024,11,1),Orders!$B$2:$B$2001,"&lt;"&amp;DATE(2024,12,1))</f>
        <v>106760.75</v>
      </c>
      <c r="M4">
        <f>SUMIFS(Orders!$I$2:$I$2001,Orders!$E$2:$E$2001,$A4,Orders!$B$2:$B$2001,"&gt;="&amp;DATE(2024,12,1),Orders!$B$2:$B$2001,"&lt;"&amp;DATE(2025,1,1))</f>
        <v>12325.539999999999</v>
      </c>
    </row>
    <row r="5" spans="1:13" ht="15" customHeight="1" x14ac:dyDescent="0.35">
      <c r="A5" t="str">
        <f>Sales_Reps!A5</f>
        <v>R004</v>
      </c>
      <c r="B5">
        <f>SUMIFS(Orders!$I$2:$I$2001,Orders!$E$2:$E$2001,$A5,Orders!$B$2:$B$2001,"&gt;="&amp;DATE(2024,1,1),Orders!$B$2:$B$2001,"&lt;"&amp;DATE(2024,2,1))</f>
        <v>57892.110000000008</v>
      </c>
      <c r="C5">
        <f>SUMIFS(Orders!$I$2:$I$2001,Orders!$E$2:$E$2001,$A5,Orders!$B$2:$B$2001,"&gt;="&amp;DATE(2024,2,1),Orders!$B$2:$B$2001,"&lt;"&amp;DATE(2024,3,1))</f>
        <v>58818.559999999998</v>
      </c>
      <c r="D5">
        <f>SUMIFS(Orders!$I$2:$I$2001,Orders!$E$2:$E$2001,$A5,Orders!$B$2:$B$2001,"&gt;="&amp;DATE(2024,3,1),Orders!$B$2:$B$2001,"&lt;"&amp;DATE(2024,4,1))</f>
        <v>14394.38</v>
      </c>
      <c r="E5">
        <f>SUMIFS(Orders!$I$2:$I$2001,Orders!$E$2:$E$2001,$A5,Orders!$B$2:$B$2001,"&gt;="&amp;DATE(2024,4,1),Orders!$B$2:$B$2001,"&lt;"&amp;DATE(2024,5,1))</f>
        <v>23036.539999999997</v>
      </c>
      <c r="F5">
        <f>SUMIFS(Orders!$I$2:$I$2001,Orders!$E$2:$E$2001,$A5,Orders!$B$2:$B$2001,"&gt;="&amp;DATE(2024,5,1),Orders!$B$2:$B$2001,"&lt;"&amp;DATE(2024,6,1))</f>
        <v>140739.80000000002</v>
      </c>
      <c r="G5">
        <f>SUMIFS(Orders!$I$2:$I$2001,Orders!$E$2:$E$2001,$A5,Orders!$B$2:$B$2001,"&gt;="&amp;DATE(2024,6,1),Orders!$B$2:$B$2001,"&lt;"&amp;DATE(2024,7,1))</f>
        <v>42388.119999999995</v>
      </c>
      <c r="H5">
        <f>SUMIFS(Orders!$I$2:$I$2001,Orders!$E$2:$E$2001,$A5,Orders!$B$2:$B$2001,"&gt;="&amp;DATE(2024,7,1),Orders!$B$2:$B$2001,"&lt;"&amp;DATE(2024,8,1))</f>
        <v>7823.4800000000005</v>
      </c>
      <c r="I5">
        <f>SUMIFS(Orders!$I$2:$I$2001,Orders!$E$2:$E$2001,$A5,Orders!$B$2:$B$2001,"&gt;="&amp;DATE(2024,8,1),Orders!$B$2:$B$2001,"&lt;"&amp;DATE(2024,9,1))</f>
        <v>55975.340000000004</v>
      </c>
      <c r="J5">
        <f>SUMIFS(Orders!$I$2:$I$2001,Orders!$E$2:$E$2001,$A5,Orders!$B$2:$B$2001,"&gt;="&amp;DATE(2024,9,1),Orders!$B$2:$B$2001,"&lt;"&amp;DATE(2024,10,1))</f>
        <v>46944.28</v>
      </c>
      <c r="K5">
        <f>SUMIFS(Orders!$I$2:$I$2001,Orders!$E$2:$E$2001,$A5,Orders!$B$2:$B$2001,"&gt;="&amp;DATE(2024,10,1),Orders!$B$2:$B$2001,"&lt;"&amp;DATE(2024,11,1))</f>
        <v>43456.180000000008</v>
      </c>
      <c r="L5">
        <f>SUMIFS(Orders!$I$2:$I$2001,Orders!$E$2:$E$2001,$A5,Orders!$B$2:$B$2001,"&gt;="&amp;DATE(2024,11,1),Orders!$B$2:$B$2001,"&lt;"&amp;DATE(2024,12,1))</f>
        <v>38491.18</v>
      </c>
      <c r="M5">
        <f>SUMIFS(Orders!$I$2:$I$2001,Orders!$E$2:$E$2001,$A5,Orders!$B$2:$B$2001,"&gt;="&amp;DATE(2024,12,1),Orders!$B$2:$B$2001,"&lt;"&amp;DATE(2025,1,1))</f>
        <v>59066.319999999992</v>
      </c>
    </row>
    <row r="6" spans="1:13" ht="15" customHeight="1" x14ac:dyDescent="0.35">
      <c r="A6" t="str">
        <f>Sales_Reps!A6</f>
        <v>R005</v>
      </c>
      <c r="B6">
        <f>SUMIFS(Orders!$I$2:$I$2001,Orders!$E$2:$E$2001,$A6,Orders!$B$2:$B$2001,"&gt;="&amp;DATE(2024,1,1),Orders!$B$2:$B$2001,"&lt;"&amp;DATE(2024,2,1))</f>
        <v>70665.509999999995</v>
      </c>
      <c r="C6">
        <f>SUMIFS(Orders!$I$2:$I$2001,Orders!$E$2:$E$2001,$A6,Orders!$B$2:$B$2001,"&gt;="&amp;DATE(2024,2,1),Orders!$B$2:$B$2001,"&lt;"&amp;DATE(2024,3,1))</f>
        <v>57914.81</v>
      </c>
      <c r="D6">
        <f>SUMIFS(Orders!$I$2:$I$2001,Orders!$E$2:$E$2001,$A6,Orders!$B$2:$B$2001,"&gt;="&amp;DATE(2024,3,1),Orders!$B$2:$B$2001,"&lt;"&amp;DATE(2024,4,1))</f>
        <v>85853.430000000008</v>
      </c>
      <c r="E6">
        <f>SUMIFS(Orders!$I$2:$I$2001,Orders!$E$2:$E$2001,$A6,Orders!$B$2:$B$2001,"&gt;="&amp;DATE(2024,4,1),Orders!$B$2:$B$2001,"&lt;"&amp;DATE(2024,5,1))</f>
        <v>46025.56</v>
      </c>
      <c r="F6">
        <f>SUMIFS(Orders!$I$2:$I$2001,Orders!$E$2:$E$2001,$A6,Orders!$B$2:$B$2001,"&gt;="&amp;DATE(2024,5,1),Orders!$B$2:$B$2001,"&lt;"&amp;DATE(2024,6,1))</f>
        <v>67702.820000000007</v>
      </c>
      <c r="G6">
        <f>SUMIFS(Orders!$I$2:$I$2001,Orders!$E$2:$E$2001,$A6,Orders!$B$2:$B$2001,"&gt;="&amp;DATE(2024,6,1),Orders!$B$2:$B$2001,"&lt;"&amp;DATE(2024,7,1))</f>
        <v>113205.31999999999</v>
      </c>
      <c r="H6">
        <f>SUMIFS(Orders!$I$2:$I$2001,Orders!$E$2:$E$2001,$A6,Orders!$B$2:$B$2001,"&gt;="&amp;DATE(2024,7,1),Orders!$B$2:$B$2001,"&lt;"&amp;DATE(2024,8,1))</f>
        <v>20649.349999999999</v>
      </c>
      <c r="I6">
        <f>SUMIFS(Orders!$I$2:$I$2001,Orders!$E$2:$E$2001,$A6,Orders!$B$2:$B$2001,"&gt;="&amp;DATE(2024,8,1),Orders!$B$2:$B$2001,"&lt;"&amp;DATE(2024,9,1))</f>
        <v>15060.279999999999</v>
      </c>
      <c r="J6">
        <f>SUMIFS(Orders!$I$2:$I$2001,Orders!$E$2:$E$2001,$A6,Orders!$B$2:$B$2001,"&gt;="&amp;DATE(2024,9,1),Orders!$B$2:$B$2001,"&lt;"&amp;DATE(2024,10,1))</f>
        <v>81963.69</v>
      </c>
      <c r="K6">
        <f>SUMIFS(Orders!$I$2:$I$2001,Orders!$E$2:$E$2001,$A6,Orders!$B$2:$B$2001,"&gt;="&amp;DATE(2024,10,1),Orders!$B$2:$B$2001,"&lt;"&amp;DATE(2024,11,1))</f>
        <v>99252.76999999999</v>
      </c>
      <c r="L6">
        <f>SUMIFS(Orders!$I$2:$I$2001,Orders!$E$2:$E$2001,$A6,Orders!$B$2:$B$2001,"&gt;="&amp;DATE(2024,11,1),Orders!$B$2:$B$2001,"&lt;"&amp;DATE(2024,12,1))</f>
        <v>55570.99</v>
      </c>
      <c r="M6">
        <f>SUMIFS(Orders!$I$2:$I$2001,Orders!$E$2:$E$2001,$A6,Orders!$B$2:$B$2001,"&gt;="&amp;DATE(2024,12,1),Orders!$B$2:$B$2001,"&lt;"&amp;DATE(2025,1,1))</f>
        <v>68580.799999999988</v>
      </c>
    </row>
    <row r="7" spans="1:13" ht="15" customHeight="1" x14ac:dyDescent="0.35">
      <c r="A7" t="str">
        <f>Sales_Reps!A7</f>
        <v>R006</v>
      </c>
      <c r="B7">
        <f>SUMIFS(Orders!$I$2:$I$2001,Orders!$E$2:$E$2001,$A7,Orders!$B$2:$B$2001,"&gt;="&amp;DATE(2024,1,1),Orders!$B$2:$B$2001,"&lt;"&amp;DATE(2024,2,1))</f>
        <v>84968.56</v>
      </c>
      <c r="C7">
        <f>SUMIFS(Orders!$I$2:$I$2001,Orders!$E$2:$E$2001,$A7,Orders!$B$2:$B$2001,"&gt;="&amp;DATE(2024,2,1),Orders!$B$2:$B$2001,"&lt;"&amp;DATE(2024,3,1))</f>
        <v>34581.99</v>
      </c>
      <c r="D7">
        <f>SUMIFS(Orders!$I$2:$I$2001,Orders!$E$2:$E$2001,$A7,Orders!$B$2:$B$2001,"&gt;="&amp;DATE(2024,3,1),Orders!$B$2:$B$2001,"&lt;"&amp;DATE(2024,4,1))</f>
        <v>145435.13</v>
      </c>
      <c r="E7">
        <f>SUMIFS(Orders!$I$2:$I$2001,Orders!$E$2:$E$2001,$A7,Orders!$B$2:$B$2001,"&gt;="&amp;DATE(2024,4,1),Orders!$B$2:$B$2001,"&lt;"&amp;DATE(2024,5,1))</f>
        <v>170939.91000000003</v>
      </c>
      <c r="F7">
        <f>SUMIFS(Orders!$I$2:$I$2001,Orders!$E$2:$E$2001,$A7,Orders!$B$2:$B$2001,"&gt;="&amp;DATE(2024,5,1),Orders!$B$2:$B$2001,"&lt;"&amp;DATE(2024,6,1))</f>
        <v>78322.48000000001</v>
      </c>
      <c r="G7">
        <f>SUMIFS(Orders!$I$2:$I$2001,Orders!$E$2:$E$2001,$A7,Orders!$B$2:$B$2001,"&gt;="&amp;DATE(2024,6,1),Orders!$B$2:$B$2001,"&lt;"&amp;DATE(2024,7,1))</f>
        <v>191251.6</v>
      </c>
      <c r="H7">
        <f>SUMIFS(Orders!$I$2:$I$2001,Orders!$E$2:$E$2001,$A7,Orders!$B$2:$B$2001,"&gt;="&amp;DATE(2024,7,1),Orders!$B$2:$B$2001,"&lt;"&amp;DATE(2024,8,1))</f>
        <v>38479.32</v>
      </c>
      <c r="I7">
        <f>SUMIFS(Orders!$I$2:$I$2001,Orders!$E$2:$E$2001,$A7,Orders!$B$2:$B$2001,"&gt;="&amp;DATE(2024,8,1),Orders!$B$2:$B$2001,"&lt;"&amp;DATE(2024,9,1))</f>
        <v>61857.899999999994</v>
      </c>
      <c r="J7">
        <f>SUMIFS(Orders!$I$2:$I$2001,Orders!$E$2:$E$2001,$A7,Orders!$B$2:$B$2001,"&gt;="&amp;DATE(2024,9,1),Orders!$B$2:$B$2001,"&lt;"&amp;DATE(2024,10,1))</f>
        <v>76627.83</v>
      </c>
      <c r="K7">
        <f>SUMIFS(Orders!$I$2:$I$2001,Orders!$E$2:$E$2001,$A7,Orders!$B$2:$B$2001,"&gt;="&amp;DATE(2024,10,1),Orders!$B$2:$B$2001,"&lt;"&amp;DATE(2024,11,1))</f>
        <v>52942.27</v>
      </c>
      <c r="L7">
        <f>SUMIFS(Orders!$I$2:$I$2001,Orders!$E$2:$E$2001,$A7,Orders!$B$2:$B$2001,"&gt;="&amp;DATE(2024,11,1),Orders!$B$2:$B$2001,"&lt;"&amp;DATE(2024,12,1))</f>
        <v>81500.239999999991</v>
      </c>
      <c r="M7">
        <f>SUMIFS(Orders!$I$2:$I$2001,Orders!$E$2:$E$2001,$A7,Orders!$B$2:$B$2001,"&gt;="&amp;DATE(2024,12,1),Orders!$B$2:$B$2001,"&lt;"&amp;DATE(2025,1,1))</f>
        <v>121741.5</v>
      </c>
    </row>
    <row r="8" spans="1:13" ht="15" customHeight="1" x14ac:dyDescent="0.35">
      <c r="A8" t="str">
        <f>Sales_Reps!A8</f>
        <v>R007</v>
      </c>
      <c r="B8">
        <f>SUMIFS(Orders!$I$2:$I$2001,Orders!$E$2:$E$2001,$A8,Orders!$B$2:$B$2001,"&gt;="&amp;DATE(2024,1,1),Orders!$B$2:$B$2001,"&lt;"&amp;DATE(2024,2,1))</f>
        <v>92029.91</v>
      </c>
      <c r="C8">
        <f>SUMIFS(Orders!$I$2:$I$2001,Orders!$E$2:$E$2001,$A8,Orders!$B$2:$B$2001,"&gt;="&amp;DATE(2024,2,1),Orders!$B$2:$B$2001,"&lt;"&amp;DATE(2024,3,1))</f>
        <v>130276.04</v>
      </c>
      <c r="D8">
        <f>SUMIFS(Orders!$I$2:$I$2001,Orders!$E$2:$E$2001,$A8,Orders!$B$2:$B$2001,"&gt;="&amp;DATE(2024,3,1),Orders!$B$2:$B$2001,"&lt;"&amp;DATE(2024,4,1))</f>
        <v>105489.82999999999</v>
      </c>
      <c r="E8">
        <f>SUMIFS(Orders!$I$2:$I$2001,Orders!$E$2:$E$2001,$A8,Orders!$B$2:$B$2001,"&gt;="&amp;DATE(2024,4,1),Orders!$B$2:$B$2001,"&lt;"&amp;DATE(2024,5,1))</f>
        <v>48536.18</v>
      </c>
      <c r="F8">
        <f>SUMIFS(Orders!$I$2:$I$2001,Orders!$E$2:$E$2001,$A8,Orders!$B$2:$B$2001,"&gt;="&amp;DATE(2024,5,1),Orders!$B$2:$B$2001,"&lt;"&amp;DATE(2024,6,1))</f>
        <v>41157.840000000004</v>
      </c>
      <c r="G8">
        <f>SUMIFS(Orders!$I$2:$I$2001,Orders!$E$2:$E$2001,$A8,Orders!$B$2:$B$2001,"&gt;="&amp;DATE(2024,6,1),Orders!$B$2:$B$2001,"&lt;"&amp;DATE(2024,7,1))</f>
        <v>58895.109999999993</v>
      </c>
      <c r="H8">
        <f>SUMIFS(Orders!$I$2:$I$2001,Orders!$E$2:$E$2001,$A8,Orders!$B$2:$B$2001,"&gt;="&amp;DATE(2024,7,1),Orders!$B$2:$B$2001,"&lt;"&amp;DATE(2024,8,1))</f>
        <v>11528.24</v>
      </c>
      <c r="I8">
        <f>SUMIFS(Orders!$I$2:$I$2001,Orders!$E$2:$E$2001,$A8,Orders!$B$2:$B$2001,"&gt;="&amp;DATE(2024,8,1),Orders!$B$2:$B$2001,"&lt;"&amp;DATE(2024,9,1))</f>
        <v>70196.800000000003</v>
      </c>
      <c r="J8">
        <f>SUMIFS(Orders!$I$2:$I$2001,Orders!$E$2:$E$2001,$A8,Orders!$B$2:$B$2001,"&gt;="&amp;DATE(2024,9,1),Orders!$B$2:$B$2001,"&lt;"&amp;DATE(2024,10,1))</f>
        <v>52194.149999999994</v>
      </c>
      <c r="K8">
        <f>SUMIFS(Orders!$I$2:$I$2001,Orders!$E$2:$E$2001,$A8,Orders!$B$2:$B$2001,"&gt;="&amp;DATE(2024,10,1),Orders!$B$2:$B$2001,"&lt;"&amp;DATE(2024,11,1))</f>
        <v>57313.75</v>
      </c>
      <c r="L8">
        <f>SUMIFS(Orders!$I$2:$I$2001,Orders!$E$2:$E$2001,$A8,Orders!$B$2:$B$2001,"&gt;="&amp;DATE(2024,11,1),Orders!$B$2:$B$2001,"&lt;"&amp;DATE(2024,12,1))</f>
        <v>130208.90000000001</v>
      </c>
      <c r="M8">
        <f>SUMIFS(Orders!$I$2:$I$2001,Orders!$E$2:$E$2001,$A8,Orders!$B$2:$B$2001,"&gt;="&amp;DATE(2024,12,1),Orders!$B$2:$B$2001,"&lt;"&amp;DATE(2025,1,1))</f>
        <v>57922.929999999993</v>
      </c>
    </row>
    <row r="9" spans="1:13" ht="15" customHeight="1" x14ac:dyDescent="0.35">
      <c r="A9" t="str">
        <f>Sales_Reps!A9</f>
        <v>R008</v>
      </c>
      <c r="B9">
        <f>SUMIFS(Orders!$I$2:$I$2001,Orders!$E$2:$E$2001,$A9,Orders!$B$2:$B$2001,"&gt;="&amp;DATE(2024,1,1),Orders!$B$2:$B$2001,"&lt;"&amp;DATE(2024,2,1))</f>
        <v>61557.020000000004</v>
      </c>
      <c r="C9">
        <f>SUMIFS(Orders!$I$2:$I$2001,Orders!$E$2:$E$2001,$A9,Orders!$B$2:$B$2001,"&gt;="&amp;DATE(2024,2,1),Orders!$B$2:$B$2001,"&lt;"&amp;DATE(2024,3,1))</f>
        <v>23463.300000000003</v>
      </c>
      <c r="D9">
        <f>SUMIFS(Orders!$I$2:$I$2001,Orders!$E$2:$E$2001,$A9,Orders!$B$2:$B$2001,"&gt;="&amp;DATE(2024,3,1),Orders!$B$2:$B$2001,"&lt;"&amp;DATE(2024,4,1))</f>
        <v>164615.04999999999</v>
      </c>
      <c r="E9">
        <f>SUMIFS(Orders!$I$2:$I$2001,Orders!$E$2:$E$2001,$A9,Orders!$B$2:$B$2001,"&gt;="&amp;DATE(2024,4,1),Orders!$B$2:$B$2001,"&lt;"&amp;DATE(2024,5,1))</f>
        <v>12044.560000000001</v>
      </c>
      <c r="F9">
        <f>SUMIFS(Orders!$I$2:$I$2001,Orders!$E$2:$E$2001,$A9,Orders!$B$2:$B$2001,"&gt;="&amp;DATE(2024,5,1),Orders!$B$2:$B$2001,"&lt;"&amp;DATE(2024,6,1))</f>
        <v>67200.569999999992</v>
      </c>
      <c r="G9">
        <f>SUMIFS(Orders!$I$2:$I$2001,Orders!$E$2:$E$2001,$A9,Orders!$B$2:$B$2001,"&gt;="&amp;DATE(2024,6,1),Orders!$B$2:$B$2001,"&lt;"&amp;DATE(2024,7,1))</f>
        <v>82481.440000000002</v>
      </c>
      <c r="H9">
        <f>SUMIFS(Orders!$I$2:$I$2001,Orders!$E$2:$E$2001,$A9,Orders!$B$2:$B$2001,"&gt;="&amp;DATE(2024,7,1),Orders!$B$2:$B$2001,"&lt;"&amp;DATE(2024,8,1))</f>
        <v>75853.47</v>
      </c>
      <c r="I9">
        <f>SUMIFS(Orders!$I$2:$I$2001,Orders!$E$2:$E$2001,$A9,Orders!$B$2:$B$2001,"&gt;="&amp;DATE(2024,8,1),Orders!$B$2:$B$2001,"&lt;"&amp;DATE(2024,9,1))</f>
        <v>61043.439999999995</v>
      </c>
      <c r="J9">
        <f>SUMIFS(Orders!$I$2:$I$2001,Orders!$E$2:$E$2001,$A9,Orders!$B$2:$B$2001,"&gt;="&amp;DATE(2024,9,1),Orders!$B$2:$B$2001,"&lt;"&amp;DATE(2024,10,1))</f>
        <v>49404.639999999999</v>
      </c>
      <c r="K9">
        <f>SUMIFS(Orders!$I$2:$I$2001,Orders!$E$2:$E$2001,$A9,Orders!$B$2:$B$2001,"&gt;="&amp;DATE(2024,10,1),Orders!$B$2:$B$2001,"&lt;"&amp;DATE(2024,11,1))</f>
        <v>26620.46</v>
      </c>
      <c r="L9">
        <f>SUMIFS(Orders!$I$2:$I$2001,Orders!$E$2:$E$2001,$A9,Orders!$B$2:$B$2001,"&gt;="&amp;DATE(2024,11,1),Orders!$B$2:$B$2001,"&lt;"&amp;DATE(2024,12,1))</f>
        <v>64537.259999999995</v>
      </c>
      <c r="M9">
        <f>SUMIFS(Orders!$I$2:$I$2001,Orders!$E$2:$E$2001,$A9,Orders!$B$2:$B$2001,"&gt;="&amp;DATE(2024,12,1),Orders!$B$2:$B$2001,"&lt;"&amp;DATE(2025,1,1))</f>
        <v>172732.12000000002</v>
      </c>
    </row>
    <row r="10" spans="1:13" ht="15" customHeight="1" x14ac:dyDescent="0.35">
      <c r="A10" t="str">
        <f>Sales_Reps!A10</f>
        <v>R009</v>
      </c>
      <c r="B10">
        <f>SUMIFS(Orders!$I$2:$I$2001,Orders!$E$2:$E$2001,$A10,Orders!$B$2:$B$2001,"&gt;="&amp;DATE(2024,1,1),Orders!$B$2:$B$2001,"&lt;"&amp;DATE(2024,2,1))</f>
        <v>125547.54</v>
      </c>
      <c r="C10">
        <f>SUMIFS(Orders!$I$2:$I$2001,Orders!$E$2:$E$2001,$A10,Orders!$B$2:$B$2001,"&gt;="&amp;DATE(2024,2,1),Orders!$B$2:$B$2001,"&lt;"&amp;DATE(2024,3,1))</f>
        <v>25935.550000000003</v>
      </c>
      <c r="D10">
        <f>SUMIFS(Orders!$I$2:$I$2001,Orders!$E$2:$E$2001,$A10,Orders!$B$2:$B$2001,"&gt;="&amp;DATE(2024,3,1),Orders!$B$2:$B$2001,"&lt;"&amp;DATE(2024,4,1))</f>
        <v>19130.39</v>
      </c>
      <c r="E10">
        <f>SUMIFS(Orders!$I$2:$I$2001,Orders!$E$2:$E$2001,$A10,Orders!$B$2:$B$2001,"&gt;="&amp;DATE(2024,4,1),Orders!$B$2:$B$2001,"&lt;"&amp;DATE(2024,5,1))</f>
        <v>74565.159999999989</v>
      </c>
      <c r="F10">
        <f>SUMIFS(Orders!$I$2:$I$2001,Orders!$E$2:$E$2001,$A10,Orders!$B$2:$B$2001,"&gt;="&amp;DATE(2024,5,1),Orders!$B$2:$B$2001,"&lt;"&amp;DATE(2024,6,1))</f>
        <v>100231.54</v>
      </c>
      <c r="G10">
        <f>SUMIFS(Orders!$I$2:$I$2001,Orders!$E$2:$E$2001,$A10,Orders!$B$2:$B$2001,"&gt;="&amp;DATE(2024,6,1),Orders!$B$2:$B$2001,"&lt;"&amp;DATE(2024,7,1))</f>
        <v>69794.649999999994</v>
      </c>
      <c r="H10">
        <f>SUMIFS(Orders!$I$2:$I$2001,Orders!$E$2:$E$2001,$A10,Orders!$B$2:$B$2001,"&gt;="&amp;DATE(2024,7,1),Orders!$B$2:$B$2001,"&lt;"&amp;DATE(2024,8,1))</f>
        <v>99012.62</v>
      </c>
      <c r="I10">
        <f>SUMIFS(Orders!$I$2:$I$2001,Orders!$E$2:$E$2001,$A10,Orders!$B$2:$B$2001,"&gt;="&amp;DATE(2024,8,1),Orders!$B$2:$B$2001,"&lt;"&amp;DATE(2024,9,1))</f>
        <v>116575.84999999999</v>
      </c>
      <c r="J10">
        <f>SUMIFS(Orders!$I$2:$I$2001,Orders!$E$2:$E$2001,$A10,Orders!$B$2:$B$2001,"&gt;="&amp;DATE(2024,9,1),Orders!$B$2:$B$2001,"&lt;"&amp;DATE(2024,10,1))</f>
        <v>98466.52</v>
      </c>
      <c r="K10">
        <f>SUMIFS(Orders!$I$2:$I$2001,Orders!$E$2:$E$2001,$A10,Orders!$B$2:$B$2001,"&gt;="&amp;DATE(2024,10,1),Orders!$B$2:$B$2001,"&lt;"&amp;DATE(2024,11,1))</f>
        <v>107648.92</v>
      </c>
      <c r="L10">
        <f>SUMIFS(Orders!$I$2:$I$2001,Orders!$E$2:$E$2001,$A10,Orders!$B$2:$B$2001,"&gt;="&amp;DATE(2024,11,1),Orders!$B$2:$B$2001,"&lt;"&amp;DATE(2024,12,1))</f>
        <v>30954.959999999999</v>
      </c>
      <c r="M10">
        <f>SUMIFS(Orders!$I$2:$I$2001,Orders!$E$2:$E$2001,$A10,Orders!$B$2:$B$2001,"&gt;="&amp;DATE(2024,12,1),Orders!$B$2:$B$2001,"&lt;"&amp;DATE(2025,1,1))</f>
        <v>46691.02</v>
      </c>
    </row>
    <row r="11" spans="1:13" ht="15" customHeight="1" x14ac:dyDescent="0.35">
      <c r="A11" t="str">
        <f>Sales_Reps!A11</f>
        <v>R010</v>
      </c>
      <c r="B11">
        <f>SUMIFS(Orders!$I$2:$I$2001,Orders!$E$2:$E$2001,$A11,Orders!$B$2:$B$2001,"&gt;="&amp;DATE(2024,1,1),Orders!$B$2:$B$2001,"&lt;"&amp;DATE(2024,2,1))</f>
        <v>43078.21</v>
      </c>
      <c r="C11">
        <f>SUMIFS(Orders!$I$2:$I$2001,Orders!$E$2:$E$2001,$A11,Orders!$B$2:$B$2001,"&gt;="&amp;DATE(2024,2,1),Orders!$B$2:$B$2001,"&lt;"&amp;DATE(2024,3,1))</f>
        <v>74555.64</v>
      </c>
      <c r="D11">
        <f>SUMIFS(Orders!$I$2:$I$2001,Orders!$E$2:$E$2001,$A11,Orders!$B$2:$B$2001,"&gt;="&amp;DATE(2024,3,1),Orders!$B$2:$B$2001,"&lt;"&amp;DATE(2024,4,1))</f>
        <v>0</v>
      </c>
      <c r="E11">
        <f>SUMIFS(Orders!$I$2:$I$2001,Orders!$E$2:$E$2001,$A11,Orders!$B$2:$B$2001,"&gt;="&amp;DATE(2024,4,1),Orders!$B$2:$B$2001,"&lt;"&amp;DATE(2024,5,1))</f>
        <v>41398.06</v>
      </c>
      <c r="F11">
        <f>SUMIFS(Orders!$I$2:$I$2001,Orders!$E$2:$E$2001,$A11,Orders!$B$2:$B$2001,"&gt;="&amp;DATE(2024,5,1),Orders!$B$2:$B$2001,"&lt;"&amp;DATE(2024,6,1))</f>
        <v>83732.94</v>
      </c>
      <c r="G11">
        <f>SUMIFS(Orders!$I$2:$I$2001,Orders!$E$2:$E$2001,$A11,Orders!$B$2:$B$2001,"&gt;="&amp;DATE(2024,6,1),Orders!$B$2:$B$2001,"&lt;"&amp;DATE(2024,7,1))</f>
        <v>29458.160000000003</v>
      </c>
      <c r="H11">
        <f>SUMIFS(Orders!$I$2:$I$2001,Orders!$E$2:$E$2001,$A11,Orders!$B$2:$B$2001,"&gt;="&amp;DATE(2024,7,1),Orders!$B$2:$B$2001,"&lt;"&amp;DATE(2024,8,1))</f>
        <v>96008.48</v>
      </c>
      <c r="I11">
        <f>SUMIFS(Orders!$I$2:$I$2001,Orders!$E$2:$E$2001,$A11,Orders!$B$2:$B$2001,"&gt;="&amp;DATE(2024,8,1),Orders!$B$2:$B$2001,"&lt;"&amp;DATE(2024,9,1))</f>
        <v>111335.79000000001</v>
      </c>
      <c r="J11">
        <f>SUMIFS(Orders!$I$2:$I$2001,Orders!$E$2:$E$2001,$A11,Orders!$B$2:$B$2001,"&gt;="&amp;DATE(2024,9,1),Orders!$B$2:$B$2001,"&lt;"&amp;DATE(2024,10,1))</f>
        <v>146100.57</v>
      </c>
      <c r="K11">
        <f>SUMIFS(Orders!$I$2:$I$2001,Orders!$E$2:$E$2001,$A11,Orders!$B$2:$B$2001,"&gt;="&amp;DATE(2024,10,1),Orders!$B$2:$B$2001,"&lt;"&amp;DATE(2024,11,1))</f>
        <v>64630.99</v>
      </c>
      <c r="L11">
        <f>SUMIFS(Orders!$I$2:$I$2001,Orders!$E$2:$E$2001,$A11,Orders!$B$2:$B$2001,"&gt;="&amp;DATE(2024,11,1),Orders!$B$2:$B$2001,"&lt;"&amp;DATE(2024,12,1))</f>
        <v>119201.56999999999</v>
      </c>
      <c r="M11">
        <f>SUMIFS(Orders!$I$2:$I$2001,Orders!$E$2:$E$2001,$A11,Orders!$B$2:$B$2001,"&gt;="&amp;DATE(2024,12,1),Orders!$B$2:$B$2001,"&lt;"&amp;DATE(2025,1,1))</f>
        <v>70844.790000000008</v>
      </c>
    </row>
    <row r="12" spans="1:13" ht="15" customHeight="1" x14ac:dyDescent="0.35">
      <c r="A12" t="str">
        <f>Sales_Reps!A12</f>
        <v>R011</v>
      </c>
      <c r="B12">
        <f>SUMIFS(Orders!$I$2:$I$2001,Orders!$E$2:$E$2001,$A12,Orders!$B$2:$B$2001,"&gt;="&amp;DATE(2024,1,1),Orders!$B$2:$B$2001,"&lt;"&amp;DATE(2024,2,1))</f>
        <v>88791.72</v>
      </c>
      <c r="C12">
        <f>SUMIFS(Orders!$I$2:$I$2001,Orders!$E$2:$E$2001,$A12,Orders!$B$2:$B$2001,"&gt;="&amp;DATE(2024,2,1),Orders!$B$2:$B$2001,"&lt;"&amp;DATE(2024,3,1))</f>
        <v>112894.06000000001</v>
      </c>
      <c r="D12">
        <f>SUMIFS(Orders!$I$2:$I$2001,Orders!$E$2:$E$2001,$A12,Orders!$B$2:$B$2001,"&gt;="&amp;DATE(2024,3,1),Orders!$B$2:$B$2001,"&lt;"&amp;DATE(2024,4,1))</f>
        <v>77891.760000000009</v>
      </c>
      <c r="E12">
        <f>SUMIFS(Orders!$I$2:$I$2001,Orders!$E$2:$E$2001,$A12,Orders!$B$2:$B$2001,"&gt;="&amp;DATE(2024,4,1),Orders!$B$2:$B$2001,"&lt;"&amp;DATE(2024,5,1))</f>
        <v>30549.1</v>
      </c>
      <c r="F12">
        <f>SUMIFS(Orders!$I$2:$I$2001,Orders!$E$2:$E$2001,$A12,Orders!$B$2:$B$2001,"&gt;="&amp;DATE(2024,5,1),Orders!$B$2:$B$2001,"&lt;"&amp;DATE(2024,6,1))</f>
        <v>10392.16</v>
      </c>
      <c r="G12">
        <f>SUMIFS(Orders!$I$2:$I$2001,Orders!$E$2:$E$2001,$A12,Orders!$B$2:$B$2001,"&gt;="&amp;DATE(2024,6,1),Orders!$B$2:$B$2001,"&lt;"&amp;DATE(2024,7,1))</f>
        <v>45625.440000000002</v>
      </c>
      <c r="H12">
        <f>SUMIFS(Orders!$I$2:$I$2001,Orders!$E$2:$E$2001,$A12,Orders!$B$2:$B$2001,"&gt;="&amp;DATE(2024,7,1),Orders!$B$2:$B$2001,"&lt;"&amp;DATE(2024,8,1))</f>
        <v>31373.22</v>
      </c>
      <c r="I12">
        <f>SUMIFS(Orders!$I$2:$I$2001,Orders!$E$2:$E$2001,$A12,Orders!$B$2:$B$2001,"&gt;="&amp;DATE(2024,8,1),Orders!$B$2:$B$2001,"&lt;"&amp;DATE(2024,9,1))</f>
        <v>129473.95999999999</v>
      </c>
      <c r="J12">
        <f>SUMIFS(Orders!$I$2:$I$2001,Orders!$E$2:$E$2001,$A12,Orders!$B$2:$B$2001,"&gt;="&amp;DATE(2024,9,1),Orders!$B$2:$B$2001,"&lt;"&amp;DATE(2024,10,1))</f>
        <v>88472.060000000012</v>
      </c>
      <c r="K12">
        <f>SUMIFS(Orders!$I$2:$I$2001,Orders!$E$2:$E$2001,$A12,Orders!$B$2:$B$2001,"&gt;="&amp;DATE(2024,10,1),Orders!$B$2:$B$2001,"&lt;"&amp;DATE(2024,11,1))</f>
        <v>55503.48</v>
      </c>
      <c r="L12">
        <f>SUMIFS(Orders!$I$2:$I$2001,Orders!$E$2:$E$2001,$A12,Orders!$B$2:$B$2001,"&gt;="&amp;DATE(2024,11,1),Orders!$B$2:$B$2001,"&lt;"&amp;DATE(2024,12,1))</f>
        <v>64240.800000000003</v>
      </c>
      <c r="M12">
        <f>SUMIFS(Orders!$I$2:$I$2001,Orders!$E$2:$E$2001,$A12,Orders!$B$2:$B$2001,"&gt;="&amp;DATE(2024,12,1),Orders!$B$2:$B$2001,"&lt;"&amp;DATE(2025,1,1))</f>
        <v>0</v>
      </c>
    </row>
    <row r="13" spans="1:13" ht="15" customHeight="1" x14ac:dyDescent="0.35">
      <c r="A13" t="str">
        <f>Sales_Reps!A13</f>
        <v>R012</v>
      </c>
      <c r="B13">
        <f>SUMIFS(Orders!$I$2:$I$2001,Orders!$E$2:$E$2001,$A13,Orders!$B$2:$B$2001,"&gt;="&amp;DATE(2024,1,1),Orders!$B$2:$B$2001,"&lt;"&amp;DATE(2024,2,1))</f>
        <v>70680.03</v>
      </c>
      <c r="C13">
        <f>SUMIFS(Orders!$I$2:$I$2001,Orders!$E$2:$E$2001,$A13,Orders!$B$2:$B$2001,"&gt;="&amp;DATE(2024,2,1),Orders!$B$2:$B$2001,"&lt;"&amp;DATE(2024,3,1))</f>
        <v>110195.45999999999</v>
      </c>
      <c r="D13">
        <f>SUMIFS(Orders!$I$2:$I$2001,Orders!$E$2:$E$2001,$A13,Orders!$B$2:$B$2001,"&gt;="&amp;DATE(2024,3,1),Orders!$B$2:$B$2001,"&lt;"&amp;DATE(2024,4,1))</f>
        <v>20450.240000000002</v>
      </c>
      <c r="E13">
        <f>SUMIFS(Orders!$I$2:$I$2001,Orders!$E$2:$E$2001,$A13,Orders!$B$2:$B$2001,"&gt;="&amp;DATE(2024,4,1),Orders!$B$2:$B$2001,"&lt;"&amp;DATE(2024,5,1))</f>
        <v>24950.800000000003</v>
      </c>
      <c r="F13">
        <f>SUMIFS(Orders!$I$2:$I$2001,Orders!$E$2:$E$2001,$A13,Orders!$B$2:$B$2001,"&gt;="&amp;DATE(2024,5,1),Orders!$B$2:$B$2001,"&lt;"&amp;DATE(2024,6,1))</f>
        <v>37183.630000000005</v>
      </c>
      <c r="G13">
        <f>SUMIFS(Orders!$I$2:$I$2001,Orders!$E$2:$E$2001,$A13,Orders!$B$2:$B$2001,"&gt;="&amp;DATE(2024,6,1),Orders!$B$2:$B$2001,"&lt;"&amp;DATE(2024,7,1))</f>
        <v>59218.28</v>
      </c>
      <c r="H13">
        <f>SUMIFS(Orders!$I$2:$I$2001,Orders!$E$2:$E$2001,$A13,Orders!$B$2:$B$2001,"&gt;="&amp;DATE(2024,7,1),Orders!$B$2:$B$2001,"&lt;"&amp;DATE(2024,8,1))</f>
        <v>75017.78</v>
      </c>
      <c r="I13">
        <f>SUMIFS(Orders!$I$2:$I$2001,Orders!$E$2:$E$2001,$A13,Orders!$B$2:$B$2001,"&gt;="&amp;DATE(2024,8,1),Orders!$B$2:$B$2001,"&lt;"&amp;DATE(2024,9,1))</f>
        <v>115185.59</v>
      </c>
      <c r="J13">
        <f>SUMIFS(Orders!$I$2:$I$2001,Orders!$E$2:$E$2001,$A13,Orders!$B$2:$B$2001,"&gt;="&amp;DATE(2024,9,1),Orders!$B$2:$B$2001,"&lt;"&amp;DATE(2024,10,1))</f>
        <v>104717.03</v>
      </c>
      <c r="K13">
        <f>SUMIFS(Orders!$I$2:$I$2001,Orders!$E$2:$E$2001,$A13,Orders!$B$2:$B$2001,"&gt;="&amp;DATE(2024,10,1),Orders!$B$2:$B$2001,"&lt;"&amp;DATE(2024,11,1))</f>
        <v>89150.849999999991</v>
      </c>
      <c r="L13">
        <f>SUMIFS(Orders!$I$2:$I$2001,Orders!$E$2:$E$2001,$A13,Orders!$B$2:$B$2001,"&gt;="&amp;DATE(2024,11,1),Orders!$B$2:$B$2001,"&lt;"&amp;DATE(2024,12,1))</f>
        <v>69152.06</v>
      </c>
      <c r="M13">
        <f>SUMIFS(Orders!$I$2:$I$2001,Orders!$E$2:$E$2001,$A13,Orders!$B$2:$B$2001,"&gt;="&amp;DATE(2024,12,1),Orders!$B$2:$B$2001,"&lt;"&amp;DATE(2025,1,1))</f>
        <v>125492.57</v>
      </c>
    </row>
    <row r="14" spans="1:13" ht="15" customHeight="1" x14ac:dyDescent="0.35">
      <c r="A14" t="str">
        <f>Sales_Reps!A14</f>
        <v>R013</v>
      </c>
      <c r="B14">
        <f>SUMIFS(Orders!$I$2:$I$2001,Orders!$E$2:$E$2001,$A14,Orders!$B$2:$B$2001,"&gt;="&amp;DATE(2024,1,1),Orders!$B$2:$B$2001,"&lt;"&amp;DATE(2024,2,1))</f>
        <v>51609.120000000003</v>
      </c>
      <c r="C14">
        <f>SUMIFS(Orders!$I$2:$I$2001,Orders!$E$2:$E$2001,$A14,Orders!$B$2:$B$2001,"&gt;="&amp;DATE(2024,2,1),Orders!$B$2:$B$2001,"&lt;"&amp;DATE(2024,3,1))</f>
        <v>139218.07999999999</v>
      </c>
      <c r="D14">
        <f>SUMIFS(Orders!$I$2:$I$2001,Orders!$E$2:$E$2001,$A14,Orders!$B$2:$B$2001,"&gt;="&amp;DATE(2024,3,1),Orders!$B$2:$B$2001,"&lt;"&amp;DATE(2024,4,1))</f>
        <v>80024.44</v>
      </c>
      <c r="E14">
        <f>SUMIFS(Orders!$I$2:$I$2001,Orders!$E$2:$E$2001,$A14,Orders!$B$2:$B$2001,"&gt;="&amp;DATE(2024,4,1),Orders!$B$2:$B$2001,"&lt;"&amp;DATE(2024,5,1))</f>
        <v>41420.609999999993</v>
      </c>
      <c r="F14">
        <f>SUMIFS(Orders!$I$2:$I$2001,Orders!$E$2:$E$2001,$A14,Orders!$B$2:$B$2001,"&gt;="&amp;DATE(2024,5,1),Orders!$B$2:$B$2001,"&lt;"&amp;DATE(2024,6,1))</f>
        <v>80787.31</v>
      </c>
      <c r="G14">
        <f>SUMIFS(Orders!$I$2:$I$2001,Orders!$E$2:$E$2001,$A14,Orders!$B$2:$B$2001,"&gt;="&amp;DATE(2024,6,1),Orders!$B$2:$B$2001,"&lt;"&amp;DATE(2024,7,1))</f>
        <v>33836.58</v>
      </c>
      <c r="H14">
        <f>SUMIFS(Orders!$I$2:$I$2001,Orders!$E$2:$E$2001,$A14,Orders!$B$2:$B$2001,"&gt;="&amp;DATE(2024,7,1),Orders!$B$2:$B$2001,"&lt;"&amp;DATE(2024,8,1))</f>
        <v>32733.739999999998</v>
      </c>
      <c r="I14">
        <f>SUMIFS(Orders!$I$2:$I$2001,Orders!$E$2:$E$2001,$A14,Orders!$B$2:$B$2001,"&gt;="&amp;DATE(2024,8,1),Orders!$B$2:$B$2001,"&lt;"&amp;DATE(2024,9,1))</f>
        <v>70557.86</v>
      </c>
      <c r="J14">
        <f>SUMIFS(Orders!$I$2:$I$2001,Orders!$E$2:$E$2001,$A14,Orders!$B$2:$B$2001,"&gt;="&amp;DATE(2024,9,1),Orders!$B$2:$B$2001,"&lt;"&amp;DATE(2024,10,1))</f>
        <v>63389.33</v>
      </c>
      <c r="K14">
        <f>SUMIFS(Orders!$I$2:$I$2001,Orders!$E$2:$E$2001,$A14,Orders!$B$2:$B$2001,"&gt;="&amp;DATE(2024,10,1),Orders!$B$2:$B$2001,"&lt;"&amp;DATE(2024,11,1))</f>
        <v>46714.579999999994</v>
      </c>
      <c r="L14">
        <f>SUMIFS(Orders!$I$2:$I$2001,Orders!$E$2:$E$2001,$A14,Orders!$B$2:$B$2001,"&gt;="&amp;DATE(2024,11,1),Orders!$B$2:$B$2001,"&lt;"&amp;DATE(2024,12,1))</f>
        <v>108112.06999999999</v>
      </c>
      <c r="M14">
        <f>SUMIFS(Orders!$I$2:$I$2001,Orders!$E$2:$E$2001,$A14,Orders!$B$2:$B$2001,"&gt;="&amp;DATE(2024,12,1),Orders!$B$2:$B$2001,"&lt;"&amp;DATE(2025,1,1))</f>
        <v>63120.660000000011</v>
      </c>
    </row>
    <row r="15" spans="1:13" ht="15" customHeight="1" x14ac:dyDescent="0.35">
      <c r="A15" t="str">
        <f>Sales_Reps!A15</f>
        <v>R014</v>
      </c>
      <c r="B15">
        <f>SUMIFS(Orders!$I$2:$I$2001,Orders!$E$2:$E$2001,$A15,Orders!$B$2:$B$2001,"&gt;="&amp;DATE(2024,1,1),Orders!$B$2:$B$2001,"&lt;"&amp;DATE(2024,2,1))</f>
        <v>87497.74</v>
      </c>
      <c r="C15">
        <f>SUMIFS(Orders!$I$2:$I$2001,Orders!$E$2:$E$2001,$A15,Orders!$B$2:$B$2001,"&gt;="&amp;DATE(2024,2,1),Orders!$B$2:$B$2001,"&lt;"&amp;DATE(2024,3,1))</f>
        <v>79488</v>
      </c>
      <c r="D15">
        <f>SUMIFS(Orders!$I$2:$I$2001,Orders!$E$2:$E$2001,$A15,Orders!$B$2:$B$2001,"&gt;="&amp;DATE(2024,3,1),Orders!$B$2:$B$2001,"&lt;"&amp;DATE(2024,4,1))</f>
        <v>85611.839999999997</v>
      </c>
      <c r="E15">
        <f>SUMIFS(Orders!$I$2:$I$2001,Orders!$E$2:$E$2001,$A15,Orders!$B$2:$B$2001,"&gt;="&amp;DATE(2024,4,1),Orders!$B$2:$B$2001,"&lt;"&amp;DATE(2024,5,1))</f>
        <v>101517.16999999998</v>
      </c>
      <c r="F15">
        <f>SUMIFS(Orders!$I$2:$I$2001,Orders!$E$2:$E$2001,$A15,Orders!$B$2:$B$2001,"&gt;="&amp;DATE(2024,5,1),Orders!$B$2:$B$2001,"&lt;"&amp;DATE(2024,6,1))</f>
        <v>154170.19999999998</v>
      </c>
      <c r="G15">
        <f>SUMIFS(Orders!$I$2:$I$2001,Orders!$E$2:$E$2001,$A15,Orders!$B$2:$B$2001,"&gt;="&amp;DATE(2024,6,1),Orders!$B$2:$B$2001,"&lt;"&amp;DATE(2024,7,1))</f>
        <v>15951.6</v>
      </c>
      <c r="H15">
        <f>SUMIFS(Orders!$I$2:$I$2001,Orders!$E$2:$E$2001,$A15,Orders!$B$2:$B$2001,"&gt;="&amp;DATE(2024,7,1),Orders!$B$2:$B$2001,"&lt;"&amp;DATE(2024,8,1))</f>
        <v>74760.149999999994</v>
      </c>
      <c r="I15">
        <f>SUMIFS(Orders!$I$2:$I$2001,Orders!$E$2:$E$2001,$A15,Orders!$B$2:$B$2001,"&gt;="&amp;DATE(2024,8,1),Orders!$B$2:$B$2001,"&lt;"&amp;DATE(2024,9,1))</f>
        <v>113977.93999999999</v>
      </c>
      <c r="J15">
        <f>SUMIFS(Orders!$I$2:$I$2001,Orders!$E$2:$E$2001,$A15,Orders!$B$2:$B$2001,"&gt;="&amp;DATE(2024,9,1),Orders!$B$2:$B$2001,"&lt;"&amp;DATE(2024,10,1))</f>
        <v>45673.51</v>
      </c>
      <c r="K15">
        <f>SUMIFS(Orders!$I$2:$I$2001,Orders!$E$2:$E$2001,$A15,Orders!$B$2:$B$2001,"&gt;="&amp;DATE(2024,10,1),Orders!$B$2:$B$2001,"&lt;"&amp;DATE(2024,11,1))</f>
        <v>80097.179999999993</v>
      </c>
      <c r="L15">
        <f>SUMIFS(Orders!$I$2:$I$2001,Orders!$E$2:$E$2001,$A15,Orders!$B$2:$B$2001,"&gt;="&amp;DATE(2024,11,1),Orders!$B$2:$B$2001,"&lt;"&amp;DATE(2024,12,1))</f>
        <v>50971.92</v>
      </c>
      <c r="M15">
        <f>SUMIFS(Orders!$I$2:$I$2001,Orders!$E$2:$E$2001,$A15,Orders!$B$2:$B$2001,"&gt;="&amp;DATE(2024,12,1),Orders!$B$2:$B$2001,"&lt;"&amp;DATE(2025,1,1))</f>
        <v>105996.29000000001</v>
      </c>
    </row>
    <row r="16" spans="1:13" ht="15" customHeight="1" x14ac:dyDescent="0.35">
      <c r="A16" t="str">
        <f>Sales_Reps!A16</f>
        <v>R015</v>
      </c>
      <c r="B16">
        <f>SUMIFS(Orders!$I$2:$I$2001,Orders!$E$2:$E$2001,$A16,Orders!$B$2:$B$2001,"&gt;="&amp;DATE(2024,1,1),Orders!$B$2:$B$2001,"&lt;"&amp;DATE(2024,2,1))</f>
        <v>118901.05999999998</v>
      </c>
      <c r="C16">
        <f>SUMIFS(Orders!$I$2:$I$2001,Orders!$E$2:$E$2001,$A16,Orders!$B$2:$B$2001,"&gt;="&amp;DATE(2024,2,1),Orders!$B$2:$B$2001,"&lt;"&amp;DATE(2024,3,1))</f>
        <v>89654.68</v>
      </c>
      <c r="D16">
        <f>SUMIFS(Orders!$I$2:$I$2001,Orders!$E$2:$E$2001,$A16,Orders!$B$2:$B$2001,"&gt;="&amp;DATE(2024,3,1),Orders!$B$2:$B$2001,"&lt;"&amp;DATE(2024,4,1))</f>
        <v>67837.490000000005</v>
      </c>
      <c r="E16">
        <f>SUMIFS(Orders!$I$2:$I$2001,Orders!$E$2:$E$2001,$A16,Orders!$B$2:$B$2001,"&gt;="&amp;DATE(2024,4,1),Orders!$B$2:$B$2001,"&lt;"&amp;DATE(2024,5,1))</f>
        <v>107626.6</v>
      </c>
      <c r="F16">
        <f>SUMIFS(Orders!$I$2:$I$2001,Orders!$E$2:$E$2001,$A16,Orders!$B$2:$B$2001,"&gt;="&amp;DATE(2024,5,1),Orders!$B$2:$B$2001,"&lt;"&amp;DATE(2024,6,1))</f>
        <v>146185.96000000002</v>
      </c>
      <c r="G16">
        <f>SUMIFS(Orders!$I$2:$I$2001,Orders!$E$2:$E$2001,$A16,Orders!$B$2:$B$2001,"&gt;="&amp;DATE(2024,6,1),Orders!$B$2:$B$2001,"&lt;"&amp;DATE(2024,7,1))</f>
        <v>12840.400000000001</v>
      </c>
      <c r="H16">
        <f>SUMIFS(Orders!$I$2:$I$2001,Orders!$E$2:$E$2001,$A16,Orders!$B$2:$B$2001,"&gt;="&amp;DATE(2024,7,1),Orders!$B$2:$B$2001,"&lt;"&amp;DATE(2024,8,1))</f>
        <v>51083.420000000006</v>
      </c>
      <c r="I16">
        <f>SUMIFS(Orders!$I$2:$I$2001,Orders!$E$2:$E$2001,$A16,Orders!$B$2:$B$2001,"&gt;="&amp;DATE(2024,8,1),Orders!$B$2:$B$2001,"&lt;"&amp;DATE(2024,9,1))</f>
        <v>114985.86000000002</v>
      </c>
      <c r="J16">
        <f>SUMIFS(Orders!$I$2:$I$2001,Orders!$E$2:$E$2001,$A16,Orders!$B$2:$B$2001,"&gt;="&amp;DATE(2024,9,1),Orders!$B$2:$B$2001,"&lt;"&amp;DATE(2024,10,1))</f>
        <v>92815.3</v>
      </c>
      <c r="K16">
        <f>SUMIFS(Orders!$I$2:$I$2001,Orders!$E$2:$E$2001,$A16,Orders!$B$2:$B$2001,"&gt;="&amp;DATE(2024,10,1),Orders!$B$2:$B$2001,"&lt;"&amp;DATE(2024,11,1))</f>
        <v>119179.18</v>
      </c>
      <c r="L16">
        <f>SUMIFS(Orders!$I$2:$I$2001,Orders!$E$2:$E$2001,$A16,Orders!$B$2:$B$2001,"&gt;="&amp;DATE(2024,11,1),Orders!$B$2:$B$2001,"&lt;"&amp;DATE(2024,12,1))</f>
        <v>97394.65</v>
      </c>
      <c r="M16">
        <f>SUMIFS(Orders!$I$2:$I$2001,Orders!$E$2:$E$2001,$A16,Orders!$B$2:$B$2001,"&gt;="&amp;DATE(2024,12,1),Orders!$B$2:$B$2001,"&lt;"&amp;DATE(2025,1,1))</f>
        <v>73235.58</v>
      </c>
    </row>
    <row r="17" spans="1:13" ht="15" customHeight="1" x14ac:dyDescent="0.35">
      <c r="A17" t="str">
        <f>Sales_Reps!A17</f>
        <v>R016</v>
      </c>
      <c r="B17">
        <f>SUMIFS(Orders!$I$2:$I$2001,Orders!$E$2:$E$2001,$A17,Orders!$B$2:$B$2001,"&gt;="&amp;DATE(2024,1,1),Orders!$B$2:$B$2001,"&lt;"&amp;DATE(2024,2,1))</f>
        <v>62195.839999999997</v>
      </c>
      <c r="C17">
        <f>SUMIFS(Orders!$I$2:$I$2001,Orders!$E$2:$E$2001,$A17,Orders!$B$2:$B$2001,"&gt;="&amp;DATE(2024,2,1),Orders!$B$2:$B$2001,"&lt;"&amp;DATE(2024,3,1))</f>
        <v>90583.239999999991</v>
      </c>
      <c r="D17">
        <f>SUMIFS(Orders!$I$2:$I$2001,Orders!$E$2:$E$2001,$A17,Orders!$B$2:$B$2001,"&gt;="&amp;DATE(2024,3,1),Orders!$B$2:$B$2001,"&lt;"&amp;DATE(2024,4,1))</f>
        <v>153834.45000000001</v>
      </c>
      <c r="E17">
        <f>SUMIFS(Orders!$I$2:$I$2001,Orders!$E$2:$E$2001,$A17,Orders!$B$2:$B$2001,"&gt;="&amp;DATE(2024,4,1),Orders!$B$2:$B$2001,"&lt;"&amp;DATE(2024,5,1))</f>
        <v>75094.84</v>
      </c>
      <c r="F17">
        <f>SUMIFS(Orders!$I$2:$I$2001,Orders!$E$2:$E$2001,$A17,Orders!$B$2:$B$2001,"&gt;="&amp;DATE(2024,5,1),Orders!$B$2:$B$2001,"&lt;"&amp;DATE(2024,6,1))</f>
        <v>67937.959999999992</v>
      </c>
      <c r="G17">
        <f>SUMIFS(Orders!$I$2:$I$2001,Orders!$E$2:$E$2001,$A17,Orders!$B$2:$B$2001,"&gt;="&amp;DATE(2024,6,1),Orders!$B$2:$B$2001,"&lt;"&amp;DATE(2024,7,1))</f>
        <v>55791.51</v>
      </c>
      <c r="H17">
        <f>SUMIFS(Orders!$I$2:$I$2001,Orders!$E$2:$E$2001,$A17,Orders!$B$2:$B$2001,"&gt;="&amp;DATE(2024,7,1),Orders!$B$2:$B$2001,"&lt;"&amp;DATE(2024,8,1))</f>
        <v>70547.11</v>
      </c>
      <c r="I17">
        <f>SUMIFS(Orders!$I$2:$I$2001,Orders!$E$2:$E$2001,$A17,Orders!$B$2:$B$2001,"&gt;="&amp;DATE(2024,8,1),Orders!$B$2:$B$2001,"&lt;"&amp;DATE(2024,9,1))</f>
        <v>119357.27</v>
      </c>
      <c r="J17">
        <f>SUMIFS(Orders!$I$2:$I$2001,Orders!$E$2:$E$2001,$A17,Orders!$B$2:$B$2001,"&gt;="&amp;DATE(2024,9,1),Orders!$B$2:$B$2001,"&lt;"&amp;DATE(2024,10,1))</f>
        <v>34105.56</v>
      </c>
      <c r="K17">
        <f>SUMIFS(Orders!$I$2:$I$2001,Orders!$E$2:$E$2001,$A17,Orders!$B$2:$B$2001,"&gt;="&amp;DATE(2024,10,1),Orders!$B$2:$B$2001,"&lt;"&amp;DATE(2024,11,1))</f>
        <v>55604.090000000004</v>
      </c>
      <c r="L17">
        <f>SUMIFS(Orders!$I$2:$I$2001,Orders!$E$2:$E$2001,$A17,Orders!$B$2:$B$2001,"&gt;="&amp;DATE(2024,11,1),Orders!$B$2:$B$2001,"&lt;"&amp;DATE(2024,12,1))</f>
        <v>26689.96</v>
      </c>
      <c r="M17">
        <f>SUMIFS(Orders!$I$2:$I$2001,Orders!$E$2:$E$2001,$A17,Orders!$B$2:$B$2001,"&gt;="&amp;DATE(2024,12,1),Orders!$B$2:$B$2001,"&lt;"&amp;DATE(2025,1,1))</f>
        <v>2821.88</v>
      </c>
    </row>
    <row r="18" spans="1:13" ht="15" customHeight="1" x14ac:dyDescent="0.35">
      <c r="A18" t="str">
        <f>Sales_Reps!A18</f>
        <v>R017</v>
      </c>
      <c r="B18">
        <f>SUMIFS(Orders!$I$2:$I$2001,Orders!$E$2:$E$2001,$A18,Orders!$B$2:$B$2001,"&gt;="&amp;DATE(2024,1,1),Orders!$B$2:$B$2001,"&lt;"&amp;DATE(2024,2,1))</f>
        <v>73856.39</v>
      </c>
      <c r="C18">
        <f>SUMIFS(Orders!$I$2:$I$2001,Orders!$E$2:$E$2001,$A18,Orders!$B$2:$B$2001,"&gt;="&amp;DATE(2024,2,1),Orders!$B$2:$B$2001,"&lt;"&amp;DATE(2024,3,1))</f>
        <v>27297.839999999997</v>
      </c>
      <c r="D18">
        <f>SUMIFS(Orders!$I$2:$I$2001,Orders!$E$2:$E$2001,$A18,Orders!$B$2:$B$2001,"&gt;="&amp;DATE(2024,3,1),Orders!$B$2:$B$2001,"&lt;"&amp;DATE(2024,4,1))</f>
        <v>120293.66</v>
      </c>
      <c r="E18">
        <f>SUMIFS(Orders!$I$2:$I$2001,Orders!$E$2:$E$2001,$A18,Orders!$B$2:$B$2001,"&gt;="&amp;DATE(2024,4,1),Orders!$B$2:$B$2001,"&lt;"&amp;DATE(2024,5,1))</f>
        <v>32212.65</v>
      </c>
      <c r="F18">
        <f>SUMIFS(Orders!$I$2:$I$2001,Orders!$E$2:$E$2001,$A18,Orders!$B$2:$B$2001,"&gt;="&amp;DATE(2024,5,1),Orders!$B$2:$B$2001,"&lt;"&amp;DATE(2024,6,1))</f>
        <v>113791.15</v>
      </c>
      <c r="G18">
        <f>SUMIFS(Orders!$I$2:$I$2001,Orders!$E$2:$E$2001,$A18,Orders!$B$2:$B$2001,"&gt;="&amp;DATE(2024,6,1),Orders!$B$2:$B$2001,"&lt;"&amp;DATE(2024,7,1))</f>
        <v>73782.34</v>
      </c>
      <c r="H18">
        <f>SUMIFS(Orders!$I$2:$I$2001,Orders!$E$2:$E$2001,$A18,Orders!$B$2:$B$2001,"&gt;="&amp;DATE(2024,7,1),Orders!$B$2:$B$2001,"&lt;"&amp;DATE(2024,8,1))</f>
        <v>4516.7</v>
      </c>
      <c r="I18">
        <f>SUMIFS(Orders!$I$2:$I$2001,Orders!$E$2:$E$2001,$A18,Orders!$B$2:$B$2001,"&gt;="&amp;DATE(2024,8,1),Orders!$B$2:$B$2001,"&lt;"&amp;DATE(2024,9,1))</f>
        <v>88015.95</v>
      </c>
      <c r="J18">
        <f>SUMIFS(Orders!$I$2:$I$2001,Orders!$E$2:$E$2001,$A18,Orders!$B$2:$B$2001,"&gt;="&amp;DATE(2024,9,1),Orders!$B$2:$B$2001,"&lt;"&amp;DATE(2024,10,1))</f>
        <v>75893.02</v>
      </c>
      <c r="K18">
        <f>SUMIFS(Orders!$I$2:$I$2001,Orders!$E$2:$E$2001,$A18,Orders!$B$2:$B$2001,"&gt;="&amp;DATE(2024,10,1),Orders!$B$2:$B$2001,"&lt;"&amp;DATE(2024,11,1))</f>
        <v>75670.28</v>
      </c>
      <c r="L18">
        <f>SUMIFS(Orders!$I$2:$I$2001,Orders!$E$2:$E$2001,$A18,Orders!$B$2:$B$2001,"&gt;="&amp;DATE(2024,11,1),Orders!$B$2:$B$2001,"&lt;"&amp;DATE(2024,12,1))</f>
        <v>23417.13</v>
      </c>
      <c r="M18">
        <f>SUMIFS(Orders!$I$2:$I$2001,Orders!$E$2:$E$2001,$A18,Orders!$B$2:$B$2001,"&gt;="&amp;DATE(2024,12,1),Orders!$B$2:$B$2001,"&lt;"&amp;DATE(2025,1,1))</f>
        <v>71637.3</v>
      </c>
    </row>
    <row r="19" spans="1:13" ht="15" customHeight="1" x14ac:dyDescent="0.35">
      <c r="A19" t="str">
        <f>Sales_Reps!A19</f>
        <v>R018</v>
      </c>
      <c r="B19">
        <f>SUMIFS(Orders!$I$2:$I$2001,Orders!$E$2:$E$2001,$A19,Orders!$B$2:$B$2001,"&gt;="&amp;DATE(2024,1,1),Orders!$B$2:$B$2001,"&lt;"&amp;DATE(2024,2,1))</f>
        <v>101638.5</v>
      </c>
      <c r="C19">
        <f>SUMIFS(Orders!$I$2:$I$2001,Orders!$E$2:$E$2001,$A19,Orders!$B$2:$B$2001,"&gt;="&amp;DATE(2024,2,1),Orders!$B$2:$B$2001,"&lt;"&amp;DATE(2024,3,1))</f>
        <v>121362.43999999999</v>
      </c>
      <c r="D19">
        <f>SUMIFS(Orders!$I$2:$I$2001,Orders!$E$2:$E$2001,$A19,Orders!$B$2:$B$2001,"&gt;="&amp;DATE(2024,3,1),Orders!$B$2:$B$2001,"&lt;"&amp;DATE(2024,4,1))</f>
        <v>51595.619999999995</v>
      </c>
      <c r="E19">
        <f>SUMIFS(Orders!$I$2:$I$2001,Orders!$E$2:$E$2001,$A19,Orders!$B$2:$B$2001,"&gt;="&amp;DATE(2024,4,1),Orders!$B$2:$B$2001,"&lt;"&amp;DATE(2024,5,1))</f>
        <v>210613.93000000002</v>
      </c>
      <c r="F19">
        <f>SUMIFS(Orders!$I$2:$I$2001,Orders!$E$2:$E$2001,$A19,Orders!$B$2:$B$2001,"&gt;="&amp;DATE(2024,5,1),Orders!$B$2:$B$2001,"&lt;"&amp;DATE(2024,6,1))</f>
        <v>173129.47</v>
      </c>
      <c r="G19">
        <f>SUMIFS(Orders!$I$2:$I$2001,Orders!$E$2:$E$2001,$A19,Orders!$B$2:$B$2001,"&gt;="&amp;DATE(2024,6,1),Orders!$B$2:$B$2001,"&lt;"&amp;DATE(2024,7,1))</f>
        <v>117809.47</v>
      </c>
      <c r="H19">
        <f>SUMIFS(Orders!$I$2:$I$2001,Orders!$E$2:$E$2001,$A19,Orders!$B$2:$B$2001,"&gt;="&amp;DATE(2024,7,1),Orders!$B$2:$B$2001,"&lt;"&amp;DATE(2024,8,1))</f>
        <v>41039.879999999997</v>
      </c>
      <c r="I19">
        <f>SUMIFS(Orders!$I$2:$I$2001,Orders!$E$2:$E$2001,$A19,Orders!$B$2:$B$2001,"&gt;="&amp;DATE(2024,8,1),Orders!$B$2:$B$2001,"&lt;"&amp;DATE(2024,9,1))</f>
        <v>26814.3</v>
      </c>
      <c r="J19">
        <f>SUMIFS(Orders!$I$2:$I$2001,Orders!$E$2:$E$2001,$A19,Orders!$B$2:$B$2001,"&gt;="&amp;DATE(2024,9,1),Orders!$B$2:$B$2001,"&lt;"&amp;DATE(2024,10,1))</f>
        <v>29070.76</v>
      </c>
      <c r="K19">
        <f>SUMIFS(Orders!$I$2:$I$2001,Orders!$E$2:$E$2001,$A19,Orders!$B$2:$B$2001,"&gt;="&amp;DATE(2024,10,1),Orders!$B$2:$B$2001,"&lt;"&amp;DATE(2024,11,1))</f>
        <v>109087.31</v>
      </c>
      <c r="L19">
        <f>SUMIFS(Orders!$I$2:$I$2001,Orders!$E$2:$E$2001,$A19,Orders!$B$2:$B$2001,"&gt;="&amp;DATE(2024,11,1),Orders!$B$2:$B$2001,"&lt;"&amp;DATE(2024,12,1))</f>
        <v>84868.64</v>
      </c>
      <c r="M19">
        <f>SUMIFS(Orders!$I$2:$I$2001,Orders!$E$2:$E$2001,$A19,Orders!$B$2:$B$2001,"&gt;="&amp;DATE(2024,12,1),Orders!$B$2:$B$2001,"&lt;"&amp;DATE(2025,1,1))</f>
        <v>45259.32</v>
      </c>
    </row>
    <row r="20" spans="1:13" ht="15" customHeight="1" x14ac:dyDescent="0.35">
      <c r="A20" t="str">
        <f>Sales_Reps!A20</f>
        <v>R019</v>
      </c>
      <c r="B20">
        <f>SUMIFS(Orders!$I$2:$I$2001,Orders!$E$2:$E$2001,$A20,Orders!$B$2:$B$2001,"&gt;="&amp;DATE(2024,1,1),Orders!$B$2:$B$2001,"&lt;"&amp;DATE(2024,2,1))</f>
        <v>30895.18</v>
      </c>
      <c r="C20">
        <f>SUMIFS(Orders!$I$2:$I$2001,Orders!$E$2:$E$2001,$A20,Orders!$B$2:$B$2001,"&gt;="&amp;DATE(2024,2,1),Orders!$B$2:$B$2001,"&lt;"&amp;DATE(2024,3,1))</f>
        <v>97513.340000000011</v>
      </c>
      <c r="D20">
        <f>SUMIFS(Orders!$I$2:$I$2001,Orders!$E$2:$E$2001,$A20,Orders!$B$2:$B$2001,"&gt;="&amp;DATE(2024,3,1),Orders!$B$2:$B$2001,"&lt;"&amp;DATE(2024,4,1))</f>
        <v>68954.539999999994</v>
      </c>
      <c r="E20">
        <f>SUMIFS(Orders!$I$2:$I$2001,Orders!$E$2:$E$2001,$A20,Orders!$B$2:$B$2001,"&gt;="&amp;DATE(2024,4,1),Orders!$B$2:$B$2001,"&lt;"&amp;DATE(2024,5,1))</f>
        <v>112510.04000000001</v>
      </c>
      <c r="F20">
        <f>SUMIFS(Orders!$I$2:$I$2001,Orders!$E$2:$E$2001,$A20,Orders!$B$2:$B$2001,"&gt;="&amp;DATE(2024,5,1),Orders!$B$2:$B$2001,"&lt;"&amp;DATE(2024,6,1))</f>
        <v>58746.86</v>
      </c>
      <c r="G20">
        <f>SUMIFS(Orders!$I$2:$I$2001,Orders!$E$2:$E$2001,$A20,Orders!$B$2:$B$2001,"&gt;="&amp;DATE(2024,6,1),Orders!$B$2:$B$2001,"&lt;"&amp;DATE(2024,7,1))</f>
        <v>107491.77999999998</v>
      </c>
      <c r="H20">
        <f>SUMIFS(Orders!$I$2:$I$2001,Orders!$E$2:$E$2001,$A20,Orders!$B$2:$B$2001,"&gt;="&amp;DATE(2024,7,1),Orders!$B$2:$B$2001,"&lt;"&amp;DATE(2024,8,1))</f>
        <v>72372.48000000001</v>
      </c>
      <c r="I20">
        <f>SUMIFS(Orders!$I$2:$I$2001,Orders!$E$2:$E$2001,$A20,Orders!$B$2:$B$2001,"&gt;="&amp;DATE(2024,8,1),Orders!$B$2:$B$2001,"&lt;"&amp;DATE(2024,9,1))</f>
        <v>20666.8</v>
      </c>
      <c r="J20">
        <f>SUMIFS(Orders!$I$2:$I$2001,Orders!$E$2:$E$2001,$A20,Orders!$B$2:$B$2001,"&gt;="&amp;DATE(2024,9,1),Orders!$B$2:$B$2001,"&lt;"&amp;DATE(2024,10,1))</f>
        <v>34590.78</v>
      </c>
      <c r="K20">
        <f>SUMIFS(Orders!$I$2:$I$2001,Orders!$E$2:$E$2001,$A20,Orders!$B$2:$B$2001,"&gt;="&amp;DATE(2024,10,1),Orders!$B$2:$B$2001,"&lt;"&amp;DATE(2024,11,1))</f>
        <v>152548.56</v>
      </c>
      <c r="L20">
        <f>SUMIFS(Orders!$I$2:$I$2001,Orders!$E$2:$E$2001,$A20,Orders!$B$2:$B$2001,"&gt;="&amp;DATE(2024,11,1),Orders!$B$2:$B$2001,"&lt;"&amp;DATE(2024,12,1))</f>
        <v>96634.5</v>
      </c>
      <c r="M20">
        <f>SUMIFS(Orders!$I$2:$I$2001,Orders!$E$2:$E$2001,$A20,Orders!$B$2:$B$2001,"&gt;="&amp;DATE(2024,12,1),Orders!$B$2:$B$2001,"&lt;"&amp;DATE(2025,1,1))</f>
        <v>118258.66</v>
      </c>
    </row>
    <row r="21" spans="1:13" ht="15" customHeight="1" x14ac:dyDescent="0.35">
      <c r="A21" t="str">
        <f>Sales_Reps!A21</f>
        <v>R020</v>
      </c>
      <c r="B21">
        <f>SUMIFS(Orders!$I$2:$I$2001,Orders!$E$2:$E$2001,$A21,Orders!$B$2:$B$2001,"&gt;="&amp;DATE(2024,1,1),Orders!$B$2:$B$2001,"&lt;"&amp;DATE(2024,2,1))</f>
        <v>41744.44000000001</v>
      </c>
      <c r="C21">
        <f>SUMIFS(Orders!$I$2:$I$2001,Orders!$E$2:$E$2001,$A21,Orders!$B$2:$B$2001,"&gt;="&amp;DATE(2024,2,1),Orders!$B$2:$B$2001,"&lt;"&amp;DATE(2024,3,1))</f>
        <v>13855.82</v>
      </c>
      <c r="D21">
        <f>SUMIFS(Orders!$I$2:$I$2001,Orders!$E$2:$E$2001,$A21,Orders!$B$2:$B$2001,"&gt;="&amp;DATE(2024,3,1),Orders!$B$2:$B$2001,"&lt;"&amp;DATE(2024,4,1))</f>
        <v>215416.30000000002</v>
      </c>
      <c r="E21">
        <f>SUMIFS(Orders!$I$2:$I$2001,Orders!$E$2:$E$2001,$A21,Orders!$B$2:$B$2001,"&gt;="&amp;DATE(2024,4,1),Orders!$B$2:$B$2001,"&lt;"&amp;DATE(2024,5,1))</f>
        <v>49921.2</v>
      </c>
      <c r="F21">
        <f>SUMIFS(Orders!$I$2:$I$2001,Orders!$E$2:$E$2001,$A21,Orders!$B$2:$B$2001,"&gt;="&amp;DATE(2024,5,1),Orders!$B$2:$B$2001,"&lt;"&amp;DATE(2024,6,1))</f>
        <v>182980.02999999997</v>
      </c>
      <c r="G21">
        <f>SUMIFS(Orders!$I$2:$I$2001,Orders!$E$2:$E$2001,$A21,Orders!$B$2:$B$2001,"&gt;="&amp;DATE(2024,6,1),Orders!$B$2:$B$2001,"&lt;"&amp;DATE(2024,7,1))</f>
        <v>90724.13</v>
      </c>
      <c r="H21">
        <f>SUMIFS(Orders!$I$2:$I$2001,Orders!$E$2:$E$2001,$A21,Orders!$B$2:$B$2001,"&gt;="&amp;DATE(2024,7,1),Orders!$B$2:$B$2001,"&lt;"&amp;DATE(2024,8,1))</f>
        <v>28955.710000000003</v>
      </c>
      <c r="I21">
        <f>SUMIFS(Orders!$I$2:$I$2001,Orders!$E$2:$E$2001,$A21,Orders!$B$2:$B$2001,"&gt;="&amp;DATE(2024,8,1),Orders!$B$2:$B$2001,"&lt;"&amp;DATE(2024,9,1))</f>
        <v>107718.33</v>
      </c>
      <c r="J21">
        <f>SUMIFS(Orders!$I$2:$I$2001,Orders!$E$2:$E$2001,$A21,Orders!$B$2:$B$2001,"&gt;="&amp;DATE(2024,9,1),Orders!$B$2:$B$2001,"&lt;"&amp;DATE(2024,10,1))</f>
        <v>57555.72</v>
      </c>
      <c r="K21">
        <f>SUMIFS(Orders!$I$2:$I$2001,Orders!$E$2:$E$2001,$A21,Orders!$B$2:$B$2001,"&gt;="&amp;DATE(2024,10,1),Orders!$B$2:$B$2001,"&lt;"&amp;DATE(2024,11,1))</f>
        <v>23378.260000000002</v>
      </c>
      <c r="L21">
        <f>SUMIFS(Orders!$I$2:$I$2001,Orders!$E$2:$E$2001,$A21,Orders!$B$2:$B$2001,"&gt;="&amp;DATE(2024,11,1),Orders!$B$2:$B$2001,"&lt;"&amp;DATE(2024,12,1))</f>
        <v>68985.010000000009</v>
      </c>
      <c r="M21">
        <f>SUMIFS(Orders!$I$2:$I$2001,Orders!$E$2:$E$2001,$A21,Orders!$B$2:$B$2001,"&gt;="&amp;DATE(2024,12,1),Orders!$B$2:$B$2001,"&lt;"&amp;DATE(2025,1,1))</f>
        <v>24872.76</v>
      </c>
    </row>
    <row r="22" spans="1:13" ht="15" customHeight="1" x14ac:dyDescent="0.35">
      <c r="A22" t="str">
        <f>Sales_Reps!A22</f>
        <v>R021</v>
      </c>
      <c r="B22">
        <f>SUMIFS(Orders!$I$2:$I$2001,Orders!$E$2:$E$2001,$A22,Orders!$B$2:$B$2001,"&gt;="&amp;DATE(2024,1,1),Orders!$B$2:$B$2001,"&lt;"&amp;DATE(2024,2,1))</f>
        <v>2689.92</v>
      </c>
      <c r="C22">
        <f>SUMIFS(Orders!$I$2:$I$2001,Orders!$E$2:$E$2001,$A22,Orders!$B$2:$B$2001,"&gt;="&amp;DATE(2024,2,1),Orders!$B$2:$B$2001,"&lt;"&amp;DATE(2024,3,1))</f>
        <v>104662.05</v>
      </c>
      <c r="D22">
        <f>SUMIFS(Orders!$I$2:$I$2001,Orders!$E$2:$E$2001,$A22,Orders!$B$2:$B$2001,"&gt;="&amp;DATE(2024,3,1),Orders!$B$2:$B$2001,"&lt;"&amp;DATE(2024,4,1))</f>
        <v>100685.62</v>
      </c>
      <c r="E22">
        <f>SUMIFS(Orders!$I$2:$I$2001,Orders!$E$2:$E$2001,$A22,Orders!$B$2:$B$2001,"&gt;="&amp;DATE(2024,4,1),Orders!$B$2:$B$2001,"&lt;"&amp;DATE(2024,5,1))</f>
        <v>71054.8</v>
      </c>
      <c r="F22">
        <f>SUMIFS(Orders!$I$2:$I$2001,Orders!$E$2:$E$2001,$A22,Orders!$B$2:$B$2001,"&gt;="&amp;DATE(2024,5,1),Orders!$B$2:$B$2001,"&lt;"&amp;DATE(2024,6,1))</f>
        <v>56143.78</v>
      </c>
      <c r="G22">
        <f>SUMIFS(Orders!$I$2:$I$2001,Orders!$E$2:$E$2001,$A22,Orders!$B$2:$B$2001,"&gt;="&amp;DATE(2024,6,1),Orders!$B$2:$B$2001,"&lt;"&amp;DATE(2024,7,1))</f>
        <v>65924.819999999992</v>
      </c>
      <c r="H22">
        <f>SUMIFS(Orders!$I$2:$I$2001,Orders!$E$2:$E$2001,$A22,Orders!$B$2:$B$2001,"&gt;="&amp;DATE(2024,7,1),Orders!$B$2:$B$2001,"&lt;"&amp;DATE(2024,8,1))</f>
        <v>72167.3</v>
      </c>
      <c r="I22">
        <f>SUMIFS(Orders!$I$2:$I$2001,Orders!$E$2:$E$2001,$A22,Orders!$B$2:$B$2001,"&gt;="&amp;DATE(2024,8,1),Orders!$B$2:$B$2001,"&lt;"&amp;DATE(2024,9,1))</f>
        <v>44212.2</v>
      </c>
      <c r="J22">
        <f>SUMIFS(Orders!$I$2:$I$2001,Orders!$E$2:$E$2001,$A22,Orders!$B$2:$B$2001,"&gt;="&amp;DATE(2024,9,1),Orders!$B$2:$B$2001,"&lt;"&amp;DATE(2024,10,1))</f>
        <v>108409.59</v>
      </c>
      <c r="K22">
        <f>SUMIFS(Orders!$I$2:$I$2001,Orders!$E$2:$E$2001,$A22,Orders!$B$2:$B$2001,"&gt;="&amp;DATE(2024,10,1),Orders!$B$2:$B$2001,"&lt;"&amp;DATE(2024,11,1))</f>
        <v>42203.749999999993</v>
      </c>
      <c r="L22">
        <f>SUMIFS(Orders!$I$2:$I$2001,Orders!$E$2:$E$2001,$A22,Orders!$B$2:$B$2001,"&gt;="&amp;DATE(2024,11,1),Orders!$B$2:$B$2001,"&lt;"&amp;DATE(2024,12,1))</f>
        <v>53126.100000000006</v>
      </c>
      <c r="M22">
        <f>SUMIFS(Orders!$I$2:$I$2001,Orders!$E$2:$E$2001,$A22,Orders!$B$2:$B$2001,"&gt;="&amp;DATE(2024,12,1),Orders!$B$2:$B$2001,"&lt;"&amp;DATE(2025,1,1))</f>
        <v>40227.240000000005</v>
      </c>
    </row>
    <row r="23" spans="1:13" ht="15" customHeight="1" x14ac:dyDescent="0.35">
      <c r="A23" t="str">
        <f>Sales_Reps!A23</f>
        <v>R022</v>
      </c>
      <c r="B23">
        <f>SUMIFS(Orders!$I$2:$I$2001,Orders!$E$2:$E$2001,$A23,Orders!$B$2:$B$2001,"&gt;="&amp;DATE(2024,1,1),Orders!$B$2:$B$2001,"&lt;"&amp;DATE(2024,2,1))</f>
        <v>158207.84</v>
      </c>
      <c r="C23">
        <f>SUMIFS(Orders!$I$2:$I$2001,Orders!$E$2:$E$2001,$A23,Orders!$B$2:$B$2001,"&gt;="&amp;DATE(2024,2,1),Orders!$B$2:$B$2001,"&lt;"&amp;DATE(2024,3,1))</f>
        <v>46819.11</v>
      </c>
      <c r="D23">
        <f>SUMIFS(Orders!$I$2:$I$2001,Orders!$E$2:$E$2001,$A23,Orders!$B$2:$B$2001,"&gt;="&amp;DATE(2024,3,1),Orders!$B$2:$B$2001,"&lt;"&amp;DATE(2024,4,1))</f>
        <v>51327.360000000001</v>
      </c>
      <c r="E23">
        <f>SUMIFS(Orders!$I$2:$I$2001,Orders!$E$2:$E$2001,$A23,Orders!$B$2:$B$2001,"&gt;="&amp;DATE(2024,4,1),Orders!$B$2:$B$2001,"&lt;"&amp;DATE(2024,5,1))</f>
        <v>93303.01999999999</v>
      </c>
      <c r="F23">
        <f>SUMIFS(Orders!$I$2:$I$2001,Orders!$E$2:$E$2001,$A23,Orders!$B$2:$B$2001,"&gt;="&amp;DATE(2024,5,1),Orders!$B$2:$B$2001,"&lt;"&amp;DATE(2024,6,1))</f>
        <v>8802.7900000000009</v>
      </c>
      <c r="G23">
        <f>SUMIFS(Orders!$I$2:$I$2001,Orders!$E$2:$E$2001,$A23,Orders!$B$2:$B$2001,"&gt;="&amp;DATE(2024,6,1),Orders!$B$2:$B$2001,"&lt;"&amp;DATE(2024,7,1))</f>
        <v>61415.64</v>
      </c>
      <c r="H23">
        <f>SUMIFS(Orders!$I$2:$I$2001,Orders!$E$2:$E$2001,$A23,Orders!$B$2:$B$2001,"&gt;="&amp;DATE(2024,7,1),Orders!$B$2:$B$2001,"&lt;"&amp;DATE(2024,8,1))</f>
        <v>210918.24</v>
      </c>
      <c r="I23">
        <f>SUMIFS(Orders!$I$2:$I$2001,Orders!$E$2:$E$2001,$A23,Orders!$B$2:$B$2001,"&gt;="&amp;DATE(2024,8,1),Orders!$B$2:$B$2001,"&lt;"&amp;DATE(2024,9,1))</f>
        <v>81133.64</v>
      </c>
      <c r="J23">
        <f>SUMIFS(Orders!$I$2:$I$2001,Orders!$E$2:$E$2001,$A23,Orders!$B$2:$B$2001,"&gt;="&amp;DATE(2024,9,1),Orders!$B$2:$B$2001,"&lt;"&amp;DATE(2024,10,1))</f>
        <v>87991.220000000016</v>
      </c>
      <c r="K23">
        <f>SUMIFS(Orders!$I$2:$I$2001,Orders!$E$2:$E$2001,$A23,Orders!$B$2:$B$2001,"&gt;="&amp;DATE(2024,10,1),Orders!$B$2:$B$2001,"&lt;"&amp;DATE(2024,11,1))</f>
        <v>73388.56</v>
      </c>
      <c r="L23">
        <f>SUMIFS(Orders!$I$2:$I$2001,Orders!$E$2:$E$2001,$A23,Orders!$B$2:$B$2001,"&gt;="&amp;DATE(2024,11,1),Orders!$B$2:$B$2001,"&lt;"&amp;DATE(2024,12,1))</f>
        <v>76504.66</v>
      </c>
      <c r="M23">
        <f>SUMIFS(Orders!$I$2:$I$2001,Orders!$E$2:$E$2001,$A23,Orders!$B$2:$B$2001,"&gt;="&amp;DATE(2024,12,1),Orders!$B$2:$B$2001,"&lt;"&amp;DATE(2025,1,1))</f>
        <v>119758.46</v>
      </c>
    </row>
    <row r="24" spans="1:13" ht="15" customHeight="1" x14ac:dyDescent="0.35">
      <c r="A24" t="str">
        <f>Sales_Reps!A24</f>
        <v>R023</v>
      </c>
      <c r="B24">
        <f>SUMIFS(Orders!$I$2:$I$2001,Orders!$E$2:$E$2001,$A24,Orders!$B$2:$B$2001,"&gt;="&amp;DATE(2024,1,1),Orders!$B$2:$B$2001,"&lt;"&amp;DATE(2024,2,1))</f>
        <v>54606.060000000005</v>
      </c>
      <c r="C24">
        <f>SUMIFS(Orders!$I$2:$I$2001,Orders!$E$2:$E$2001,$A24,Orders!$B$2:$B$2001,"&gt;="&amp;DATE(2024,2,1),Orders!$B$2:$B$2001,"&lt;"&amp;DATE(2024,3,1))</f>
        <v>120382.87</v>
      </c>
      <c r="D24">
        <f>SUMIFS(Orders!$I$2:$I$2001,Orders!$E$2:$E$2001,$A24,Orders!$B$2:$B$2001,"&gt;="&amp;DATE(2024,3,1),Orders!$B$2:$B$2001,"&lt;"&amp;DATE(2024,4,1))</f>
        <v>82920.600000000006</v>
      </c>
      <c r="E24">
        <f>SUMIFS(Orders!$I$2:$I$2001,Orders!$E$2:$E$2001,$A24,Orders!$B$2:$B$2001,"&gt;="&amp;DATE(2024,4,1),Orders!$B$2:$B$2001,"&lt;"&amp;DATE(2024,5,1))</f>
        <v>216421.52000000002</v>
      </c>
      <c r="F24">
        <f>SUMIFS(Orders!$I$2:$I$2001,Orders!$E$2:$E$2001,$A24,Orders!$B$2:$B$2001,"&gt;="&amp;DATE(2024,5,1),Orders!$B$2:$B$2001,"&lt;"&amp;DATE(2024,6,1))</f>
        <v>40444.230000000003</v>
      </c>
      <c r="G24">
        <f>SUMIFS(Orders!$I$2:$I$2001,Orders!$E$2:$E$2001,$A24,Orders!$B$2:$B$2001,"&gt;="&amp;DATE(2024,6,1),Orders!$B$2:$B$2001,"&lt;"&amp;DATE(2024,7,1))</f>
        <v>102315.15</v>
      </c>
      <c r="H24">
        <f>SUMIFS(Orders!$I$2:$I$2001,Orders!$E$2:$E$2001,$A24,Orders!$B$2:$B$2001,"&gt;="&amp;DATE(2024,7,1),Orders!$B$2:$B$2001,"&lt;"&amp;DATE(2024,8,1))</f>
        <v>89062.989999999991</v>
      </c>
      <c r="I24">
        <f>SUMIFS(Orders!$I$2:$I$2001,Orders!$E$2:$E$2001,$A24,Orders!$B$2:$B$2001,"&gt;="&amp;DATE(2024,8,1),Orders!$B$2:$B$2001,"&lt;"&amp;DATE(2024,9,1))</f>
        <v>50585.599999999999</v>
      </c>
      <c r="J24">
        <f>SUMIFS(Orders!$I$2:$I$2001,Orders!$E$2:$E$2001,$A24,Orders!$B$2:$B$2001,"&gt;="&amp;DATE(2024,9,1),Orders!$B$2:$B$2001,"&lt;"&amp;DATE(2024,10,1))</f>
        <v>50462.58</v>
      </c>
      <c r="K24">
        <f>SUMIFS(Orders!$I$2:$I$2001,Orders!$E$2:$E$2001,$A24,Orders!$B$2:$B$2001,"&gt;="&amp;DATE(2024,10,1),Orders!$B$2:$B$2001,"&lt;"&amp;DATE(2024,11,1))</f>
        <v>13975.5</v>
      </c>
      <c r="L24">
        <f>SUMIFS(Orders!$I$2:$I$2001,Orders!$E$2:$E$2001,$A24,Orders!$B$2:$B$2001,"&gt;="&amp;DATE(2024,11,1),Orders!$B$2:$B$2001,"&lt;"&amp;DATE(2024,12,1))</f>
        <v>59984.34</v>
      </c>
      <c r="M24">
        <f>SUMIFS(Orders!$I$2:$I$2001,Orders!$E$2:$E$2001,$A24,Orders!$B$2:$B$2001,"&gt;="&amp;DATE(2024,12,1),Orders!$B$2:$B$2001,"&lt;"&amp;DATE(2025,1,1))</f>
        <v>102626.04</v>
      </c>
    </row>
    <row r="25" spans="1:13" ht="15" customHeight="1" x14ac:dyDescent="0.35">
      <c r="A25" t="str">
        <f>Sales_Reps!A25</f>
        <v>R024</v>
      </c>
      <c r="B25">
        <f>SUMIFS(Orders!$I$2:$I$2001,Orders!$E$2:$E$2001,$A25,Orders!$B$2:$B$2001,"&gt;="&amp;DATE(2024,1,1),Orders!$B$2:$B$2001,"&lt;"&amp;DATE(2024,2,1))</f>
        <v>24937.08</v>
      </c>
      <c r="C25">
        <f>SUMIFS(Orders!$I$2:$I$2001,Orders!$E$2:$E$2001,$A25,Orders!$B$2:$B$2001,"&gt;="&amp;DATE(2024,2,1),Orders!$B$2:$B$2001,"&lt;"&amp;DATE(2024,3,1))</f>
        <v>97833.739999999991</v>
      </c>
      <c r="D25">
        <f>SUMIFS(Orders!$I$2:$I$2001,Orders!$E$2:$E$2001,$A25,Orders!$B$2:$B$2001,"&gt;="&amp;DATE(2024,3,1),Orders!$B$2:$B$2001,"&lt;"&amp;DATE(2024,4,1))</f>
        <v>63984.05</v>
      </c>
      <c r="E25">
        <f>SUMIFS(Orders!$I$2:$I$2001,Orders!$E$2:$E$2001,$A25,Orders!$B$2:$B$2001,"&gt;="&amp;DATE(2024,4,1),Orders!$B$2:$B$2001,"&lt;"&amp;DATE(2024,5,1))</f>
        <v>56736.5</v>
      </c>
      <c r="F25">
        <f>SUMIFS(Orders!$I$2:$I$2001,Orders!$E$2:$E$2001,$A25,Orders!$B$2:$B$2001,"&gt;="&amp;DATE(2024,5,1),Orders!$B$2:$B$2001,"&lt;"&amp;DATE(2024,6,1))</f>
        <v>125217.67</v>
      </c>
      <c r="G25">
        <f>SUMIFS(Orders!$I$2:$I$2001,Orders!$E$2:$E$2001,$A25,Orders!$B$2:$B$2001,"&gt;="&amp;DATE(2024,6,1),Orders!$B$2:$B$2001,"&lt;"&amp;DATE(2024,7,1))</f>
        <v>53450.710000000006</v>
      </c>
      <c r="H25">
        <f>SUMIFS(Orders!$I$2:$I$2001,Orders!$E$2:$E$2001,$A25,Orders!$B$2:$B$2001,"&gt;="&amp;DATE(2024,7,1),Orders!$B$2:$B$2001,"&lt;"&amp;DATE(2024,8,1))</f>
        <v>58773.84</v>
      </c>
      <c r="I25">
        <f>SUMIFS(Orders!$I$2:$I$2001,Orders!$E$2:$E$2001,$A25,Orders!$B$2:$B$2001,"&gt;="&amp;DATE(2024,8,1),Orders!$B$2:$B$2001,"&lt;"&amp;DATE(2024,9,1))</f>
        <v>66015.240000000005</v>
      </c>
      <c r="J25">
        <f>SUMIFS(Orders!$I$2:$I$2001,Orders!$E$2:$E$2001,$A25,Orders!$B$2:$B$2001,"&gt;="&amp;DATE(2024,9,1),Orders!$B$2:$B$2001,"&lt;"&amp;DATE(2024,10,1))</f>
        <v>16909.739999999998</v>
      </c>
      <c r="K25">
        <f>SUMIFS(Orders!$I$2:$I$2001,Orders!$E$2:$E$2001,$A25,Orders!$B$2:$B$2001,"&gt;="&amp;DATE(2024,10,1),Orders!$B$2:$B$2001,"&lt;"&amp;DATE(2024,11,1))</f>
        <v>82877.570000000007</v>
      </c>
      <c r="L25">
        <f>SUMIFS(Orders!$I$2:$I$2001,Orders!$E$2:$E$2001,$A25,Orders!$B$2:$B$2001,"&gt;="&amp;DATE(2024,11,1),Orders!$B$2:$B$2001,"&lt;"&amp;DATE(2024,12,1))</f>
        <v>68084.649999999994</v>
      </c>
      <c r="M25">
        <f>SUMIFS(Orders!$I$2:$I$2001,Orders!$E$2:$E$2001,$A25,Orders!$B$2:$B$2001,"&gt;="&amp;DATE(2024,12,1),Orders!$B$2:$B$2001,"&lt;"&amp;DATE(2025,1,1))</f>
        <v>104737.79</v>
      </c>
    </row>
    <row r="26" spans="1:13" ht="15" customHeight="1" x14ac:dyDescent="0.35">
      <c r="A26" t="str">
        <f>Sales_Reps!A26</f>
        <v>R025</v>
      </c>
      <c r="B26">
        <f>SUMIFS(Orders!$I$2:$I$2001,Orders!$E$2:$E$2001,$A26,Orders!$B$2:$B$2001,"&gt;="&amp;DATE(2024,1,1),Orders!$B$2:$B$2001,"&lt;"&amp;DATE(2024,2,1))</f>
        <v>56041.840000000004</v>
      </c>
      <c r="C26">
        <f>SUMIFS(Orders!$I$2:$I$2001,Orders!$E$2:$E$2001,$A26,Orders!$B$2:$B$2001,"&gt;="&amp;DATE(2024,2,1),Orders!$B$2:$B$2001,"&lt;"&amp;DATE(2024,3,1))</f>
        <v>43978.47</v>
      </c>
      <c r="D26">
        <f>SUMIFS(Orders!$I$2:$I$2001,Orders!$E$2:$E$2001,$A26,Orders!$B$2:$B$2001,"&gt;="&amp;DATE(2024,3,1),Orders!$B$2:$B$2001,"&lt;"&amp;DATE(2024,4,1))</f>
        <v>130752.95000000001</v>
      </c>
      <c r="E26">
        <f>SUMIFS(Orders!$I$2:$I$2001,Orders!$E$2:$E$2001,$A26,Orders!$B$2:$B$2001,"&gt;="&amp;DATE(2024,4,1),Orders!$B$2:$B$2001,"&lt;"&amp;DATE(2024,5,1))</f>
        <v>49945.919999999991</v>
      </c>
      <c r="F26">
        <f>SUMIFS(Orders!$I$2:$I$2001,Orders!$E$2:$E$2001,$A26,Orders!$B$2:$B$2001,"&gt;="&amp;DATE(2024,5,1),Orders!$B$2:$B$2001,"&lt;"&amp;DATE(2024,6,1))</f>
        <v>59507.42</v>
      </c>
      <c r="G26">
        <f>SUMIFS(Orders!$I$2:$I$2001,Orders!$E$2:$E$2001,$A26,Orders!$B$2:$B$2001,"&gt;="&amp;DATE(2024,6,1),Orders!$B$2:$B$2001,"&lt;"&amp;DATE(2024,7,1))</f>
        <v>66753.66</v>
      </c>
      <c r="H26">
        <f>SUMIFS(Orders!$I$2:$I$2001,Orders!$E$2:$E$2001,$A26,Orders!$B$2:$B$2001,"&gt;="&amp;DATE(2024,7,1),Orders!$B$2:$B$2001,"&lt;"&amp;DATE(2024,8,1))</f>
        <v>140235.22</v>
      </c>
      <c r="I26">
        <f>SUMIFS(Orders!$I$2:$I$2001,Orders!$E$2:$E$2001,$A26,Orders!$B$2:$B$2001,"&gt;="&amp;DATE(2024,8,1),Orders!$B$2:$B$2001,"&lt;"&amp;DATE(2024,9,1))</f>
        <v>61143.740000000005</v>
      </c>
      <c r="J26">
        <f>SUMIFS(Orders!$I$2:$I$2001,Orders!$E$2:$E$2001,$A26,Orders!$B$2:$B$2001,"&gt;="&amp;DATE(2024,9,1),Orders!$B$2:$B$2001,"&lt;"&amp;DATE(2024,10,1))</f>
        <v>121716.57999999999</v>
      </c>
      <c r="K26">
        <f>SUMIFS(Orders!$I$2:$I$2001,Orders!$E$2:$E$2001,$A26,Orders!$B$2:$B$2001,"&gt;="&amp;DATE(2024,10,1),Orders!$B$2:$B$2001,"&lt;"&amp;DATE(2024,11,1))</f>
        <v>8289.0300000000007</v>
      </c>
      <c r="L26">
        <f>SUMIFS(Orders!$I$2:$I$2001,Orders!$E$2:$E$2001,$A26,Orders!$B$2:$B$2001,"&gt;="&amp;DATE(2024,11,1),Orders!$B$2:$B$2001,"&lt;"&amp;DATE(2024,12,1))</f>
        <v>103237.54000000001</v>
      </c>
      <c r="M26">
        <f>SUMIFS(Orders!$I$2:$I$2001,Orders!$E$2:$E$2001,$A26,Orders!$B$2:$B$2001,"&gt;="&amp;DATE(2024,12,1),Orders!$B$2:$B$2001,"&lt;"&amp;DATE(2025,1,1))</f>
        <v>59696.52</v>
      </c>
    </row>
    <row r="27" spans="1:13" ht="15" customHeight="1" x14ac:dyDescent="0.35">
      <c r="A27" t="str">
        <f>Sales_Reps!A27</f>
        <v>R026</v>
      </c>
      <c r="B27">
        <f>SUMIFS(Orders!$I$2:$I$2001,Orders!$E$2:$E$2001,$A27,Orders!$B$2:$B$2001,"&gt;="&amp;DATE(2024,1,1),Orders!$B$2:$B$2001,"&lt;"&amp;DATE(2024,2,1))</f>
        <v>12767.82</v>
      </c>
      <c r="C27">
        <f>SUMIFS(Orders!$I$2:$I$2001,Orders!$E$2:$E$2001,$A27,Orders!$B$2:$B$2001,"&gt;="&amp;DATE(2024,2,1),Orders!$B$2:$B$2001,"&lt;"&amp;DATE(2024,3,1))</f>
        <v>18592.259999999998</v>
      </c>
      <c r="D27">
        <f>SUMIFS(Orders!$I$2:$I$2001,Orders!$E$2:$E$2001,$A27,Orders!$B$2:$B$2001,"&gt;="&amp;DATE(2024,3,1),Orders!$B$2:$B$2001,"&lt;"&amp;DATE(2024,4,1))</f>
        <v>66759.360000000001</v>
      </c>
      <c r="E27">
        <f>SUMIFS(Orders!$I$2:$I$2001,Orders!$E$2:$E$2001,$A27,Orders!$B$2:$B$2001,"&gt;="&amp;DATE(2024,4,1),Orders!$B$2:$B$2001,"&lt;"&amp;DATE(2024,5,1))</f>
        <v>131132.87999999998</v>
      </c>
      <c r="F27">
        <f>SUMIFS(Orders!$I$2:$I$2001,Orders!$E$2:$E$2001,$A27,Orders!$B$2:$B$2001,"&gt;="&amp;DATE(2024,5,1),Orders!$B$2:$B$2001,"&lt;"&amp;DATE(2024,6,1))</f>
        <v>30080.400000000001</v>
      </c>
      <c r="G27">
        <f>SUMIFS(Orders!$I$2:$I$2001,Orders!$E$2:$E$2001,$A27,Orders!$B$2:$B$2001,"&gt;="&amp;DATE(2024,6,1),Orders!$B$2:$B$2001,"&lt;"&amp;DATE(2024,7,1))</f>
        <v>19115.52</v>
      </c>
      <c r="H27">
        <f>SUMIFS(Orders!$I$2:$I$2001,Orders!$E$2:$E$2001,$A27,Orders!$B$2:$B$2001,"&gt;="&amp;DATE(2024,7,1),Orders!$B$2:$B$2001,"&lt;"&amp;DATE(2024,8,1))</f>
        <v>13927.630000000001</v>
      </c>
      <c r="I27">
        <f>SUMIFS(Orders!$I$2:$I$2001,Orders!$E$2:$E$2001,$A27,Orders!$B$2:$B$2001,"&gt;="&amp;DATE(2024,8,1),Orders!$B$2:$B$2001,"&lt;"&amp;DATE(2024,9,1))</f>
        <v>89359.819999999992</v>
      </c>
      <c r="J27">
        <f>SUMIFS(Orders!$I$2:$I$2001,Orders!$E$2:$E$2001,$A27,Orders!$B$2:$B$2001,"&gt;="&amp;DATE(2024,9,1),Orders!$B$2:$B$2001,"&lt;"&amp;DATE(2024,10,1))</f>
        <v>26249.420000000002</v>
      </c>
      <c r="K27">
        <f>SUMIFS(Orders!$I$2:$I$2001,Orders!$E$2:$E$2001,$A27,Orders!$B$2:$B$2001,"&gt;="&amp;DATE(2024,10,1),Orders!$B$2:$B$2001,"&lt;"&amp;DATE(2024,11,1))</f>
        <v>79217.400000000009</v>
      </c>
      <c r="L27">
        <f>SUMIFS(Orders!$I$2:$I$2001,Orders!$E$2:$E$2001,$A27,Orders!$B$2:$B$2001,"&gt;="&amp;DATE(2024,11,1),Orders!$B$2:$B$2001,"&lt;"&amp;DATE(2024,12,1))</f>
        <v>28769.67</v>
      </c>
      <c r="M27">
        <f>SUMIFS(Orders!$I$2:$I$2001,Orders!$E$2:$E$2001,$A27,Orders!$B$2:$B$2001,"&gt;="&amp;DATE(2024,12,1),Orders!$B$2:$B$2001,"&lt;"&amp;DATE(2025,1,1))</f>
        <v>60332.900000000009</v>
      </c>
    </row>
    <row r="28" spans="1:13" ht="15" customHeight="1" x14ac:dyDescent="0.35">
      <c r="A28" t="str">
        <f>Sales_Reps!A28</f>
        <v>R027</v>
      </c>
      <c r="B28">
        <f>SUMIFS(Orders!$I$2:$I$2001,Orders!$E$2:$E$2001,$A28,Orders!$B$2:$B$2001,"&gt;="&amp;DATE(2024,1,1),Orders!$B$2:$B$2001,"&lt;"&amp;DATE(2024,2,1))</f>
        <v>77569.16</v>
      </c>
      <c r="C28">
        <f>SUMIFS(Orders!$I$2:$I$2001,Orders!$E$2:$E$2001,$A28,Orders!$B$2:$B$2001,"&gt;="&amp;DATE(2024,2,1),Orders!$B$2:$B$2001,"&lt;"&amp;DATE(2024,3,1))</f>
        <v>80384.530000000013</v>
      </c>
      <c r="D28">
        <f>SUMIFS(Orders!$I$2:$I$2001,Orders!$E$2:$E$2001,$A28,Orders!$B$2:$B$2001,"&gt;="&amp;DATE(2024,3,1),Orders!$B$2:$B$2001,"&lt;"&amp;DATE(2024,4,1))</f>
        <v>36563.800000000003</v>
      </c>
      <c r="E28">
        <f>SUMIFS(Orders!$I$2:$I$2001,Orders!$E$2:$E$2001,$A28,Orders!$B$2:$B$2001,"&gt;="&amp;DATE(2024,4,1),Orders!$B$2:$B$2001,"&lt;"&amp;DATE(2024,5,1))</f>
        <v>78106.28</v>
      </c>
      <c r="F28">
        <f>SUMIFS(Orders!$I$2:$I$2001,Orders!$E$2:$E$2001,$A28,Orders!$B$2:$B$2001,"&gt;="&amp;DATE(2024,5,1),Orders!$B$2:$B$2001,"&lt;"&amp;DATE(2024,6,1))</f>
        <v>85103.459999999992</v>
      </c>
      <c r="G28">
        <f>SUMIFS(Orders!$I$2:$I$2001,Orders!$E$2:$E$2001,$A28,Orders!$B$2:$B$2001,"&gt;="&amp;DATE(2024,6,1),Orders!$B$2:$B$2001,"&lt;"&amp;DATE(2024,7,1))</f>
        <v>49268.729999999996</v>
      </c>
      <c r="H28">
        <f>SUMIFS(Orders!$I$2:$I$2001,Orders!$E$2:$E$2001,$A28,Orders!$B$2:$B$2001,"&gt;="&amp;DATE(2024,7,1),Orders!$B$2:$B$2001,"&lt;"&amp;DATE(2024,8,1))</f>
        <v>32250.519999999997</v>
      </c>
      <c r="I28">
        <f>SUMIFS(Orders!$I$2:$I$2001,Orders!$E$2:$E$2001,$A28,Orders!$B$2:$B$2001,"&gt;="&amp;DATE(2024,8,1),Orders!$B$2:$B$2001,"&lt;"&amp;DATE(2024,9,1))</f>
        <v>18606.830000000002</v>
      </c>
      <c r="J28">
        <f>SUMIFS(Orders!$I$2:$I$2001,Orders!$E$2:$E$2001,$A28,Orders!$B$2:$B$2001,"&gt;="&amp;DATE(2024,9,1),Orders!$B$2:$B$2001,"&lt;"&amp;DATE(2024,10,1))</f>
        <v>133645.79999999999</v>
      </c>
      <c r="K28">
        <f>SUMIFS(Orders!$I$2:$I$2001,Orders!$E$2:$E$2001,$A28,Orders!$B$2:$B$2001,"&gt;="&amp;DATE(2024,10,1),Orders!$B$2:$B$2001,"&lt;"&amp;DATE(2024,11,1))</f>
        <v>110709.74999999999</v>
      </c>
      <c r="L28">
        <f>SUMIFS(Orders!$I$2:$I$2001,Orders!$E$2:$E$2001,$A28,Orders!$B$2:$B$2001,"&gt;="&amp;DATE(2024,11,1),Orders!$B$2:$B$2001,"&lt;"&amp;DATE(2024,12,1))</f>
        <v>110369.59</v>
      </c>
      <c r="M28">
        <f>SUMIFS(Orders!$I$2:$I$2001,Orders!$E$2:$E$2001,$A28,Orders!$B$2:$B$2001,"&gt;="&amp;DATE(2024,12,1),Orders!$B$2:$B$2001,"&lt;"&amp;DATE(2025,1,1))</f>
        <v>104514.17000000001</v>
      </c>
    </row>
    <row r="29" spans="1:13" ht="15" customHeight="1" x14ac:dyDescent="0.35">
      <c r="A29" t="str">
        <f>Sales_Reps!A29</f>
        <v>R028</v>
      </c>
      <c r="B29">
        <f>SUMIFS(Orders!$I$2:$I$2001,Orders!$E$2:$E$2001,$A29,Orders!$B$2:$B$2001,"&gt;="&amp;DATE(2024,1,1),Orders!$B$2:$B$2001,"&lt;"&amp;DATE(2024,2,1))</f>
        <v>36574.000000000007</v>
      </c>
      <c r="C29">
        <f>SUMIFS(Orders!$I$2:$I$2001,Orders!$E$2:$E$2001,$A29,Orders!$B$2:$B$2001,"&gt;="&amp;DATE(2024,2,1),Orders!$B$2:$B$2001,"&lt;"&amp;DATE(2024,3,1))</f>
        <v>63178.48</v>
      </c>
      <c r="D29">
        <f>SUMIFS(Orders!$I$2:$I$2001,Orders!$E$2:$E$2001,$A29,Orders!$B$2:$B$2001,"&gt;="&amp;DATE(2024,3,1),Orders!$B$2:$B$2001,"&lt;"&amp;DATE(2024,4,1))</f>
        <v>65497.58</v>
      </c>
      <c r="E29">
        <f>SUMIFS(Orders!$I$2:$I$2001,Orders!$E$2:$E$2001,$A29,Orders!$B$2:$B$2001,"&gt;="&amp;DATE(2024,4,1),Orders!$B$2:$B$2001,"&lt;"&amp;DATE(2024,5,1))</f>
        <v>45577.729999999996</v>
      </c>
      <c r="F29">
        <f>SUMIFS(Orders!$I$2:$I$2001,Orders!$E$2:$E$2001,$A29,Orders!$B$2:$B$2001,"&gt;="&amp;DATE(2024,5,1),Orders!$B$2:$B$2001,"&lt;"&amp;DATE(2024,6,1))</f>
        <v>68897.649999999994</v>
      </c>
      <c r="G29">
        <f>SUMIFS(Orders!$I$2:$I$2001,Orders!$E$2:$E$2001,$A29,Orders!$B$2:$B$2001,"&gt;="&amp;DATE(2024,6,1),Orders!$B$2:$B$2001,"&lt;"&amp;DATE(2024,7,1))</f>
        <v>47140.72</v>
      </c>
      <c r="H29">
        <f>SUMIFS(Orders!$I$2:$I$2001,Orders!$E$2:$E$2001,$A29,Orders!$B$2:$B$2001,"&gt;="&amp;DATE(2024,7,1),Orders!$B$2:$B$2001,"&lt;"&amp;DATE(2024,8,1))</f>
        <v>88182.8</v>
      </c>
      <c r="I29">
        <f>SUMIFS(Orders!$I$2:$I$2001,Orders!$E$2:$E$2001,$A29,Orders!$B$2:$B$2001,"&gt;="&amp;DATE(2024,8,1),Orders!$B$2:$B$2001,"&lt;"&amp;DATE(2024,9,1))</f>
        <v>168231.25</v>
      </c>
      <c r="J29">
        <f>SUMIFS(Orders!$I$2:$I$2001,Orders!$E$2:$E$2001,$A29,Orders!$B$2:$B$2001,"&gt;="&amp;DATE(2024,9,1),Orders!$B$2:$B$2001,"&lt;"&amp;DATE(2024,10,1))</f>
        <v>44209.14</v>
      </c>
      <c r="K29">
        <f>SUMIFS(Orders!$I$2:$I$2001,Orders!$E$2:$E$2001,$A29,Orders!$B$2:$B$2001,"&gt;="&amp;DATE(2024,10,1),Orders!$B$2:$B$2001,"&lt;"&amp;DATE(2024,11,1))</f>
        <v>137494.43</v>
      </c>
      <c r="L29">
        <f>SUMIFS(Orders!$I$2:$I$2001,Orders!$E$2:$E$2001,$A29,Orders!$B$2:$B$2001,"&gt;="&amp;DATE(2024,11,1),Orders!$B$2:$B$2001,"&lt;"&amp;DATE(2024,12,1))</f>
        <v>64459.770000000004</v>
      </c>
      <c r="M29">
        <f>SUMIFS(Orders!$I$2:$I$2001,Orders!$E$2:$E$2001,$A29,Orders!$B$2:$B$2001,"&gt;="&amp;DATE(2024,12,1),Orders!$B$2:$B$2001,"&lt;"&amp;DATE(2025,1,1))</f>
        <v>51024.5</v>
      </c>
    </row>
    <row r="30" spans="1:13" ht="15" customHeight="1" x14ac:dyDescent="0.35">
      <c r="A30" t="str">
        <f>Sales_Reps!A30</f>
        <v>R029</v>
      </c>
      <c r="B30">
        <f>SUMIFS(Orders!$I$2:$I$2001,Orders!$E$2:$E$2001,$A30,Orders!$B$2:$B$2001,"&gt;="&amp;DATE(2024,1,1),Orders!$B$2:$B$2001,"&lt;"&amp;DATE(2024,2,1))</f>
        <v>45369.15</v>
      </c>
      <c r="C30">
        <f>SUMIFS(Orders!$I$2:$I$2001,Orders!$E$2:$E$2001,$A30,Orders!$B$2:$B$2001,"&gt;="&amp;DATE(2024,2,1),Orders!$B$2:$B$2001,"&lt;"&amp;DATE(2024,3,1))</f>
        <v>142134.07</v>
      </c>
      <c r="D30">
        <f>SUMIFS(Orders!$I$2:$I$2001,Orders!$E$2:$E$2001,$A30,Orders!$B$2:$B$2001,"&gt;="&amp;DATE(2024,3,1),Orders!$B$2:$B$2001,"&lt;"&amp;DATE(2024,4,1))</f>
        <v>63730.97</v>
      </c>
      <c r="E30">
        <f>SUMIFS(Orders!$I$2:$I$2001,Orders!$E$2:$E$2001,$A30,Orders!$B$2:$B$2001,"&gt;="&amp;DATE(2024,4,1),Orders!$B$2:$B$2001,"&lt;"&amp;DATE(2024,5,1))</f>
        <v>124581.45</v>
      </c>
      <c r="F30">
        <f>SUMIFS(Orders!$I$2:$I$2001,Orders!$E$2:$E$2001,$A30,Orders!$B$2:$B$2001,"&gt;="&amp;DATE(2024,5,1),Orders!$B$2:$B$2001,"&lt;"&amp;DATE(2024,6,1))</f>
        <v>180359.49</v>
      </c>
      <c r="G30">
        <f>SUMIFS(Orders!$I$2:$I$2001,Orders!$E$2:$E$2001,$A30,Orders!$B$2:$B$2001,"&gt;="&amp;DATE(2024,6,1),Orders!$B$2:$B$2001,"&lt;"&amp;DATE(2024,7,1))</f>
        <v>29011.879999999997</v>
      </c>
      <c r="H30">
        <f>SUMIFS(Orders!$I$2:$I$2001,Orders!$E$2:$E$2001,$A30,Orders!$B$2:$B$2001,"&gt;="&amp;DATE(2024,7,1),Orders!$B$2:$B$2001,"&lt;"&amp;DATE(2024,8,1))</f>
        <v>60836.130000000005</v>
      </c>
      <c r="I30">
        <f>SUMIFS(Orders!$I$2:$I$2001,Orders!$E$2:$E$2001,$A30,Orders!$B$2:$B$2001,"&gt;="&amp;DATE(2024,8,1),Orders!$B$2:$B$2001,"&lt;"&amp;DATE(2024,9,1))</f>
        <v>134005.79</v>
      </c>
      <c r="J30">
        <f>SUMIFS(Orders!$I$2:$I$2001,Orders!$E$2:$E$2001,$A30,Orders!$B$2:$B$2001,"&gt;="&amp;DATE(2024,9,1),Orders!$B$2:$B$2001,"&lt;"&amp;DATE(2024,10,1))</f>
        <v>18360.240000000002</v>
      </c>
      <c r="K30">
        <f>SUMIFS(Orders!$I$2:$I$2001,Orders!$E$2:$E$2001,$A30,Orders!$B$2:$B$2001,"&gt;="&amp;DATE(2024,10,1),Orders!$B$2:$B$2001,"&lt;"&amp;DATE(2024,11,1))</f>
        <v>27441.88</v>
      </c>
      <c r="L30">
        <f>SUMIFS(Orders!$I$2:$I$2001,Orders!$E$2:$E$2001,$A30,Orders!$B$2:$B$2001,"&gt;="&amp;DATE(2024,11,1),Orders!$B$2:$B$2001,"&lt;"&amp;DATE(2024,12,1))</f>
        <v>65290.45</v>
      </c>
      <c r="M30">
        <f>SUMIFS(Orders!$I$2:$I$2001,Orders!$E$2:$E$2001,$A30,Orders!$B$2:$B$2001,"&gt;="&amp;DATE(2024,12,1),Orders!$B$2:$B$2001,"&lt;"&amp;DATE(2025,1,1))</f>
        <v>125575.3</v>
      </c>
    </row>
    <row r="31" spans="1:13" ht="15" customHeight="1" x14ac:dyDescent="0.35">
      <c r="A31" t="str">
        <f>Sales_Reps!A31</f>
        <v>R030</v>
      </c>
      <c r="B31">
        <f>SUMIFS(Orders!$I$2:$I$2001,Orders!$E$2:$E$2001,$A31,Orders!$B$2:$B$2001,"&gt;="&amp;DATE(2024,1,1),Orders!$B$2:$B$2001,"&lt;"&amp;DATE(2024,2,1))</f>
        <v>59170.81</v>
      </c>
      <c r="C31">
        <f>SUMIFS(Orders!$I$2:$I$2001,Orders!$E$2:$E$2001,$A31,Orders!$B$2:$B$2001,"&gt;="&amp;DATE(2024,2,1),Orders!$B$2:$B$2001,"&lt;"&amp;DATE(2024,3,1))</f>
        <v>17274.29</v>
      </c>
      <c r="D31">
        <f>SUMIFS(Orders!$I$2:$I$2001,Orders!$E$2:$E$2001,$A31,Orders!$B$2:$B$2001,"&gt;="&amp;DATE(2024,3,1),Orders!$B$2:$B$2001,"&lt;"&amp;DATE(2024,4,1))</f>
        <v>122041.05999999998</v>
      </c>
      <c r="E31">
        <f>SUMIFS(Orders!$I$2:$I$2001,Orders!$E$2:$E$2001,$A31,Orders!$B$2:$B$2001,"&gt;="&amp;DATE(2024,4,1),Orders!$B$2:$B$2001,"&lt;"&amp;DATE(2024,5,1))</f>
        <v>36350.86</v>
      </c>
      <c r="F31">
        <f>SUMIFS(Orders!$I$2:$I$2001,Orders!$E$2:$E$2001,$A31,Orders!$B$2:$B$2001,"&gt;="&amp;DATE(2024,5,1),Orders!$B$2:$B$2001,"&lt;"&amp;DATE(2024,6,1))</f>
        <v>47579.17</v>
      </c>
      <c r="G31">
        <f>SUMIFS(Orders!$I$2:$I$2001,Orders!$E$2:$E$2001,$A31,Orders!$B$2:$B$2001,"&gt;="&amp;DATE(2024,6,1),Orders!$B$2:$B$2001,"&lt;"&amp;DATE(2024,7,1))</f>
        <v>67486.899999999994</v>
      </c>
      <c r="H31">
        <f>SUMIFS(Orders!$I$2:$I$2001,Orders!$E$2:$E$2001,$A31,Orders!$B$2:$B$2001,"&gt;="&amp;DATE(2024,7,1),Orders!$B$2:$B$2001,"&lt;"&amp;DATE(2024,8,1))</f>
        <v>89271.18</v>
      </c>
      <c r="I31">
        <f>SUMIFS(Orders!$I$2:$I$2001,Orders!$E$2:$E$2001,$A31,Orders!$B$2:$B$2001,"&gt;="&amp;DATE(2024,8,1),Orders!$B$2:$B$2001,"&lt;"&amp;DATE(2024,9,1))</f>
        <v>74000.900000000009</v>
      </c>
      <c r="J31">
        <f>SUMIFS(Orders!$I$2:$I$2001,Orders!$E$2:$E$2001,$A31,Orders!$B$2:$B$2001,"&gt;="&amp;DATE(2024,9,1),Orders!$B$2:$B$2001,"&lt;"&amp;DATE(2024,10,1))</f>
        <v>26448.21</v>
      </c>
      <c r="K31">
        <f>SUMIFS(Orders!$I$2:$I$2001,Orders!$E$2:$E$2001,$A31,Orders!$B$2:$B$2001,"&gt;="&amp;DATE(2024,10,1),Orders!$B$2:$B$2001,"&lt;"&amp;DATE(2024,11,1))</f>
        <v>40669.760000000002</v>
      </c>
      <c r="L31">
        <f>SUMIFS(Orders!$I$2:$I$2001,Orders!$E$2:$E$2001,$A31,Orders!$B$2:$B$2001,"&gt;="&amp;DATE(2024,11,1),Orders!$B$2:$B$2001,"&lt;"&amp;DATE(2024,12,1))</f>
        <v>119624.48999999999</v>
      </c>
      <c r="M31">
        <f>SUMIFS(Orders!$I$2:$I$2001,Orders!$E$2:$E$2001,$A31,Orders!$B$2:$B$2001,"&gt;="&amp;DATE(2024,12,1),Orders!$B$2:$B$2001,"&lt;"&amp;DATE(2025,1,1))</f>
        <v>47706.74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PivotHelper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Anika Divya Shashi</cp:lastModifiedBy>
  <cp:revision>0</cp:revision>
  <dcterms:created xsi:type="dcterms:W3CDTF">2026-08-08T11:39:42Z</dcterms:created>
  <dcterms:modified xsi:type="dcterms:W3CDTF">2026-08-20T07:09:56Z</dcterms:modified>
  <dc:language>en-US</dc:language>
</cp:coreProperties>
</file>